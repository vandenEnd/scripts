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drawings/drawing5.xml" ContentType="application/vnd.openxmlformats-officedocument.drawing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drawings/drawing7.xml" ContentType="application/vnd.openxmlformats-officedocument.drawing+xml"/>
  <Override PartName="/xl/charts/chart10.xml" ContentType="application/vnd.openxmlformats-officedocument.drawingml.chart+xml"/>
  <Override PartName="/xl/drawings/drawing8.xml" ContentType="application/vnd.openxmlformats-officedocument.drawing+xml"/>
  <Override PartName="/xl/charts/chart11.xml" ContentType="application/vnd.openxmlformats-officedocument.drawingml.chart+xml"/>
  <Override PartName="/xl/drawings/drawing9.xml" ContentType="application/vnd.openxmlformats-officedocument.drawing+xml"/>
  <Override PartName="/xl/charts/chart12.xml" ContentType="application/vnd.openxmlformats-officedocument.drawingml.chart+xml"/>
  <Override PartName="/xl/drawings/drawing10.xml" ContentType="application/vnd.openxmlformats-officedocument.drawing+xml"/>
  <Override PartName="/xl/charts/chart13.xml" ContentType="application/vnd.openxmlformats-officedocument.drawingml.chart+xml"/>
  <Override PartName="/xl/drawings/drawing11.xml" ContentType="application/vnd.openxmlformats-officedocument.drawing+xml"/>
  <Override PartName="/xl/charts/chart14.xml" ContentType="application/vnd.openxmlformats-officedocument.drawingml.chart+xml"/>
  <Override PartName="/xl/drawings/drawing12.xml" ContentType="application/vnd.openxmlformats-officedocument.drawing+xml"/>
  <Override PartName="/xl/charts/chart15.xml" ContentType="application/vnd.openxmlformats-officedocument.drawingml.chart+xml"/>
  <Override PartName="/xl/drawings/drawing13.xml" ContentType="application/vnd.openxmlformats-officedocument.drawing+xml"/>
  <Override PartName="/xl/charts/chart16.xml" ContentType="application/vnd.openxmlformats-officedocument.drawingml.chart+xml"/>
  <Override PartName="/xl/drawings/drawing14.xml" ContentType="application/vnd.openxmlformats-officedocument.drawing+xml"/>
  <Override PartName="/xl/charts/chart17.xml" ContentType="application/vnd.openxmlformats-officedocument.drawingml.chart+xml"/>
  <Override PartName="/xl/drawings/drawing15.xml" ContentType="application/vnd.openxmlformats-officedocument.drawing+xml"/>
  <Override PartName="/xl/charts/chart18.xml" ContentType="application/vnd.openxmlformats-officedocument.drawingml.chart+xml"/>
  <Override PartName="/xl/drawings/drawing16.xml" ContentType="application/vnd.openxmlformats-officedocument.drawing+xml"/>
  <Override PartName="/xl/charts/chart19.xml" ContentType="application/vnd.openxmlformats-officedocument.drawingml.chart+xml"/>
  <Override PartName="/xl/drawings/drawing17.xml" ContentType="application/vnd.openxmlformats-officedocument.drawing+xml"/>
  <Override PartName="/xl/charts/chart20.xml" ContentType="application/vnd.openxmlformats-officedocument.drawingml.chart+xml"/>
  <Override PartName="/xl/drawings/drawing18.xml" ContentType="application/vnd.openxmlformats-officedocument.drawing+xml"/>
  <Override PartName="/xl/charts/chart21.xml" ContentType="application/vnd.openxmlformats-officedocument.drawingml.chart+xml"/>
  <Override PartName="/xl/drawings/drawing19.xml" ContentType="application/vnd.openxmlformats-officedocument.drawing+xml"/>
  <Override PartName="/xl/charts/chart22.xml" ContentType="application/vnd.openxmlformats-officedocument.drawingml.chart+xml"/>
  <Override PartName="/xl/drawings/drawing20.xml" ContentType="application/vnd.openxmlformats-officedocument.drawing+xml"/>
  <Override PartName="/xl/charts/chart23.xml" ContentType="application/vnd.openxmlformats-officedocument.drawingml.chart+xml"/>
  <Override PartName="/xl/drawings/drawing21.xml" ContentType="application/vnd.openxmlformats-officedocument.drawing+xml"/>
  <Override PartName="/xl/charts/chart2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endbu\"/>
    </mc:Choice>
  </mc:AlternateContent>
  <xr:revisionPtr revIDLastSave="0" documentId="13_ncr:1_{963974AF-638A-4B39-913F-0B198268296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ummary" sheetId="1" r:id="rId1"/>
    <sheet name="data_ict_share_full" sheetId="2" r:id="rId2"/>
    <sheet name="chart_ict_share_full" sheetId="3" r:id="rId3"/>
    <sheet name="data_ict_share_since2020" sheetId="4" r:id="rId4"/>
    <sheet name="chart_ict_share_since2020" sheetId="5" r:id="rId5"/>
    <sheet name="data_ict_share_till2019" sheetId="6" r:id="rId6"/>
    <sheet name="chart_ict_share_till2019" sheetId="7" r:id="rId7"/>
    <sheet name="data_hs_export_share_full" sheetId="8" r:id="rId8"/>
    <sheet name="chart_hs_export_share_full" sheetId="9" r:id="rId9"/>
    <sheet name="data_hs_export_share_since2020" sheetId="10" r:id="rId10"/>
    <sheet name="chart_hs_export_share_since2020" sheetId="11" r:id="rId11"/>
    <sheet name="data_hs_export_share_till2019" sheetId="12" r:id="rId12"/>
    <sheet name="chart_hs_export_share_till2019" sheetId="13" r:id="rId13"/>
    <sheet name="data_stock_corr_full" sheetId="14" r:id="rId14"/>
    <sheet name="chart_stock_corr_full" sheetId="15" r:id="rId15"/>
    <sheet name="data_stock_corr_since2020" sheetId="16" r:id="rId16"/>
    <sheet name="chart_stock_corr_since2020" sheetId="17" r:id="rId17"/>
    <sheet name="data_stock_corr_till2019" sheetId="18" r:id="rId18"/>
    <sheet name="chart_stock_corr_till2019" sheetId="19" r:id="rId19"/>
    <sheet name="data_ai_inv_share_full" sheetId="20" r:id="rId20"/>
    <sheet name="chart_ai_inv_share_full" sheetId="21" r:id="rId21"/>
    <sheet name="data_ai_inv_share_since2020" sheetId="22" r:id="rId22"/>
    <sheet name="chart_ai_inv_share_since2020" sheetId="23" r:id="rId23"/>
    <sheet name="data_ai_inv_share_till2019" sheetId="24" r:id="rId24"/>
    <sheet name="chart_ai_inv_share_till2019" sheetId="25" r:id="rId25"/>
    <sheet name="data_cluster_ict_share" sheetId="26" r:id="rId26"/>
    <sheet name="chart_cluster_ict_share" sheetId="27" r:id="rId27"/>
    <sheet name="data_ict_share_yrs" sheetId="28" r:id="rId28"/>
    <sheet name="chart_ict_share_yrs" sheetId="29" r:id="rId29"/>
    <sheet name="data_cluster_hs_export" sheetId="30" r:id="rId30"/>
    <sheet name="chart_cluster_hs_export" sheetId="31" r:id="rId31"/>
    <sheet name="data_hs_export_share_yrs" sheetId="32" r:id="rId32"/>
    <sheet name="chart_hs_export_share_yrs" sheetId="33" r:id="rId33"/>
    <sheet name="data_cluster_stock_corr" sheetId="34" r:id="rId34"/>
    <sheet name="chart_cluster_stock_corr" sheetId="35" r:id="rId35"/>
    <sheet name="data_stock_corr_yrs" sheetId="36" r:id="rId36"/>
    <sheet name="chart_stock_corr_yrs" sheetId="37" r:id="rId37"/>
    <sheet name="data_cluster_ai_inv_share" sheetId="38" r:id="rId38"/>
    <sheet name="chart_cluster_ai_inv_share" sheetId="39" r:id="rId39"/>
    <sheet name="data_ai_inv_share_yrs" sheetId="40" r:id="rId40"/>
    <sheet name="chart_ai_inv_share_yrs" sheetId="41" r:id="rId4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32" i="1" l="1"/>
  <c r="N33" i="1"/>
  <c r="J32" i="1"/>
  <c r="I33" i="1"/>
  <c r="O33" i="1"/>
  <c r="N32" i="1"/>
  <c r="F33" i="1"/>
  <c r="F32" i="1"/>
  <c r="E33" i="1"/>
  <c r="E32" i="1"/>
  <c r="J33" i="1"/>
  <c r="I32" i="1"/>
  <c r="G61" i="40"/>
  <c r="G60" i="40"/>
  <c r="G59" i="40"/>
  <c r="G58" i="40"/>
  <c r="G57" i="40"/>
  <c r="G56" i="40"/>
  <c r="G55" i="40"/>
  <c r="G54" i="40"/>
  <c r="G53" i="40"/>
  <c r="G52" i="40"/>
  <c r="G51" i="40"/>
  <c r="G50" i="40"/>
  <c r="G49" i="40"/>
  <c r="G48" i="40"/>
  <c r="G47" i="40"/>
  <c r="G46" i="40"/>
  <c r="G45" i="40"/>
  <c r="G44" i="40"/>
  <c r="G43" i="40"/>
  <c r="G42" i="40"/>
  <c r="G41" i="40"/>
  <c r="G40" i="40"/>
  <c r="G39" i="40"/>
  <c r="G38" i="40"/>
  <c r="G37" i="40"/>
  <c r="G36" i="40"/>
  <c r="G35" i="40"/>
  <c r="G34" i="40"/>
  <c r="G33" i="40"/>
  <c r="G32" i="40"/>
  <c r="G31" i="40"/>
  <c r="G30" i="40"/>
  <c r="G29" i="40"/>
  <c r="G28" i="40"/>
  <c r="G27" i="40"/>
  <c r="G26" i="40"/>
  <c r="G25" i="40"/>
  <c r="G24" i="40"/>
  <c r="G23" i="40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4" i="40"/>
  <c r="G3" i="40"/>
  <c r="G2" i="40"/>
  <c r="G441" i="38"/>
  <c r="G440" i="38"/>
  <c r="G439" i="38"/>
  <c r="G438" i="38"/>
  <c r="G437" i="38"/>
  <c r="G436" i="38"/>
  <c r="G435" i="38"/>
  <c r="G434" i="38"/>
  <c r="G433" i="38"/>
  <c r="G432" i="38"/>
  <c r="G431" i="38"/>
  <c r="G430" i="38"/>
  <c r="G429" i="38"/>
  <c r="G428" i="38"/>
  <c r="G427" i="38"/>
  <c r="G426" i="38"/>
  <c r="G425" i="38"/>
  <c r="G424" i="38"/>
  <c r="G423" i="38"/>
  <c r="G422" i="38"/>
  <c r="G421" i="38"/>
  <c r="G420" i="38"/>
  <c r="G419" i="38"/>
  <c r="G418" i="38"/>
  <c r="G417" i="38"/>
  <c r="G416" i="38"/>
  <c r="G415" i="38"/>
  <c r="G414" i="38"/>
  <c r="G413" i="38"/>
  <c r="G412" i="38"/>
  <c r="G411" i="38"/>
  <c r="G410" i="38"/>
  <c r="G409" i="38"/>
  <c r="G408" i="38"/>
  <c r="G407" i="38"/>
  <c r="G406" i="38"/>
  <c r="G405" i="38"/>
  <c r="G404" i="38"/>
  <c r="G403" i="38"/>
  <c r="G402" i="38"/>
  <c r="G401" i="38"/>
  <c r="G400" i="38"/>
  <c r="G399" i="38"/>
  <c r="G398" i="38"/>
  <c r="G397" i="38"/>
  <c r="G396" i="38"/>
  <c r="G395" i="38"/>
  <c r="G394" i="38"/>
  <c r="G393" i="38"/>
  <c r="G392" i="38"/>
  <c r="G391" i="38"/>
  <c r="G390" i="38"/>
  <c r="G389" i="38"/>
  <c r="G388" i="38"/>
  <c r="G387" i="38"/>
  <c r="G386" i="38"/>
  <c r="G385" i="38"/>
  <c r="G384" i="38"/>
  <c r="G383" i="38"/>
  <c r="G382" i="38"/>
  <c r="G381" i="38"/>
  <c r="G380" i="38"/>
  <c r="G379" i="38"/>
  <c r="G378" i="38"/>
  <c r="G377" i="38"/>
  <c r="G376" i="38"/>
  <c r="G375" i="38"/>
  <c r="G374" i="38"/>
  <c r="G373" i="38"/>
  <c r="G372" i="38"/>
  <c r="G371" i="38"/>
  <c r="G370" i="38"/>
  <c r="G369" i="38"/>
  <c r="G368" i="38"/>
  <c r="G367" i="38"/>
  <c r="G366" i="38"/>
  <c r="G365" i="38"/>
  <c r="G364" i="38"/>
  <c r="G363" i="38"/>
  <c r="G362" i="38"/>
  <c r="G361" i="38"/>
  <c r="G360" i="38"/>
  <c r="G359" i="38"/>
  <c r="G358" i="38"/>
  <c r="G357" i="38"/>
  <c r="G356" i="38"/>
  <c r="G355" i="38"/>
  <c r="G354" i="38"/>
  <c r="G353" i="38"/>
  <c r="G352" i="38"/>
  <c r="G351" i="38"/>
  <c r="G350" i="38"/>
  <c r="G349" i="38"/>
  <c r="G348" i="38"/>
  <c r="G347" i="38"/>
  <c r="G346" i="38"/>
  <c r="G345" i="38"/>
  <c r="G344" i="38"/>
  <c r="G343" i="38"/>
  <c r="G342" i="38"/>
  <c r="G341" i="38"/>
  <c r="G340" i="38"/>
  <c r="G339" i="38"/>
  <c r="G338" i="38"/>
  <c r="G337" i="38"/>
  <c r="G336" i="38"/>
  <c r="G335" i="38"/>
  <c r="G334" i="38"/>
  <c r="G333" i="38"/>
  <c r="G332" i="38"/>
  <c r="G331" i="38"/>
  <c r="G330" i="38"/>
  <c r="G329" i="38"/>
  <c r="G328" i="38"/>
  <c r="G327" i="38"/>
  <c r="G326" i="38"/>
  <c r="G325" i="38"/>
  <c r="G324" i="38"/>
  <c r="G323" i="38"/>
  <c r="G322" i="38"/>
  <c r="G321" i="38"/>
  <c r="G320" i="38"/>
  <c r="G319" i="38"/>
  <c r="G318" i="38"/>
  <c r="G317" i="38"/>
  <c r="G316" i="38"/>
  <c r="G315" i="38"/>
  <c r="G314" i="38"/>
  <c r="G313" i="38"/>
  <c r="G312" i="38"/>
  <c r="G311" i="38"/>
  <c r="G310" i="38"/>
  <c r="G309" i="38"/>
  <c r="G308" i="38"/>
  <c r="G307" i="38"/>
  <c r="G306" i="38"/>
  <c r="G305" i="38"/>
  <c r="G304" i="38"/>
  <c r="G303" i="38"/>
  <c r="G302" i="38"/>
  <c r="G301" i="38"/>
  <c r="G300" i="38"/>
  <c r="G299" i="38"/>
  <c r="G298" i="38"/>
  <c r="G297" i="38"/>
  <c r="G296" i="38"/>
  <c r="G295" i="38"/>
  <c r="G294" i="38"/>
  <c r="G293" i="38"/>
  <c r="G292" i="38"/>
  <c r="G291" i="38"/>
  <c r="G290" i="38"/>
  <c r="G289" i="38"/>
  <c r="G288" i="38"/>
  <c r="G287" i="38"/>
  <c r="G286" i="38"/>
  <c r="G285" i="38"/>
  <c r="G284" i="38"/>
  <c r="G283" i="38"/>
  <c r="G282" i="38"/>
  <c r="G281" i="38"/>
  <c r="G280" i="38"/>
  <c r="G279" i="38"/>
  <c r="G278" i="38"/>
  <c r="G277" i="38"/>
  <c r="G276" i="38"/>
  <c r="G275" i="38"/>
  <c r="G274" i="38"/>
  <c r="G273" i="38"/>
  <c r="G272" i="38"/>
  <c r="G271" i="38"/>
  <c r="G270" i="38"/>
  <c r="G269" i="38"/>
  <c r="G268" i="38"/>
  <c r="G267" i="38"/>
  <c r="G266" i="38"/>
  <c r="G265" i="38"/>
  <c r="G264" i="38"/>
  <c r="G263" i="38"/>
  <c r="G262" i="38"/>
  <c r="G261" i="38"/>
  <c r="G260" i="38"/>
  <c r="G259" i="38"/>
  <c r="G258" i="38"/>
  <c r="G257" i="38"/>
  <c r="G256" i="38"/>
  <c r="G255" i="38"/>
  <c r="G254" i="38"/>
  <c r="G253" i="38"/>
  <c r="G252" i="38"/>
  <c r="G251" i="38"/>
  <c r="G250" i="38"/>
  <c r="G249" i="38"/>
  <c r="G248" i="38"/>
  <c r="G247" i="38"/>
  <c r="G246" i="38"/>
  <c r="G245" i="38"/>
  <c r="G244" i="38"/>
  <c r="G243" i="38"/>
  <c r="G242" i="38"/>
  <c r="G241" i="38"/>
  <c r="G240" i="38"/>
  <c r="G239" i="38"/>
  <c r="G238" i="38"/>
  <c r="G237" i="38"/>
  <c r="G236" i="38"/>
  <c r="G235" i="38"/>
  <c r="G234" i="38"/>
  <c r="G233" i="38"/>
  <c r="G232" i="38"/>
  <c r="G231" i="38"/>
  <c r="G230" i="38"/>
  <c r="G229" i="38"/>
  <c r="G228" i="38"/>
  <c r="G227" i="38"/>
  <c r="G226" i="38"/>
  <c r="G225" i="38"/>
  <c r="G224" i="38"/>
  <c r="G223" i="38"/>
  <c r="G222" i="38"/>
  <c r="G221" i="38"/>
  <c r="G220" i="38"/>
  <c r="G219" i="38"/>
  <c r="G218" i="38"/>
  <c r="G217" i="38"/>
  <c r="G216" i="38"/>
  <c r="G215" i="38"/>
  <c r="G214" i="38"/>
  <c r="G213" i="38"/>
  <c r="G212" i="38"/>
  <c r="G211" i="38"/>
  <c r="G210" i="38"/>
  <c r="G209" i="38"/>
  <c r="G208" i="38"/>
  <c r="G207" i="38"/>
  <c r="G206" i="38"/>
  <c r="G205" i="38"/>
  <c r="G204" i="38"/>
  <c r="G203" i="38"/>
  <c r="G202" i="38"/>
  <c r="G201" i="38"/>
  <c r="G200" i="38"/>
  <c r="G199" i="38"/>
  <c r="G198" i="38"/>
  <c r="G197" i="38"/>
  <c r="G196" i="38"/>
  <c r="G195" i="38"/>
  <c r="G194" i="38"/>
  <c r="G193" i="38"/>
  <c r="G192" i="38"/>
  <c r="G191" i="38"/>
  <c r="G190" i="38"/>
  <c r="G189" i="38"/>
  <c r="G188" i="38"/>
  <c r="G187" i="38"/>
  <c r="G186" i="38"/>
  <c r="G185" i="38"/>
  <c r="G184" i="38"/>
  <c r="G183" i="38"/>
  <c r="G182" i="38"/>
  <c r="G181" i="38"/>
  <c r="G180" i="38"/>
  <c r="G179" i="38"/>
  <c r="G178" i="38"/>
  <c r="G177" i="38"/>
  <c r="G176" i="38"/>
  <c r="G175" i="38"/>
  <c r="G174" i="38"/>
  <c r="G173" i="38"/>
  <c r="G172" i="38"/>
  <c r="G171" i="38"/>
  <c r="G170" i="38"/>
  <c r="G169" i="38"/>
  <c r="G168" i="38"/>
  <c r="G167" i="38"/>
  <c r="G166" i="38"/>
  <c r="G165" i="38"/>
  <c r="G164" i="38"/>
  <c r="G163" i="38"/>
  <c r="G162" i="38"/>
  <c r="G161" i="38"/>
  <c r="G160" i="38"/>
  <c r="G159" i="38"/>
  <c r="G158" i="38"/>
  <c r="G157" i="38"/>
  <c r="G156" i="38"/>
  <c r="G155" i="38"/>
  <c r="G154" i="38"/>
  <c r="G153" i="38"/>
  <c r="G152" i="38"/>
  <c r="G151" i="38"/>
  <c r="G150" i="38"/>
  <c r="G149" i="38"/>
  <c r="G148" i="38"/>
  <c r="G147" i="38"/>
  <c r="G146" i="38"/>
  <c r="G145" i="38"/>
  <c r="G144" i="38"/>
  <c r="G143" i="38"/>
  <c r="G142" i="38"/>
  <c r="G141" i="38"/>
  <c r="G140" i="38"/>
  <c r="G139" i="38"/>
  <c r="G138" i="38"/>
  <c r="G137" i="38"/>
  <c r="G136" i="38"/>
  <c r="G135" i="38"/>
  <c r="G134" i="38"/>
  <c r="G133" i="38"/>
  <c r="G132" i="38"/>
  <c r="G131" i="38"/>
  <c r="G130" i="38"/>
  <c r="G129" i="38"/>
  <c r="G128" i="38"/>
  <c r="G127" i="38"/>
  <c r="G126" i="38"/>
  <c r="G125" i="38"/>
  <c r="G124" i="38"/>
  <c r="G123" i="38"/>
  <c r="G122" i="38"/>
  <c r="G121" i="38"/>
  <c r="G120" i="38"/>
  <c r="G119" i="38"/>
  <c r="G118" i="38"/>
  <c r="G117" i="38"/>
  <c r="G116" i="38"/>
  <c r="G115" i="38"/>
  <c r="G114" i="38"/>
  <c r="G113" i="38"/>
  <c r="G112" i="38"/>
  <c r="G111" i="38"/>
  <c r="G110" i="38"/>
  <c r="G109" i="38"/>
  <c r="G108" i="38"/>
  <c r="G107" i="38"/>
  <c r="G106" i="38"/>
  <c r="G105" i="38"/>
  <c r="G104" i="38"/>
  <c r="G103" i="38"/>
  <c r="G102" i="38"/>
  <c r="G101" i="38"/>
  <c r="G100" i="38"/>
  <c r="G99" i="38"/>
  <c r="G98" i="38"/>
  <c r="G97" i="38"/>
  <c r="G96" i="38"/>
  <c r="G95" i="38"/>
  <c r="G94" i="38"/>
  <c r="G93" i="38"/>
  <c r="G92" i="38"/>
  <c r="G91" i="38"/>
  <c r="G90" i="38"/>
  <c r="G89" i="38"/>
  <c r="G88" i="38"/>
  <c r="G87" i="38"/>
  <c r="G86" i="38"/>
  <c r="G85" i="38"/>
  <c r="G84" i="38"/>
  <c r="G83" i="38"/>
  <c r="G82" i="38"/>
  <c r="G81" i="38"/>
  <c r="G80" i="38"/>
  <c r="G79" i="38"/>
  <c r="G78" i="38"/>
  <c r="G77" i="38"/>
  <c r="G76" i="38"/>
  <c r="G75" i="38"/>
  <c r="G74" i="38"/>
  <c r="G73" i="38"/>
  <c r="G72" i="38"/>
  <c r="G71" i="38"/>
  <c r="G70" i="38"/>
  <c r="G69" i="38"/>
  <c r="G68" i="38"/>
  <c r="G67" i="38"/>
  <c r="G66" i="38"/>
  <c r="G65" i="38"/>
  <c r="G64" i="38"/>
  <c r="G63" i="38"/>
  <c r="G62" i="38"/>
  <c r="G61" i="38"/>
  <c r="G60" i="38"/>
  <c r="G59" i="38"/>
  <c r="G58" i="38"/>
  <c r="G57" i="38"/>
  <c r="G56" i="38"/>
  <c r="G55" i="38"/>
  <c r="G54" i="38"/>
  <c r="G53" i="38"/>
  <c r="G52" i="38"/>
  <c r="G51" i="38"/>
  <c r="G50" i="38"/>
  <c r="G49" i="38"/>
  <c r="G48" i="38"/>
  <c r="G47" i="38"/>
  <c r="G46" i="38"/>
  <c r="G45" i="38"/>
  <c r="G44" i="38"/>
  <c r="G43" i="38"/>
  <c r="G42" i="38"/>
  <c r="G41" i="38"/>
  <c r="G40" i="38"/>
  <c r="G39" i="38"/>
  <c r="G38" i="38"/>
  <c r="G37" i="38"/>
  <c r="G36" i="38"/>
  <c r="G35" i="38"/>
  <c r="G34" i="38"/>
  <c r="G33" i="38"/>
  <c r="G32" i="38"/>
  <c r="G31" i="38"/>
  <c r="G30" i="38"/>
  <c r="G29" i="38"/>
  <c r="G28" i="38"/>
  <c r="G27" i="38"/>
  <c r="G26" i="38"/>
  <c r="G25" i="38"/>
  <c r="G24" i="38"/>
  <c r="G23" i="38"/>
  <c r="G22" i="38"/>
  <c r="G21" i="38"/>
  <c r="G20" i="38"/>
  <c r="G19" i="38"/>
  <c r="G18" i="38"/>
  <c r="G17" i="38"/>
  <c r="G16" i="38"/>
  <c r="G15" i="38"/>
  <c r="G14" i="38"/>
  <c r="G13" i="38"/>
  <c r="G12" i="38"/>
  <c r="G11" i="38"/>
  <c r="G10" i="38"/>
  <c r="G9" i="38"/>
  <c r="G8" i="38"/>
  <c r="G7" i="38"/>
  <c r="G6" i="38"/>
  <c r="G5" i="38"/>
  <c r="G4" i="38"/>
  <c r="G3" i="38"/>
  <c r="G2" i="38"/>
  <c r="G61" i="36"/>
  <c r="G60" i="36"/>
  <c r="G59" i="36"/>
  <c r="G58" i="36"/>
  <c r="G57" i="36"/>
  <c r="G56" i="36"/>
  <c r="G55" i="36"/>
  <c r="G54" i="36"/>
  <c r="G53" i="36"/>
  <c r="G52" i="36"/>
  <c r="G51" i="36"/>
  <c r="G50" i="36"/>
  <c r="G49" i="36"/>
  <c r="G48" i="36"/>
  <c r="G47" i="36"/>
  <c r="G46" i="36"/>
  <c r="G45" i="36"/>
  <c r="G44" i="36"/>
  <c r="G43" i="36"/>
  <c r="G42" i="36"/>
  <c r="G41" i="36"/>
  <c r="G40" i="36"/>
  <c r="G39" i="36"/>
  <c r="G38" i="36"/>
  <c r="G37" i="36"/>
  <c r="G36" i="36"/>
  <c r="G35" i="36"/>
  <c r="G34" i="36"/>
  <c r="G33" i="36"/>
  <c r="G32" i="36"/>
  <c r="G31" i="36"/>
  <c r="G30" i="36"/>
  <c r="G29" i="36"/>
  <c r="G28" i="36"/>
  <c r="G27" i="36"/>
  <c r="G26" i="36"/>
  <c r="G25" i="36"/>
  <c r="G24" i="36"/>
  <c r="G23" i="36"/>
  <c r="G22" i="36"/>
  <c r="G21" i="36"/>
  <c r="G20" i="36"/>
  <c r="G19" i="36"/>
  <c r="G18" i="36"/>
  <c r="G17" i="36"/>
  <c r="G16" i="36"/>
  <c r="G15" i="36"/>
  <c r="G14" i="36"/>
  <c r="G13" i="36"/>
  <c r="G12" i="36"/>
  <c r="G11" i="36"/>
  <c r="G10" i="36"/>
  <c r="G9" i="36"/>
  <c r="G8" i="36"/>
  <c r="G7" i="36"/>
  <c r="G6" i="36"/>
  <c r="G5" i="36"/>
  <c r="G4" i="36"/>
  <c r="G3" i="36"/>
  <c r="G2" i="36"/>
  <c r="G573" i="34"/>
  <c r="G572" i="34"/>
  <c r="G571" i="34"/>
  <c r="G570" i="34"/>
  <c r="G569" i="34"/>
  <c r="G568" i="34"/>
  <c r="G567" i="34"/>
  <c r="G566" i="34"/>
  <c r="G565" i="34"/>
  <c r="G564" i="34"/>
  <c r="G563" i="34"/>
  <c r="G562" i="34"/>
  <c r="G561" i="34"/>
  <c r="G560" i="34"/>
  <c r="G559" i="34"/>
  <c r="G558" i="34"/>
  <c r="G557" i="34"/>
  <c r="G556" i="34"/>
  <c r="G555" i="34"/>
  <c r="G554" i="34"/>
  <c r="G553" i="34"/>
  <c r="G552" i="34"/>
  <c r="G551" i="34"/>
  <c r="G550" i="34"/>
  <c r="G549" i="34"/>
  <c r="G548" i="34"/>
  <c r="G547" i="34"/>
  <c r="G546" i="34"/>
  <c r="G545" i="34"/>
  <c r="G544" i="34"/>
  <c r="G543" i="34"/>
  <c r="G542" i="34"/>
  <c r="G541" i="34"/>
  <c r="G540" i="34"/>
  <c r="G539" i="34"/>
  <c r="G538" i="34"/>
  <c r="G537" i="34"/>
  <c r="G536" i="34"/>
  <c r="G535" i="34"/>
  <c r="G534" i="34"/>
  <c r="G533" i="34"/>
  <c r="G532" i="34"/>
  <c r="G531" i="34"/>
  <c r="G530" i="34"/>
  <c r="G529" i="34"/>
  <c r="G528" i="34"/>
  <c r="G527" i="34"/>
  <c r="G526" i="34"/>
  <c r="G525" i="34"/>
  <c r="G524" i="34"/>
  <c r="G523" i="34"/>
  <c r="G522" i="34"/>
  <c r="G521" i="34"/>
  <c r="G520" i="34"/>
  <c r="G519" i="34"/>
  <c r="G518" i="34"/>
  <c r="G517" i="34"/>
  <c r="G516" i="34"/>
  <c r="G515" i="34"/>
  <c r="G514" i="34"/>
  <c r="G513" i="34"/>
  <c r="G512" i="34"/>
  <c r="G511" i="34"/>
  <c r="G510" i="34"/>
  <c r="G509" i="34"/>
  <c r="G508" i="34"/>
  <c r="G507" i="34"/>
  <c r="G506" i="34"/>
  <c r="G505" i="34"/>
  <c r="G504" i="34"/>
  <c r="G503" i="34"/>
  <c r="G502" i="34"/>
  <c r="G501" i="34"/>
  <c r="G500" i="34"/>
  <c r="G499" i="34"/>
  <c r="G498" i="34"/>
  <c r="G497" i="34"/>
  <c r="G496" i="34"/>
  <c r="G495" i="34"/>
  <c r="G494" i="34"/>
  <c r="G493" i="34"/>
  <c r="G492" i="34"/>
  <c r="G491" i="34"/>
  <c r="G490" i="34"/>
  <c r="G489" i="34"/>
  <c r="G488" i="34"/>
  <c r="G487" i="34"/>
  <c r="G486" i="34"/>
  <c r="G485" i="34"/>
  <c r="G484" i="34"/>
  <c r="G483" i="34"/>
  <c r="G482" i="34"/>
  <c r="G481" i="34"/>
  <c r="G480" i="34"/>
  <c r="G479" i="34"/>
  <c r="G478" i="34"/>
  <c r="G477" i="34"/>
  <c r="G476" i="34"/>
  <c r="G475" i="34"/>
  <c r="G474" i="34"/>
  <c r="G473" i="34"/>
  <c r="G472" i="34"/>
  <c r="G471" i="34"/>
  <c r="G470" i="34"/>
  <c r="G469" i="34"/>
  <c r="G468" i="34"/>
  <c r="G467" i="34"/>
  <c r="G466" i="34"/>
  <c r="G465" i="34"/>
  <c r="G464" i="34"/>
  <c r="G463" i="34"/>
  <c r="G462" i="34"/>
  <c r="G461" i="34"/>
  <c r="G460" i="34"/>
  <c r="G459" i="34"/>
  <c r="G458" i="34"/>
  <c r="G457" i="34"/>
  <c r="G456" i="34"/>
  <c r="G455" i="34"/>
  <c r="G454" i="34"/>
  <c r="G453" i="34"/>
  <c r="G452" i="34"/>
  <c r="G451" i="34"/>
  <c r="G450" i="34"/>
  <c r="G449" i="34"/>
  <c r="G448" i="34"/>
  <c r="G447" i="34"/>
  <c r="G446" i="34"/>
  <c r="G445" i="34"/>
  <c r="G444" i="34"/>
  <c r="G443" i="34"/>
  <c r="G442" i="34"/>
  <c r="G441" i="34"/>
  <c r="G440" i="34"/>
  <c r="G439" i="34"/>
  <c r="G438" i="34"/>
  <c r="G437" i="34"/>
  <c r="G436" i="34"/>
  <c r="G435" i="34"/>
  <c r="G434" i="34"/>
  <c r="G433" i="34"/>
  <c r="G432" i="34"/>
  <c r="G431" i="34"/>
  <c r="G430" i="34"/>
  <c r="G429" i="34"/>
  <c r="G428" i="34"/>
  <c r="G427" i="34"/>
  <c r="G426" i="34"/>
  <c r="G425" i="34"/>
  <c r="G424" i="34"/>
  <c r="G423" i="34"/>
  <c r="G422" i="34"/>
  <c r="G421" i="34"/>
  <c r="G420" i="34"/>
  <c r="G419" i="34"/>
  <c r="G418" i="34"/>
  <c r="G417" i="34"/>
  <c r="G416" i="34"/>
  <c r="G415" i="34"/>
  <c r="G414" i="34"/>
  <c r="G413" i="34"/>
  <c r="G412" i="34"/>
  <c r="G411" i="34"/>
  <c r="G410" i="34"/>
  <c r="G409" i="34"/>
  <c r="G408" i="34"/>
  <c r="G407" i="34"/>
  <c r="G406" i="34"/>
  <c r="G405" i="34"/>
  <c r="G404" i="34"/>
  <c r="G403" i="34"/>
  <c r="G402" i="34"/>
  <c r="G401" i="34"/>
  <c r="G400" i="34"/>
  <c r="G399" i="34"/>
  <c r="G398" i="34"/>
  <c r="G397" i="34"/>
  <c r="G396" i="34"/>
  <c r="G395" i="34"/>
  <c r="G394" i="34"/>
  <c r="G393" i="34"/>
  <c r="G392" i="34"/>
  <c r="G391" i="34"/>
  <c r="G390" i="34"/>
  <c r="G389" i="34"/>
  <c r="G388" i="34"/>
  <c r="G387" i="34"/>
  <c r="G386" i="34"/>
  <c r="G385" i="34"/>
  <c r="G384" i="34"/>
  <c r="G383" i="34"/>
  <c r="G382" i="34"/>
  <c r="G381" i="34"/>
  <c r="G380" i="34"/>
  <c r="G379" i="34"/>
  <c r="G378" i="34"/>
  <c r="G377" i="34"/>
  <c r="G376" i="34"/>
  <c r="G375" i="34"/>
  <c r="G374" i="34"/>
  <c r="G373" i="34"/>
  <c r="G372" i="34"/>
  <c r="G371" i="34"/>
  <c r="G370" i="34"/>
  <c r="G369" i="34"/>
  <c r="G368" i="34"/>
  <c r="G367" i="34"/>
  <c r="G366" i="34"/>
  <c r="G365" i="34"/>
  <c r="G364" i="34"/>
  <c r="G363" i="34"/>
  <c r="G362" i="34"/>
  <c r="G361" i="34"/>
  <c r="G360" i="34"/>
  <c r="G359" i="34"/>
  <c r="G358" i="34"/>
  <c r="G357" i="34"/>
  <c r="G356" i="34"/>
  <c r="G355" i="34"/>
  <c r="G354" i="34"/>
  <c r="G353" i="34"/>
  <c r="G352" i="34"/>
  <c r="G351" i="34"/>
  <c r="G350" i="34"/>
  <c r="G349" i="34"/>
  <c r="G348" i="34"/>
  <c r="G347" i="34"/>
  <c r="G346" i="34"/>
  <c r="G345" i="34"/>
  <c r="G344" i="34"/>
  <c r="G343" i="34"/>
  <c r="G342" i="34"/>
  <c r="G341" i="34"/>
  <c r="G340" i="34"/>
  <c r="G339" i="34"/>
  <c r="G338" i="34"/>
  <c r="G337" i="34"/>
  <c r="G336" i="34"/>
  <c r="G335" i="34"/>
  <c r="G334" i="34"/>
  <c r="G333" i="34"/>
  <c r="G332" i="34"/>
  <c r="G331" i="34"/>
  <c r="G330" i="34"/>
  <c r="G329" i="34"/>
  <c r="G328" i="34"/>
  <c r="G327" i="34"/>
  <c r="G326" i="34"/>
  <c r="G325" i="34"/>
  <c r="G324" i="34"/>
  <c r="G323" i="34"/>
  <c r="G322" i="34"/>
  <c r="G321" i="34"/>
  <c r="G320" i="34"/>
  <c r="G319" i="34"/>
  <c r="G318" i="34"/>
  <c r="G317" i="34"/>
  <c r="G316" i="34"/>
  <c r="G315" i="34"/>
  <c r="G314" i="34"/>
  <c r="G313" i="34"/>
  <c r="G312" i="34"/>
  <c r="G311" i="34"/>
  <c r="G310" i="34"/>
  <c r="G309" i="34"/>
  <c r="G308" i="34"/>
  <c r="G307" i="34"/>
  <c r="G306" i="34"/>
  <c r="G305" i="34"/>
  <c r="G304" i="34"/>
  <c r="G303" i="34"/>
  <c r="G302" i="34"/>
  <c r="G301" i="34"/>
  <c r="G300" i="34"/>
  <c r="G299" i="34"/>
  <c r="G298" i="34"/>
  <c r="G297" i="34"/>
  <c r="G296" i="34"/>
  <c r="G295" i="34"/>
  <c r="G294" i="34"/>
  <c r="G293" i="34"/>
  <c r="G292" i="34"/>
  <c r="G291" i="34"/>
  <c r="G290" i="34"/>
  <c r="G289" i="34"/>
  <c r="G288" i="34"/>
  <c r="G287" i="34"/>
  <c r="G286" i="34"/>
  <c r="G285" i="34"/>
  <c r="G284" i="34"/>
  <c r="G283" i="34"/>
  <c r="G282" i="34"/>
  <c r="G281" i="34"/>
  <c r="G280" i="34"/>
  <c r="G279" i="34"/>
  <c r="G278" i="34"/>
  <c r="G277" i="34"/>
  <c r="G276" i="34"/>
  <c r="G275" i="34"/>
  <c r="G274" i="34"/>
  <c r="G273" i="34"/>
  <c r="G272" i="34"/>
  <c r="G271" i="34"/>
  <c r="G270" i="34"/>
  <c r="G269" i="34"/>
  <c r="G268" i="34"/>
  <c r="G267" i="34"/>
  <c r="G266" i="34"/>
  <c r="G265" i="34"/>
  <c r="G264" i="34"/>
  <c r="G263" i="34"/>
  <c r="G262" i="34"/>
  <c r="G261" i="34"/>
  <c r="G260" i="34"/>
  <c r="G259" i="34"/>
  <c r="G258" i="34"/>
  <c r="G257" i="34"/>
  <c r="G256" i="34"/>
  <c r="G255" i="34"/>
  <c r="G254" i="34"/>
  <c r="G253" i="34"/>
  <c r="G252" i="34"/>
  <c r="G251" i="34"/>
  <c r="G250" i="34"/>
  <c r="G249" i="34"/>
  <c r="G248" i="34"/>
  <c r="G247" i="34"/>
  <c r="G246" i="34"/>
  <c r="G245" i="34"/>
  <c r="G244" i="34"/>
  <c r="G243" i="34"/>
  <c r="G242" i="34"/>
  <c r="G241" i="34"/>
  <c r="G240" i="34"/>
  <c r="G239" i="34"/>
  <c r="G238" i="34"/>
  <c r="G237" i="34"/>
  <c r="G236" i="34"/>
  <c r="G235" i="34"/>
  <c r="G234" i="34"/>
  <c r="G233" i="34"/>
  <c r="G232" i="34"/>
  <c r="G231" i="34"/>
  <c r="G230" i="34"/>
  <c r="G229" i="34"/>
  <c r="G228" i="34"/>
  <c r="G227" i="34"/>
  <c r="G226" i="34"/>
  <c r="G225" i="34"/>
  <c r="G224" i="34"/>
  <c r="G223" i="34"/>
  <c r="G222" i="34"/>
  <c r="G221" i="34"/>
  <c r="G220" i="34"/>
  <c r="G219" i="34"/>
  <c r="G218" i="34"/>
  <c r="G217" i="34"/>
  <c r="G216" i="34"/>
  <c r="G215" i="34"/>
  <c r="G214" i="34"/>
  <c r="G213" i="34"/>
  <c r="G212" i="34"/>
  <c r="G211" i="34"/>
  <c r="G210" i="34"/>
  <c r="G209" i="34"/>
  <c r="G208" i="34"/>
  <c r="G207" i="34"/>
  <c r="G206" i="34"/>
  <c r="G205" i="34"/>
  <c r="G204" i="34"/>
  <c r="G203" i="34"/>
  <c r="G202" i="34"/>
  <c r="G201" i="34"/>
  <c r="G200" i="34"/>
  <c r="G199" i="34"/>
  <c r="G198" i="34"/>
  <c r="G197" i="34"/>
  <c r="G196" i="34"/>
  <c r="G195" i="34"/>
  <c r="G194" i="34"/>
  <c r="G193" i="34"/>
  <c r="G192" i="34"/>
  <c r="G191" i="34"/>
  <c r="G190" i="34"/>
  <c r="G189" i="34"/>
  <c r="G188" i="34"/>
  <c r="G187" i="34"/>
  <c r="G186" i="34"/>
  <c r="G185" i="34"/>
  <c r="G184" i="34"/>
  <c r="G183" i="34"/>
  <c r="G182" i="34"/>
  <c r="G181" i="34"/>
  <c r="G180" i="34"/>
  <c r="G179" i="34"/>
  <c r="G178" i="34"/>
  <c r="G177" i="34"/>
  <c r="G176" i="34"/>
  <c r="G175" i="34"/>
  <c r="G174" i="34"/>
  <c r="G173" i="34"/>
  <c r="G172" i="34"/>
  <c r="G171" i="34"/>
  <c r="G170" i="34"/>
  <c r="G169" i="34"/>
  <c r="G168" i="34"/>
  <c r="G167" i="34"/>
  <c r="G166" i="34"/>
  <c r="G165" i="34"/>
  <c r="G164" i="34"/>
  <c r="G163" i="34"/>
  <c r="G162" i="34"/>
  <c r="G161" i="34"/>
  <c r="G160" i="34"/>
  <c r="G159" i="34"/>
  <c r="G158" i="34"/>
  <c r="G157" i="34"/>
  <c r="G156" i="34"/>
  <c r="G155" i="34"/>
  <c r="G154" i="34"/>
  <c r="G153" i="34"/>
  <c r="G152" i="34"/>
  <c r="G151" i="34"/>
  <c r="G150" i="34"/>
  <c r="G149" i="34"/>
  <c r="G148" i="34"/>
  <c r="G147" i="34"/>
  <c r="G146" i="34"/>
  <c r="G145" i="34"/>
  <c r="G144" i="34"/>
  <c r="G143" i="34"/>
  <c r="G142" i="34"/>
  <c r="G141" i="34"/>
  <c r="G140" i="34"/>
  <c r="G139" i="34"/>
  <c r="G138" i="34"/>
  <c r="G137" i="34"/>
  <c r="G136" i="34"/>
  <c r="G135" i="34"/>
  <c r="G134" i="34"/>
  <c r="G133" i="34"/>
  <c r="G132" i="34"/>
  <c r="G131" i="34"/>
  <c r="G130" i="34"/>
  <c r="G129" i="34"/>
  <c r="G128" i="34"/>
  <c r="G127" i="34"/>
  <c r="G126" i="34"/>
  <c r="G125" i="34"/>
  <c r="G124" i="34"/>
  <c r="G123" i="34"/>
  <c r="G122" i="34"/>
  <c r="G121" i="34"/>
  <c r="G120" i="34"/>
  <c r="G119" i="34"/>
  <c r="G118" i="34"/>
  <c r="G117" i="34"/>
  <c r="G116" i="34"/>
  <c r="G115" i="34"/>
  <c r="G114" i="34"/>
  <c r="G113" i="34"/>
  <c r="G112" i="34"/>
  <c r="G111" i="34"/>
  <c r="G110" i="34"/>
  <c r="G109" i="34"/>
  <c r="G108" i="34"/>
  <c r="G107" i="34"/>
  <c r="G106" i="34"/>
  <c r="G105" i="34"/>
  <c r="G104" i="34"/>
  <c r="G103" i="34"/>
  <c r="G102" i="34"/>
  <c r="G101" i="34"/>
  <c r="G100" i="34"/>
  <c r="G99" i="34"/>
  <c r="G98" i="34"/>
  <c r="G97" i="34"/>
  <c r="G96" i="34"/>
  <c r="G95" i="34"/>
  <c r="G94" i="34"/>
  <c r="G93" i="34"/>
  <c r="G92" i="34"/>
  <c r="G91" i="34"/>
  <c r="G90" i="34"/>
  <c r="G89" i="34"/>
  <c r="G88" i="34"/>
  <c r="G87" i="34"/>
  <c r="G86" i="34"/>
  <c r="G85" i="34"/>
  <c r="G84" i="34"/>
  <c r="G83" i="34"/>
  <c r="G82" i="34"/>
  <c r="G81" i="34"/>
  <c r="G80" i="34"/>
  <c r="G79" i="34"/>
  <c r="G78" i="34"/>
  <c r="G77" i="34"/>
  <c r="G76" i="34"/>
  <c r="G75" i="34"/>
  <c r="G74" i="34"/>
  <c r="G73" i="34"/>
  <c r="G72" i="34"/>
  <c r="G71" i="34"/>
  <c r="G70" i="34"/>
  <c r="G69" i="34"/>
  <c r="G68" i="34"/>
  <c r="G67" i="34"/>
  <c r="G66" i="34"/>
  <c r="G65" i="34"/>
  <c r="G64" i="34"/>
  <c r="G63" i="34"/>
  <c r="G62" i="34"/>
  <c r="G61" i="34"/>
  <c r="G60" i="34"/>
  <c r="G59" i="34"/>
  <c r="G58" i="34"/>
  <c r="G57" i="34"/>
  <c r="G56" i="34"/>
  <c r="G55" i="34"/>
  <c r="G54" i="34"/>
  <c r="G53" i="34"/>
  <c r="G52" i="34"/>
  <c r="G51" i="34"/>
  <c r="G50" i="34"/>
  <c r="G49" i="34"/>
  <c r="G48" i="34"/>
  <c r="G47" i="34"/>
  <c r="G46" i="34"/>
  <c r="G45" i="34"/>
  <c r="G44" i="34"/>
  <c r="G43" i="34"/>
  <c r="G42" i="34"/>
  <c r="G41" i="34"/>
  <c r="G40" i="34"/>
  <c r="G39" i="34"/>
  <c r="G38" i="34"/>
  <c r="G37" i="34"/>
  <c r="G36" i="34"/>
  <c r="G35" i="34"/>
  <c r="G34" i="34"/>
  <c r="G33" i="34"/>
  <c r="G32" i="34"/>
  <c r="G31" i="34"/>
  <c r="G30" i="34"/>
  <c r="G29" i="34"/>
  <c r="G28" i="34"/>
  <c r="G27" i="34"/>
  <c r="G26" i="34"/>
  <c r="G25" i="34"/>
  <c r="G24" i="34"/>
  <c r="G23" i="34"/>
  <c r="G22" i="34"/>
  <c r="G21" i="34"/>
  <c r="G20" i="34"/>
  <c r="G19" i="34"/>
  <c r="G18" i="34"/>
  <c r="G17" i="34"/>
  <c r="G16" i="34"/>
  <c r="G15" i="34"/>
  <c r="G14" i="34"/>
  <c r="G13" i="34"/>
  <c r="G12" i="34"/>
  <c r="G11" i="34"/>
  <c r="G10" i="34"/>
  <c r="G9" i="34"/>
  <c r="G8" i="34"/>
  <c r="G7" i="34"/>
  <c r="G6" i="34"/>
  <c r="G5" i="34"/>
  <c r="G4" i="34"/>
  <c r="G3" i="34"/>
  <c r="G2" i="34"/>
  <c r="G61" i="32"/>
  <c r="G60" i="32"/>
  <c r="G59" i="32"/>
  <c r="G58" i="32"/>
  <c r="G57" i="32"/>
  <c r="G56" i="32"/>
  <c r="G55" i="32"/>
  <c r="G54" i="32"/>
  <c r="G53" i="32"/>
  <c r="G52" i="32"/>
  <c r="G51" i="32"/>
  <c r="G50" i="32"/>
  <c r="G49" i="32"/>
  <c r="G48" i="32"/>
  <c r="G47" i="32"/>
  <c r="G46" i="32"/>
  <c r="G45" i="32"/>
  <c r="G44" i="32"/>
  <c r="G43" i="32"/>
  <c r="G42" i="32"/>
  <c r="G41" i="32"/>
  <c r="G40" i="32"/>
  <c r="G39" i="32"/>
  <c r="G38" i="32"/>
  <c r="G37" i="32"/>
  <c r="G36" i="32"/>
  <c r="G35" i="32"/>
  <c r="G34" i="32"/>
  <c r="G33" i="32"/>
  <c r="G32" i="32"/>
  <c r="G31" i="32"/>
  <c r="G30" i="32"/>
  <c r="G29" i="32"/>
  <c r="G28" i="32"/>
  <c r="G27" i="32"/>
  <c r="G26" i="32"/>
  <c r="G25" i="32"/>
  <c r="G24" i="32"/>
  <c r="G23" i="32"/>
  <c r="G22" i="32"/>
  <c r="G21" i="32"/>
  <c r="G20" i="32"/>
  <c r="G19" i="32"/>
  <c r="G18" i="32"/>
  <c r="G17" i="32"/>
  <c r="G16" i="32"/>
  <c r="G15" i="32"/>
  <c r="G14" i="32"/>
  <c r="G13" i="32"/>
  <c r="G12" i="32"/>
  <c r="G11" i="32"/>
  <c r="G10" i="32"/>
  <c r="G9" i="32"/>
  <c r="G8" i="32"/>
  <c r="G7" i="32"/>
  <c r="G6" i="32"/>
  <c r="G5" i="32"/>
  <c r="G4" i="32"/>
  <c r="G3" i="32"/>
  <c r="G2" i="32"/>
  <c r="G581" i="30"/>
  <c r="G580" i="30"/>
  <c r="G579" i="30"/>
  <c r="G578" i="30"/>
  <c r="G577" i="30"/>
  <c r="G576" i="30"/>
  <c r="G575" i="30"/>
  <c r="G574" i="30"/>
  <c r="G573" i="30"/>
  <c r="G572" i="30"/>
  <c r="G571" i="30"/>
  <c r="G570" i="30"/>
  <c r="G569" i="30"/>
  <c r="G568" i="30"/>
  <c r="G567" i="30"/>
  <c r="G566" i="30"/>
  <c r="G565" i="30"/>
  <c r="G564" i="30"/>
  <c r="G563" i="30"/>
  <c r="G562" i="30"/>
  <c r="G561" i="30"/>
  <c r="G560" i="30"/>
  <c r="G559" i="30"/>
  <c r="G558" i="30"/>
  <c r="G557" i="30"/>
  <c r="G556" i="30"/>
  <c r="G555" i="30"/>
  <c r="G554" i="30"/>
  <c r="G553" i="30"/>
  <c r="G552" i="30"/>
  <c r="G551" i="30"/>
  <c r="G550" i="30"/>
  <c r="G549" i="30"/>
  <c r="G548" i="30"/>
  <c r="G547" i="30"/>
  <c r="G546" i="30"/>
  <c r="G545" i="30"/>
  <c r="G544" i="30"/>
  <c r="G543" i="30"/>
  <c r="G542" i="30"/>
  <c r="G541" i="30"/>
  <c r="G540" i="30"/>
  <c r="G539" i="30"/>
  <c r="G538" i="30"/>
  <c r="G537" i="30"/>
  <c r="G536" i="30"/>
  <c r="G535" i="30"/>
  <c r="G534" i="30"/>
  <c r="G533" i="30"/>
  <c r="G532" i="30"/>
  <c r="G531" i="30"/>
  <c r="G530" i="30"/>
  <c r="G529" i="30"/>
  <c r="G528" i="30"/>
  <c r="G527" i="30"/>
  <c r="G526" i="30"/>
  <c r="G525" i="30"/>
  <c r="G524" i="30"/>
  <c r="G523" i="30"/>
  <c r="G522" i="30"/>
  <c r="G521" i="30"/>
  <c r="G520" i="30"/>
  <c r="G519" i="30"/>
  <c r="G518" i="30"/>
  <c r="G517" i="30"/>
  <c r="G516" i="30"/>
  <c r="G515" i="30"/>
  <c r="G514" i="30"/>
  <c r="G513" i="30"/>
  <c r="G512" i="30"/>
  <c r="G511" i="30"/>
  <c r="G510" i="30"/>
  <c r="G509" i="30"/>
  <c r="G508" i="30"/>
  <c r="G507" i="30"/>
  <c r="G506" i="30"/>
  <c r="G505" i="30"/>
  <c r="G504" i="30"/>
  <c r="G503" i="30"/>
  <c r="G502" i="30"/>
  <c r="G501" i="30"/>
  <c r="G500" i="30"/>
  <c r="G499" i="30"/>
  <c r="G498" i="30"/>
  <c r="G497" i="30"/>
  <c r="G496" i="30"/>
  <c r="G495" i="30"/>
  <c r="G494" i="30"/>
  <c r="G493" i="30"/>
  <c r="G492" i="30"/>
  <c r="G491" i="30"/>
  <c r="G490" i="30"/>
  <c r="G489" i="30"/>
  <c r="G488" i="30"/>
  <c r="G487" i="30"/>
  <c r="G486" i="30"/>
  <c r="G485" i="30"/>
  <c r="G484" i="30"/>
  <c r="G483" i="30"/>
  <c r="G482" i="30"/>
  <c r="G481" i="30"/>
  <c r="G480" i="30"/>
  <c r="G479" i="30"/>
  <c r="G478" i="30"/>
  <c r="G477" i="30"/>
  <c r="G476" i="30"/>
  <c r="G475" i="30"/>
  <c r="G474" i="30"/>
  <c r="G473" i="30"/>
  <c r="G472" i="30"/>
  <c r="G471" i="30"/>
  <c r="G470" i="30"/>
  <c r="G469" i="30"/>
  <c r="G468" i="30"/>
  <c r="G467" i="30"/>
  <c r="G466" i="30"/>
  <c r="G465" i="30"/>
  <c r="G464" i="30"/>
  <c r="G463" i="30"/>
  <c r="G462" i="30"/>
  <c r="G461" i="30"/>
  <c r="G460" i="30"/>
  <c r="G459" i="30"/>
  <c r="G458" i="30"/>
  <c r="G457" i="30"/>
  <c r="G456" i="30"/>
  <c r="G455" i="30"/>
  <c r="G454" i="30"/>
  <c r="G453" i="30"/>
  <c r="G452" i="30"/>
  <c r="G451" i="30"/>
  <c r="G450" i="30"/>
  <c r="G449" i="30"/>
  <c r="G448" i="30"/>
  <c r="G447" i="30"/>
  <c r="G446" i="30"/>
  <c r="G445" i="30"/>
  <c r="G444" i="30"/>
  <c r="G443" i="30"/>
  <c r="G442" i="30"/>
  <c r="G441" i="30"/>
  <c r="G440" i="30"/>
  <c r="G439" i="30"/>
  <c r="G438" i="30"/>
  <c r="G437" i="30"/>
  <c r="G436" i="30"/>
  <c r="G435" i="30"/>
  <c r="G434" i="30"/>
  <c r="G433" i="30"/>
  <c r="G432" i="30"/>
  <c r="G431" i="30"/>
  <c r="G430" i="30"/>
  <c r="G429" i="30"/>
  <c r="G428" i="30"/>
  <c r="G427" i="30"/>
  <c r="G426" i="30"/>
  <c r="G425" i="30"/>
  <c r="G424" i="30"/>
  <c r="G423" i="30"/>
  <c r="G422" i="30"/>
  <c r="G421" i="30"/>
  <c r="G420" i="30"/>
  <c r="G419" i="30"/>
  <c r="G418" i="30"/>
  <c r="G417" i="30"/>
  <c r="G416" i="30"/>
  <c r="G415" i="30"/>
  <c r="G414" i="30"/>
  <c r="G413" i="30"/>
  <c r="G412" i="30"/>
  <c r="G411" i="30"/>
  <c r="G410" i="30"/>
  <c r="G409" i="30"/>
  <c r="G408" i="30"/>
  <c r="G407" i="30"/>
  <c r="G406" i="30"/>
  <c r="G405" i="30"/>
  <c r="G404" i="30"/>
  <c r="G403" i="30"/>
  <c r="G402" i="30"/>
  <c r="G401" i="30"/>
  <c r="G400" i="30"/>
  <c r="G399" i="30"/>
  <c r="G398" i="30"/>
  <c r="G397" i="30"/>
  <c r="G396" i="30"/>
  <c r="G395" i="30"/>
  <c r="G394" i="30"/>
  <c r="G393" i="30"/>
  <c r="G392" i="30"/>
  <c r="G391" i="30"/>
  <c r="G390" i="30"/>
  <c r="G389" i="30"/>
  <c r="G388" i="30"/>
  <c r="G387" i="30"/>
  <c r="G386" i="30"/>
  <c r="G385" i="30"/>
  <c r="G384" i="30"/>
  <c r="G383" i="30"/>
  <c r="G382" i="30"/>
  <c r="G381" i="30"/>
  <c r="G380" i="30"/>
  <c r="G379" i="30"/>
  <c r="G378" i="30"/>
  <c r="G377" i="30"/>
  <c r="G376" i="30"/>
  <c r="G375" i="30"/>
  <c r="G374" i="30"/>
  <c r="G373" i="30"/>
  <c r="G372" i="30"/>
  <c r="G371" i="30"/>
  <c r="G370" i="30"/>
  <c r="G369" i="30"/>
  <c r="G368" i="30"/>
  <c r="G367" i="30"/>
  <c r="G366" i="30"/>
  <c r="G365" i="30"/>
  <c r="G364" i="30"/>
  <c r="G363" i="30"/>
  <c r="G362" i="30"/>
  <c r="G361" i="30"/>
  <c r="G360" i="30"/>
  <c r="G359" i="30"/>
  <c r="G358" i="30"/>
  <c r="G357" i="30"/>
  <c r="G356" i="30"/>
  <c r="G355" i="30"/>
  <c r="G354" i="30"/>
  <c r="G353" i="30"/>
  <c r="G352" i="30"/>
  <c r="G351" i="30"/>
  <c r="G350" i="30"/>
  <c r="G349" i="30"/>
  <c r="G348" i="30"/>
  <c r="G347" i="30"/>
  <c r="G346" i="30"/>
  <c r="G345" i="30"/>
  <c r="G344" i="30"/>
  <c r="G343" i="30"/>
  <c r="G342" i="30"/>
  <c r="G341" i="30"/>
  <c r="G340" i="30"/>
  <c r="G339" i="30"/>
  <c r="G338" i="30"/>
  <c r="G337" i="30"/>
  <c r="G336" i="30"/>
  <c r="G335" i="30"/>
  <c r="G334" i="30"/>
  <c r="G333" i="30"/>
  <c r="G332" i="30"/>
  <c r="G331" i="30"/>
  <c r="G330" i="30"/>
  <c r="G329" i="30"/>
  <c r="G328" i="30"/>
  <c r="G327" i="30"/>
  <c r="G326" i="30"/>
  <c r="G325" i="30"/>
  <c r="G324" i="30"/>
  <c r="G323" i="30"/>
  <c r="G322" i="30"/>
  <c r="G321" i="30"/>
  <c r="G320" i="30"/>
  <c r="G319" i="30"/>
  <c r="G318" i="30"/>
  <c r="G317" i="30"/>
  <c r="G316" i="30"/>
  <c r="G315" i="30"/>
  <c r="G314" i="30"/>
  <c r="G313" i="30"/>
  <c r="G312" i="30"/>
  <c r="G311" i="30"/>
  <c r="G310" i="30"/>
  <c r="G309" i="30"/>
  <c r="G308" i="30"/>
  <c r="G307" i="30"/>
  <c r="G306" i="30"/>
  <c r="G305" i="30"/>
  <c r="G304" i="30"/>
  <c r="G303" i="30"/>
  <c r="G302" i="30"/>
  <c r="G301" i="30"/>
  <c r="G300" i="30"/>
  <c r="G299" i="30"/>
  <c r="G298" i="30"/>
  <c r="G297" i="30"/>
  <c r="G296" i="30"/>
  <c r="G295" i="30"/>
  <c r="G294" i="30"/>
  <c r="G293" i="30"/>
  <c r="G292" i="30"/>
  <c r="G291" i="30"/>
  <c r="G290" i="30"/>
  <c r="G289" i="30"/>
  <c r="G288" i="30"/>
  <c r="G287" i="30"/>
  <c r="G286" i="30"/>
  <c r="G285" i="30"/>
  <c r="G284" i="30"/>
  <c r="G283" i="30"/>
  <c r="G282" i="30"/>
  <c r="G281" i="30"/>
  <c r="G280" i="30"/>
  <c r="G279" i="30"/>
  <c r="G278" i="30"/>
  <c r="G277" i="30"/>
  <c r="G276" i="30"/>
  <c r="G275" i="30"/>
  <c r="G274" i="30"/>
  <c r="G273" i="30"/>
  <c r="G272" i="30"/>
  <c r="G271" i="30"/>
  <c r="G270" i="30"/>
  <c r="G269" i="30"/>
  <c r="G268" i="30"/>
  <c r="G267" i="30"/>
  <c r="G266" i="30"/>
  <c r="G265" i="30"/>
  <c r="G264" i="30"/>
  <c r="G263" i="30"/>
  <c r="G262" i="30"/>
  <c r="G261" i="30"/>
  <c r="G260" i="30"/>
  <c r="G259" i="30"/>
  <c r="G258" i="30"/>
  <c r="G257" i="30"/>
  <c r="G256" i="30"/>
  <c r="G255" i="30"/>
  <c r="G254" i="30"/>
  <c r="G253" i="30"/>
  <c r="G252" i="30"/>
  <c r="G251" i="30"/>
  <c r="G250" i="30"/>
  <c r="G249" i="30"/>
  <c r="G248" i="30"/>
  <c r="G247" i="30"/>
  <c r="G246" i="30"/>
  <c r="G245" i="30"/>
  <c r="G244" i="30"/>
  <c r="G243" i="30"/>
  <c r="G242" i="30"/>
  <c r="G241" i="30"/>
  <c r="G240" i="30"/>
  <c r="G239" i="30"/>
  <c r="G238" i="30"/>
  <c r="G237" i="30"/>
  <c r="G236" i="30"/>
  <c r="G235" i="30"/>
  <c r="G234" i="30"/>
  <c r="G233" i="30"/>
  <c r="G232" i="30"/>
  <c r="G231" i="30"/>
  <c r="G230" i="30"/>
  <c r="G229" i="30"/>
  <c r="G228" i="30"/>
  <c r="G227" i="30"/>
  <c r="G226" i="30"/>
  <c r="G225" i="30"/>
  <c r="G224" i="30"/>
  <c r="G223" i="30"/>
  <c r="G222" i="30"/>
  <c r="G221" i="30"/>
  <c r="G220" i="30"/>
  <c r="G219" i="30"/>
  <c r="G218" i="30"/>
  <c r="G217" i="30"/>
  <c r="G216" i="30"/>
  <c r="G215" i="30"/>
  <c r="G214" i="30"/>
  <c r="G213" i="30"/>
  <c r="G212" i="30"/>
  <c r="G211" i="30"/>
  <c r="G210" i="30"/>
  <c r="G209" i="30"/>
  <c r="G208" i="30"/>
  <c r="G207" i="30"/>
  <c r="G206" i="30"/>
  <c r="G205" i="30"/>
  <c r="G204" i="30"/>
  <c r="G203" i="30"/>
  <c r="G202" i="30"/>
  <c r="G201" i="30"/>
  <c r="G200" i="30"/>
  <c r="G199" i="30"/>
  <c r="G198" i="30"/>
  <c r="G197" i="30"/>
  <c r="G196" i="30"/>
  <c r="G195" i="30"/>
  <c r="G194" i="30"/>
  <c r="G193" i="30"/>
  <c r="G192" i="30"/>
  <c r="G191" i="30"/>
  <c r="G190" i="30"/>
  <c r="G189" i="30"/>
  <c r="G188" i="30"/>
  <c r="G187" i="30"/>
  <c r="G186" i="30"/>
  <c r="G185" i="30"/>
  <c r="G184" i="30"/>
  <c r="G183" i="30"/>
  <c r="G182" i="30"/>
  <c r="G181" i="30"/>
  <c r="G180" i="30"/>
  <c r="G179" i="30"/>
  <c r="G178" i="30"/>
  <c r="G177" i="30"/>
  <c r="G176" i="30"/>
  <c r="G175" i="30"/>
  <c r="G174" i="30"/>
  <c r="G173" i="30"/>
  <c r="G172" i="30"/>
  <c r="G171" i="30"/>
  <c r="G170" i="30"/>
  <c r="G169" i="30"/>
  <c r="G168" i="30"/>
  <c r="G167" i="30"/>
  <c r="G166" i="30"/>
  <c r="G165" i="30"/>
  <c r="G164" i="30"/>
  <c r="G163" i="30"/>
  <c r="G162" i="30"/>
  <c r="G161" i="30"/>
  <c r="G160" i="30"/>
  <c r="G159" i="30"/>
  <c r="G158" i="30"/>
  <c r="G157" i="30"/>
  <c r="G156" i="30"/>
  <c r="G155" i="30"/>
  <c r="G154" i="30"/>
  <c r="G153" i="30"/>
  <c r="G152" i="30"/>
  <c r="G151" i="30"/>
  <c r="G150" i="30"/>
  <c r="G149" i="30"/>
  <c r="G148" i="30"/>
  <c r="G147" i="30"/>
  <c r="G146" i="30"/>
  <c r="G145" i="30"/>
  <c r="G144" i="30"/>
  <c r="G143" i="30"/>
  <c r="G142" i="30"/>
  <c r="G141" i="30"/>
  <c r="G140" i="30"/>
  <c r="G139" i="30"/>
  <c r="G138" i="30"/>
  <c r="G137" i="30"/>
  <c r="G136" i="30"/>
  <c r="G135" i="30"/>
  <c r="G134" i="30"/>
  <c r="G133" i="30"/>
  <c r="G132" i="30"/>
  <c r="G131" i="30"/>
  <c r="G130" i="30"/>
  <c r="G129" i="30"/>
  <c r="G128" i="30"/>
  <c r="G127" i="30"/>
  <c r="G126" i="30"/>
  <c r="G125" i="30"/>
  <c r="G124" i="30"/>
  <c r="G123" i="30"/>
  <c r="G122" i="30"/>
  <c r="G121" i="30"/>
  <c r="G120" i="30"/>
  <c r="G119" i="30"/>
  <c r="G118" i="30"/>
  <c r="G117" i="30"/>
  <c r="G116" i="30"/>
  <c r="G115" i="30"/>
  <c r="G114" i="30"/>
  <c r="G113" i="30"/>
  <c r="G112" i="30"/>
  <c r="G111" i="30"/>
  <c r="G110" i="30"/>
  <c r="G109" i="30"/>
  <c r="G108" i="30"/>
  <c r="G107" i="30"/>
  <c r="G106" i="30"/>
  <c r="G105" i="30"/>
  <c r="G104" i="30"/>
  <c r="G103" i="30"/>
  <c r="G102" i="30"/>
  <c r="G101" i="30"/>
  <c r="G100" i="30"/>
  <c r="G99" i="30"/>
  <c r="G98" i="30"/>
  <c r="G97" i="30"/>
  <c r="G96" i="30"/>
  <c r="G95" i="30"/>
  <c r="G94" i="30"/>
  <c r="G93" i="30"/>
  <c r="G92" i="30"/>
  <c r="G91" i="30"/>
  <c r="G90" i="30"/>
  <c r="G89" i="30"/>
  <c r="G88" i="30"/>
  <c r="G87" i="30"/>
  <c r="G86" i="30"/>
  <c r="G85" i="30"/>
  <c r="G84" i="30"/>
  <c r="G83" i="30"/>
  <c r="G82" i="30"/>
  <c r="G81" i="30"/>
  <c r="G80" i="30"/>
  <c r="G79" i="30"/>
  <c r="G78" i="30"/>
  <c r="G77" i="30"/>
  <c r="G76" i="30"/>
  <c r="G75" i="30"/>
  <c r="G74" i="30"/>
  <c r="G73" i="30"/>
  <c r="G72" i="30"/>
  <c r="G71" i="30"/>
  <c r="G70" i="30"/>
  <c r="G69" i="30"/>
  <c r="G68" i="30"/>
  <c r="G67" i="30"/>
  <c r="G66" i="30"/>
  <c r="G65" i="30"/>
  <c r="G64" i="30"/>
  <c r="G63" i="30"/>
  <c r="G62" i="30"/>
  <c r="G61" i="30"/>
  <c r="G60" i="30"/>
  <c r="G59" i="30"/>
  <c r="G58" i="30"/>
  <c r="G57" i="30"/>
  <c r="G56" i="30"/>
  <c r="G55" i="30"/>
  <c r="G54" i="30"/>
  <c r="G53" i="30"/>
  <c r="G52" i="30"/>
  <c r="G51" i="30"/>
  <c r="G50" i="30"/>
  <c r="G49" i="30"/>
  <c r="G48" i="30"/>
  <c r="G47" i="30"/>
  <c r="G46" i="30"/>
  <c r="G45" i="30"/>
  <c r="G44" i="30"/>
  <c r="G43" i="30"/>
  <c r="G42" i="30"/>
  <c r="G41" i="30"/>
  <c r="G40" i="30"/>
  <c r="G39" i="30"/>
  <c r="G38" i="30"/>
  <c r="G37" i="30"/>
  <c r="G36" i="30"/>
  <c r="G35" i="30"/>
  <c r="G34" i="30"/>
  <c r="G33" i="30"/>
  <c r="G32" i="30"/>
  <c r="G31" i="30"/>
  <c r="G30" i="30"/>
  <c r="G29" i="30"/>
  <c r="G28" i="30"/>
  <c r="G27" i="30"/>
  <c r="G26" i="30"/>
  <c r="G25" i="30"/>
  <c r="G24" i="30"/>
  <c r="G23" i="30"/>
  <c r="G22" i="30"/>
  <c r="G21" i="30"/>
  <c r="G20" i="30"/>
  <c r="G19" i="30"/>
  <c r="G18" i="30"/>
  <c r="G17" i="30"/>
  <c r="G16" i="30"/>
  <c r="G15" i="30"/>
  <c r="G14" i="30"/>
  <c r="G13" i="30"/>
  <c r="G12" i="30"/>
  <c r="G11" i="30"/>
  <c r="G10" i="30"/>
  <c r="G9" i="30"/>
  <c r="G8" i="30"/>
  <c r="G7" i="30"/>
  <c r="G6" i="30"/>
  <c r="G5" i="30"/>
  <c r="G4" i="30"/>
  <c r="G3" i="30"/>
  <c r="G2" i="30"/>
  <c r="G61" i="28"/>
  <c r="G60" i="28"/>
  <c r="G59" i="28"/>
  <c r="G58" i="28"/>
  <c r="G57" i="28"/>
  <c r="G56" i="28"/>
  <c r="G55" i="28"/>
  <c r="G54" i="28"/>
  <c r="G53" i="28"/>
  <c r="G52" i="28"/>
  <c r="G51" i="28"/>
  <c r="G50" i="28"/>
  <c r="G49" i="28"/>
  <c r="G48" i="28"/>
  <c r="G47" i="28"/>
  <c r="G46" i="28"/>
  <c r="G45" i="28"/>
  <c r="G44" i="28"/>
  <c r="G43" i="28"/>
  <c r="G42" i="28"/>
  <c r="G41" i="28"/>
  <c r="G40" i="28"/>
  <c r="G39" i="28"/>
  <c r="G38" i="28"/>
  <c r="G37" i="28"/>
  <c r="G36" i="28"/>
  <c r="G35" i="28"/>
  <c r="G34" i="28"/>
  <c r="G33" i="28"/>
  <c r="G32" i="28"/>
  <c r="G31" i="28"/>
  <c r="G30" i="28"/>
  <c r="G29" i="28"/>
  <c r="G28" i="28"/>
  <c r="G27" i="28"/>
  <c r="G26" i="28"/>
  <c r="G25" i="28"/>
  <c r="G24" i="28"/>
  <c r="G23" i="28"/>
  <c r="G22" i="28"/>
  <c r="G21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G2" i="28"/>
  <c r="G549" i="26"/>
  <c r="G548" i="26"/>
  <c r="G547" i="26"/>
  <c r="G546" i="26"/>
  <c r="G545" i="26"/>
  <c r="G544" i="26"/>
  <c r="G543" i="26"/>
  <c r="G542" i="26"/>
  <c r="G541" i="26"/>
  <c r="G540" i="26"/>
  <c r="G539" i="26"/>
  <c r="G538" i="26"/>
  <c r="G537" i="26"/>
  <c r="G536" i="26"/>
  <c r="G535" i="26"/>
  <c r="G534" i="26"/>
  <c r="G533" i="26"/>
  <c r="G532" i="26"/>
  <c r="G531" i="26"/>
  <c r="G530" i="26"/>
  <c r="G529" i="26"/>
  <c r="G528" i="26"/>
  <c r="G527" i="26"/>
  <c r="G526" i="26"/>
  <c r="G525" i="26"/>
  <c r="G524" i="26"/>
  <c r="G523" i="26"/>
  <c r="G522" i="26"/>
  <c r="G521" i="26"/>
  <c r="G520" i="26"/>
  <c r="G519" i="26"/>
  <c r="G518" i="26"/>
  <c r="G517" i="26"/>
  <c r="G516" i="26"/>
  <c r="G515" i="26"/>
  <c r="G514" i="26"/>
  <c r="G513" i="26"/>
  <c r="G512" i="26"/>
  <c r="G511" i="26"/>
  <c r="G510" i="26"/>
  <c r="G509" i="26"/>
  <c r="G508" i="26"/>
  <c r="G507" i="26"/>
  <c r="G506" i="26"/>
  <c r="G505" i="26"/>
  <c r="G504" i="26"/>
  <c r="G503" i="26"/>
  <c r="G502" i="26"/>
  <c r="G501" i="26"/>
  <c r="G500" i="26"/>
  <c r="G499" i="26"/>
  <c r="G498" i="26"/>
  <c r="G497" i="26"/>
  <c r="G496" i="26"/>
  <c r="G495" i="26"/>
  <c r="G494" i="26"/>
  <c r="G493" i="26"/>
  <c r="G492" i="26"/>
  <c r="G491" i="26"/>
  <c r="G490" i="26"/>
  <c r="G489" i="26"/>
  <c r="G488" i="26"/>
  <c r="G487" i="26"/>
  <c r="G486" i="26"/>
  <c r="G485" i="26"/>
  <c r="G484" i="26"/>
  <c r="G483" i="26"/>
  <c r="G482" i="26"/>
  <c r="G481" i="26"/>
  <c r="G480" i="26"/>
  <c r="G479" i="26"/>
  <c r="G478" i="26"/>
  <c r="G477" i="26"/>
  <c r="G476" i="26"/>
  <c r="G475" i="26"/>
  <c r="G474" i="26"/>
  <c r="G473" i="26"/>
  <c r="G472" i="26"/>
  <c r="G471" i="26"/>
  <c r="G470" i="26"/>
  <c r="G469" i="26"/>
  <c r="G468" i="26"/>
  <c r="G467" i="26"/>
  <c r="G466" i="26"/>
  <c r="G465" i="26"/>
  <c r="G464" i="26"/>
  <c r="G463" i="26"/>
  <c r="G462" i="26"/>
  <c r="G461" i="26"/>
  <c r="G460" i="26"/>
  <c r="G459" i="26"/>
  <c r="G458" i="26"/>
  <c r="G457" i="26"/>
  <c r="G456" i="26"/>
  <c r="G455" i="26"/>
  <c r="G454" i="26"/>
  <c r="G453" i="26"/>
  <c r="G452" i="26"/>
  <c r="G451" i="26"/>
  <c r="G450" i="26"/>
  <c r="G449" i="26"/>
  <c r="G448" i="26"/>
  <c r="G447" i="26"/>
  <c r="G446" i="26"/>
  <c r="G445" i="26"/>
  <c r="G444" i="26"/>
  <c r="G443" i="26"/>
  <c r="G442" i="26"/>
  <c r="G441" i="26"/>
  <c r="G440" i="26"/>
  <c r="G439" i="26"/>
  <c r="G438" i="26"/>
  <c r="G437" i="26"/>
  <c r="G436" i="26"/>
  <c r="G435" i="26"/>
  <c r="G434" i="26"/>
  <c r="G433" i="26"/>
  <c r="G432" i="26"/>
  <c r="G431" i="26"/>
  <c r="G430" i="26"/>
  <c r="G429" i="26"/>
  <c r="G428" i="26"/>
  <c r="G427" i="26"/>
  <c r="G426" i="26"/>
  <c r="G425" i="26"/>
  <c r="G424" i="26"/>
  <c r="G423" i="26"/>
  <c r="G422" i="26"/>
  <c r="G421" i="26"/>
  <c r="G420" i="26"/>
  <c r="G419" i="26"/>
  <c r="G418" i="26"/>
  <c r="G417" i="26"/>
  <c r="G416" i="26"/>
  <c r="G415" i="26"/>
  <c r="G414" i="26"/>
  <c r="G413" i="26"/>
  <c r="G412" i="26"/>
  <c r="G411" i="26"/>
  <c r="G410" i="26"/>
  <c r="G409" i="26"/>
  <c r="G408" i="26"/>
  <c r="G407" i="26"/>
  <c r="G406" i="26"/>
  <c r="G405" i="26"/>
  <c r="G404" i="26"/>
  <c r="G403" i="26"/>
  <c r="G402" i="26"/>
  <c r="G401" i="26"/>
  <c r="G400" i="26"/>
  <c r="G399" i="26"/>
  <c r="G398" i="26"/>
  <c r="G397" i="26"/>
  <c r="G396" i="26"/>
  <c r="G395" i="26"/>
  <c r="G394" i="26"/>
  <c r="G393" i="26"/>
  <c r="G392" i="26"/>
  <c r="G391" i="26"/>
  <c r="G390" i="26"/>
  <c r="G389" i="26"/>
  <c r="G388" i="26"/>
  <c r="G387" i="26"/>
  <c r="G386" i="26"/>
  <c r="G385" i="26"/>
  <c r="G384" i="26"/>
  <c r="G383" i="26"/>
  <c r="G382" i="26"/>
  <c r="G381" i="26"/>
  <c r="G380" i="26"/>
  <c r="G379" i="26"/>
  <c r="G378" i="26"/>
  <c r="G377" i="26"/>
  <c r="G376" i="26"/>
  <c r="G375" i="26"/>
  <c r="G374" i="26"/>
  <c r="G373" i="26"/>
  <c r="G372" i="26"/>
  <c r="G371" i="26"/>
  <c r="G370" i="26"/>
  <c r="G369" i="26"/>
  <c r="G368" i="26"/>
  <c r="G367" i="26"/>
  <c r="G366" i="26"/>
  <c r="G365" i="26"/>
  <c r="G364" i="26"/>
  <c r="G363" i="26"/>
  <c r="G362" i="26"/>
  <c r="G361" i="26"/>
  <c r="G360" i="26"/>
  <c r="G359" i="26"/>
  <c r="G358" i="26"/>
  <c r="G357" i="26"/>
  <c r="G356" i="26"/>
  <c r="G355" i="26"/>
  <c r="G354" i="26"/>
  <c r="G353" i="26"/>
  <c r="G352" i="26"/>
  <c r="G351" i="26"/>
  <c r="G350" i="26"/>
  <c r="G349" i="26"/>
  <c r="G348" i="26"/>
  <c r="G347" i="26"/>
  <c r="G346" i="26"/>
  <c r="G345" i="26"/>
  <c r="G344" i="26"/>
  <c r="G343" i="26"/>
  <c r="G342" i="26"/>
  <c r="G341" i="26"/>
  <c r="G340" i="26"/>
  <c r="G339" i="26"/>
  <c r="G338" i="26"/>
  <c r="G337" i="26"/>
  <c r="G336" i="26"/>
  <c r="G335" i="26"/>
  <c r="G334" i="26"/>
  <c r="G333" i="26"/>
  <c r="G332" i="26"/>
  <c r="G331" i="26"/>
  <c r="G330" i="26"/>
  <c r="G329" i="26"/>
  <c r="G328" i="26"/>
  <c r="G327" i="26"/>
  <c r="G326" i="26"/>
  <c r="G325" i="26"/>
  <c r="G324" i="26"/>
  <c r="G323" i="26"/>
  <c r="G322" i="26"/>
  <c r="G321" i="26"/>
  <c r="G320" i="26"/>
  <c r="G319" i="26"/>
  <c r="G318" i="26"/>
  <c r="G317" i="26"/>
  <c r="G316" i="26"/>
  <c r="G315" i="26"/>
  <c r="G314" i="26"/>
  <c r="G313" i="26"/>
  <c r="G312" i="26"/>
  <c r="G311" i="26"/>
  <c r="G310" i="26"/>
  <c r="G309" i="26"/>
  <c r="G308" i="26"/>
  <c r="G307" i="26"/>
  <c r="G306" i="26"/>
  <c r="G305" i="26"/>
  <c r="G304" i="26"/>
  <c r="G303" i="26"/>
  <c r="G302" i="26"/>
  <c r="G301" i="26"/>
  <c r="G300" i="26"/>
  <c r="G299" i="26"/>
  <c r="G298" i="26"/>
  <c r="G297" i="26"/>
  <c r="G296" i="26"/>
  <c r="G295" i="26"/>
  <c r="G294" i="26"/>
  <c r="G293" i="26"/>
  <c r="G292" i="26"/>
  <c r="G291" i="26"/>
  <c r="G290" i="26"/>
  <c r="G289" i="26"/>
  <c r="G288" i="26"/>
  <c r="G287" i="26"/>
  <c r="G286" i="26"/>
  <c r="G285" i="26"/>
  <c r="G284" i="26"/>
  <c r="G283" i="26"/>
  <c r="G282" i="26"/>
  <c r="G281" i="26"/>
  <c r="G280" i="26"/>
  <c r="G279" i="26"/>
  <c r="G278" i="26"/>
  <c r="G277" i="26"/>
  <c r="G276" i="26"/>
  <c r="G275" i="26"/>
  <c r="G274" i="26"/>
  <c r="G273" i="26"/>
  <c r="G272" i="26"/>
  <c r="G271" i="26"/>
  <c r="G270" i="26"/>
  <c r="G269" i="26"/>
  <c r="G268" i="26"/>
  <c r="G267" i="26"/>
  <c r="G266" i="26"/>
  <c r="G265" i="26"/>
  <c r="G264" i="26"/>
  <c r="G263" i="26"/>
  <c r="G262" i="26"/>
  <c r="G261" i="26"/>
  <c r="G260" i="26"/>
  <c r="G259" i="26"/>
  <c r="G258" i="26"/>
  <c r="G257" i="26"/>
  <c r="G256" i="26"/>
  <c r="G255" i="26"/>
  <c r="G254" i="26"/>
  <c r="G253" i="26"/>
  <c r="G252" i="26"/>
  <c r="G251" i="26"/>
  <c r="G250" i="26"/>
  <c r="G249" i="26"/>
  <c r="G248" i="26"/>
  <c r="G247" i="26"/>
  <c r="G246" i="26"/>
  <c r="G245" i="26"/>
  <c r="G244" i="26"/>
  <c r="G243" i="26"/>
  <c r="G242" i="26"/>
  <c r="G241" i="26"/>
  <c r="G240" i="26"/>
  <c r="G239" i="26"/>
  <c r="G238" i="26"/>
  <c r="G237" i="26"/>
  <c r="G236" i="26"/>
  <c r="G235" i="26"/>
  <c r="G234" i="26"/>
  <c r="G233" i="26"/>
  <c r="G232" i="26"/>
  <c r="G231" i="26"/>
  <c r="G230" i="26"/>
  <c r="G229" i="26"/>
  <c r="G228" i="26"/>
  <c r="G227" i="26"/>
  <c r="G226" i="26"/>
  <c r="G225" i="26"/>
  <c r="G224" i="26"/>
  <c r="G223" i="26"/>
  <c r="G222" i="26"/>
  <c r="G221" i="26"/>
  <c r="G220" i="26"/>
  <c r="G219" i="26"/>
  <c r="G218" i="26"/>
  <c r="G217" i="26"/>
  <c r="G216" i="26"/>
  <c r="G215" i="26"/>
  <c r="G214" i="26"/>
  <c r="G213" i="26"/>
  <c r="G212" i="26"/>
  <c r="G211" i="26"/>
  <c r="G210" i="26"/>
  <c r="G209" i="26"/>
  <c r="G208" i="26"/>
  <c r="G207" i="26"/>
  <c r="G206" i="26"/>
  <c r="G205" i="26"/>
  <c r="G204" i="26"/>
  <c r="G203" i="26"/>
  <c r="G202" i="26"/>
  <c r="G201" i="26"/>
  <c r="G200" i="26"/>
  <c r="G199" i="26"/>
  <c r="G198" i="26"/>
  <c r="G197" i="26"/>
  <c r="G196" i="26"/>
  <c r="G195" i="26"/>
  <c r="G194" i="26"/>
  <c r="G193" i="26"/>
  <c r="G192" i="26"/>
  <c r="G191" i="26"/>
  <c r="G190" i="26"/>
  <c r="G189" i="26"/>
  <c r="G188" i="26"/>
  <c r="G187" i="26"/>
  <c r="G186" i="26"/>
  <c r="G185" i="26"/>
  <c r="G184" i="26"/>
  <c r="G183" i="26"/>
  <c r="G182" i="26"/>
  <c r="G181" i="26"/>
  <c r="G180" i="26"/>
  <c r="G179" i="26"/>
  <c r="G178" i="26"/>
  <c r="G177" i="26"/>
  <c r="G176" i="26"/>
  <c r="G175" i="26"/>
  <c r="G174" i="26"/>
  <c r="G173" i="26"/>
  <c r="G172" i="26"/>
  <c r="G171" i="26"/>
  <c r="G170" i="26"/>
  <c r="G169" i="26"/>
  <c r="G168" i="26"/>
  <c r="G167" i="26"/>
  <c r="G166" i="26"/>
  <c r="G165" i="26"/>
  <c r="G164" i="26"/>
  <c r="G163" i="26"/>
  <c r="G162" i="26"/>
  <c r="G161" i="26"/>
  <c r="G160" i="26"/>
  <c r="G159" i="26"/>
  <c r="G158" i="26"/>
  <c r="G157" i="26"/>
  <c r="G156" i="26"/>
  <c r="G155" i="26"/>
  <c r="G154" i="26"/>
  <c r="G153" i="26"/>
  <c r="G152" i="26"/>
  <c r="G151" i="26"/>
  <c r="G150" i="26"/>
  <c r="G149" i="26"/>
  <c r="G148" i="26"/>
  <c r="G147" i="26"/>
  <c r="G146" i="26"/>
  <c r="G145" i="26"/>
  <c r="G144" i="26"/>
  <c r="G143" i="26"/>
  <c r="G142" i="26"/>
  <c r="G141" i="26"/>
  <c r="G140" i="26"/>
  <c r="G139" i="26"/>
  <c r="G138" i="26"/>
  <c r="G137" i="26"/>
  <c r="G136" i="26"/>
  <c r="G135" i="26"/>
  <c r="G134" i="26"/>
  <c r="G133" i="26"/>
  <c r="G132" i="26"/>
  <c r="G131" i="26"/>
  <c r="G130" i="26"/>
  <c r="G129" i="26"/>
  <c r="G128" i="26"/>
  <c r="G127" i="26"/>
  <c r="G126" i="26"/>
  <c r="G125" i="26"/>
  <c r="G124" i="26"/>
  <c r="G123" i="26"/>
  <c r="G122" i="26"/>
  <c r="G121" i="26"/>
  <c r="G120" i="26"/>
  <c r="G119" i="26"/>
  <c r="G118" i="26"/>
  <c r="G117" i="26"/>
  <c r="G116" i="26"/>
  <c r="G115" i="26"/>
  <c r="G114" i="26"/>
  <c r="G113" i="26"/>
  <c r="G112" i="26"/>
  <c r="G111" i="26"/>
  <c r="G110" i="26"/>
  <c r="G109" i="26"/>
  <c r="G108" i="26"/>
  <c r="G107" i="26"/>
  <c r="G106" i="26"/>
  <c r="G105" i="26"/>
  <c r="G104" i="26"/>
  <c r="G103" i="26"/>
  <c r="G102" i="26"/>
  <c r="G101" i="26"/>
  <c r="G100" i="26"/>
  <c r="G99" i="26"/>
  <c r="G98" i="26"/>
  <c r="G97" i="26"/>
  <c r="G96" i="26"/>
  <c r="G95" i="26"/>
  <c r="G94" i="26"/>
  <c r="G93" i="26"/>
  <c r="G92" i="26"/>
  <c r="G91" i="26"/>
  <c r="G90" i="26"/>
  <c r="G89" i="26"/>
  <c r="G88" i="26"/>
  <c r="G87" i="26"/>
  <c r="G86" i="26"/>
  <c r="G85" i="26"/>
  <c r="G84" i="26"/>
  <c r="G83" i="26"/>
  <c r="G82" i="26"/>
  <c r="G81" i="26"/>
  <c r="G80" i="26"/>
  <c r="G79" i="26"/>
  <c r="G78" i="26"/>
  <c r="G77" i="26"/>
  <c r="G76" i="26"/>
  <c r="G75" i="26"/>
  <c r="G74" i="26"/>
  <c r="G73" i="26"/>
  <c r="G72" i="26"/>
  <c r="G71" i="26"/>
  <c r="G70" i="26"/>
  <c r="G69" i="26"/>
  <c r="G68" i="26"/>
  <c r="G67" i="26"/>
  <c r="G66" i="26"/>
  <c r="G65" i="26"/>
  <c r="G64" i="26"/>
  <c r="G63" i="26"/>
  <c r="G62" i="26"/>
  <c r="G61" i="26"/>
  <c r="G60" i="26"/>
  <c r="G59" i="26"/>
  <c r="G58" i="26"/>
  <c r="G57" i="26"/>
  <c r="G56" i="26"/>
  <c r="G55" i="26"/>
  <c r="G54" i="26"/>
  <c r="G53" i="26"/>
  <c r="G52" i="26"/>
  <c r="G51" i="26"/>
  <c r="G50" i="26"/>
  <c r="G49" i="26"/>
  <c r="G48" i="26"/>
  <c r="G47" i="26"/>
  <c r="G46" i="26"/>
  <c r="G45" i="26"/>
  <c r="G44" i="26"/>
  <c r="G43" i="26"/>
  <c r="G42" i="26"/>
  <c r="G41" i="26"/>
  <c r="G40" i="26"/>
  <c r="G39" i="26"/>
  <c r="G38" i="26"/>
  <c r="G37" i="26"/>
  <c r="G36" i="26"/>
  <c r="G35" i="26"/>
  <c r="G34" i="26"/>
  <c r="G33" i="26"/>
  <c r="G32" i="26"/>
  <c r="G31" i="26"/>
  <c r="G30" i="26"/>
  <c r="G29" i="26"/>
  <c r="G28" i="26"/>
  <c r="G27" i="26"/>
  <c r="G26" i="26"/>
  <c r="G25" i="26"/>
  <c r="G24" i="26"/>
  <c r="G23" i="26"/>
  <c r="G22" i="26"/>
  <c r="G21" i="26"/>
  <c r="G20" i="26"/>
  <c r="G19" i="26"/>
  <c r="G18" i="26"/>
  <c r="G17" i="26"/>
  <c r="G16" i="26"/>
  <c r="G15" i="26"/>
  <c r="G14" i="26"/>
  <c r="G13" i="26"/>
  <c r="G12" i="26"/>
  <c r="G11" i="26"/>
  <c r="G10" i="26"/>
  <c r="G9" i="26"/>
  <c r="G8" i="26"/>
  <c r="G7" i="26"/>
  <c r="G6" i="26"/>
  <c r="G5" i="26"/>
  <c r="G4" i="26"/>
  <c r="G3" i="26"/>
  <c r="G2" i="26"/>
  <c r="G201" i="24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G4" i="24"/>
  <c r="G3" i="24"/>
  <c r="G2" i="24"/>
  <c r="G241" i="22"/>
  <c r="G240" i="22"/>
  <c r="G239" i="22"/>
  <c r="G238" i="22"/>
  <c r="G237" i="22"/>
  <c r="G236" i="22"/>
  <c r="G235" i="22"/>
  <c r="G234" i="22"/>
  <c r="G233" i="22"/>
  <c r="G232" i="22"/>
  <c r="G231" i="22"/>
  <c r="G230" i="22"/>
  <c r="G229" i="22"/>
  <c r="G228" i="22"/>
  <c r="G227" i="22"/>
  <c r="G226" i="22"/>
  <c r="G225" i="22"/>
  <c r="G224" i="22"/>
  <c r="G223" i="22"/>
  <c r="G222" i="22"/>
  <c r="G221" i="22"/>
  <c r="G220" i="22"/>
  <c r="G219" i="22"/>
  <c r="G218" i="22"/>
  <c r="G217" i="22"/>
  <c r="G216" i="22"/>
  <c r="G215" i="22"/>
  <c r="G214" i="22"/>
  <c r="G213" i="22"/>
  <c r="G212" i="22"/>
  <c r="G211" i="22"/>
  <c r="G210" i="22"/>
  <c r="G209" i="22"/>
  <c r="G208" i="22"/>
  <c r="G207" i="22"/>
  <c r="G206" i="22"/>
  <c r="G205" i="22"/>
  <c r="G204" i="22"/>
  <c r="G203" i="22"/>
  <c r="G202" i="22"/>
  <c r="G201" i="22"/>
  <c r="G200" i="22"/>
  <c r="G199" i="22"/>
  <c r="G198" i="22"/>
  <c r="G197" i="22"/>
  <c r="G196" i="22"/>
  <c r="G195" i="22"/>
  <c r="G194" i="22"/>
  <c r="G193" i="22"/>
  <c r="G192" i="22"/>
  <c r="G191" i="22"/>
  <c r="G190" i="22"/>
  <c r="G189" i="22"/>
  <c r="G188" i="22"/>
  <c r="G187" i="22"/>
  <c r="G186" i="22"/>
  <c r="G185" i="22"/>
  <c r="G184" i="22"/>
  <c r="G183" i="22"/>
  <c r="G182" i="22"/>
  <c r="G181" i="22"/>
  <c r="G180" i="22"/>
  <c r="G179" i="22"/>
  <c r="G178" i="22"/>
  <c r="G177" i="22"/>
  <c r="G176" i="22"/>
  <c r="G175" i="22"/>
  <c r="G174" i="22"/>
  <c r="G173" i="22"/>
  <c r="G172" i="22"/>
  <c r="G171" i="22"/>
  <c r="G170" i="22"/>
  <c r="G169" i="22"/>
  <c r="G168" i="22"/>
  <c r="G167" i="22"/>
  <c r="G166" i="22"/>
  <c r="G165" i="22"/>
  <c r="G164" i="22"/>
  <c r="G163" i="22"/>
  <c r="G162" i="22"/>
  <c r="G161" i="22"/>
  <c r="G160" i="22"/>
  <c r="G159" i="22"/>
  <c r="G158" i="22"/>
  <c r="G157" i="22"/>
  <c r="G156" i="22"/>
  <c r="G155" i="22"/>
  <c r="G154" i="22"/>
  <c r="G153" i="22"/>
  <c r="G152" i="22"/>
  <c r="G151" i="22"/>
  <c r="G150" i="22"/>
  <c r="G149" i="22"/>
  <c r="G148" i="22"/>
  <c r="G147" i="22"/>
  <c r="G146" i="22"/>
  <c r="G145" i="22"/>
  <c r="G144" i="22"/>
  <c r="G143" i="22"/>
  <c r="G142" i="22"/>
  <c r="G141" i="22"/>
  <c r="G140" i="22"/>
  <c r="G139" i="22"/>
  <c r="G138" i="22"/>
  <c r="G137" i="22"/>
  <c r="G136" i="22"/>
  <c r="G135" i="22"/>
  <c r="G134" i="22"/>
  <c r="G133" i="22"/>
  <c r="G132" i="22"/>
  <c r="G131" i="22"/>
  <c r="G130" i="22"/>
  <c r="G129" i="22"/>
  <c r="G128" i="22"/>
  <c r="G127" i="22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G112" i="22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G85" i="22"/>
  <c r="G84" i="22"/>
  <c r="G83" i="22"/>
  <c r="G82" i="22"/>
  <c r="G81" i="22"/>
  <c r="G80" i="22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G52" i="22"/>
  <c r="G51" i="22"/>
  <c r="G50" i="22"/>
  <c r="G49" i="22"/>
  <c r="G48" i="22"/>
  <c r="G47" i="22"/>
  <c r="G46" i="22"/>
  <c r="G45" i="22"/>
  <c r="G44" i="22"/>
  <c r="G43" i="22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G17" i="22"/>
  <c r="G16" i="22"/>
  <c r="G15" i="22"/>
  <c r="G14" i="22"/>
  <c r="G13" i="22"/>
  <c r="G12" i="22"/>
  <c r="G11" i="22"/>
  <c r="G10" i="22"/>
  <c r="G9" i="22"/>
  <c r="G8" i="22"/>
  <c r="G7" i="22"/>
  <c r="G6" i="22"/>
  <c r="G5" i="22"/>
  <c r="G4" i="22"/>
  <c r="G3" i="22"/>
  <c r="G2" i="22"/>
  <c r="G441" i="20"/>
  <c r="G440" i="20"/>
  <c r="G439" i="20"/>
  <c r="G438" i="20"/>
  <c r="G437" i="20"/>
  <c r="G436" i="20"/>
  <c r="G435" i="20"/>
  <c r="G434" i="20"/>
  <c r="G433" i="20"/>
  <c r="G432" i="20"/>
  <c r="G431" i="20"/>
  <c r="G430" i="20"/>
  <c r="G429" i="20"/>
  <c r="G428" i="20"/>
  <c r="G427" i="20"/>
  <c r="G426" i="20"/>
  <c r="G425" i="20"/>
  <c r="G424" i="20"/>
  <c r="G423" i="20"/>
  <c r="G422" i="20"/>
  <c r="G421" i="20"/>
  <c r="G420" i="20"/>
  <c r="G419" i="20"/>
  <c r="G418" i="20"/>
  <c r="G417" i="20"/>
  <c r="G416" i="20"/>
  <c r="G415" i="20"/>
  <c r="G414" i="20"/>
  <c r="G413" i="20"/>
  <c r="G412" i="20"/>
  <c r="G411" i="20"/>
  <c r="G410" i="20"/>
  <c r="G409" i="20"/>
  <c r="G408" i="20"/>
  <c r="G407" i="20"/>
  <c r="G406" i="20"/>
  <c r="G405" i="20"/>
  <c r="G404" i="20"/>
  <c r="G403" i="20"/>
  <c r="G402" i="20"/>
  <c r="G401" i="20"/>
  <c r="G400" i="20"/>
  <c r="G399" i="20"/>
  <c r="G398" i="20"/>
  <c r="G397" i="20"/>
  <c r="G396" i="20"/>
  <c r="G395" i="20"/>
  <c r="G394" i="20"/>
  <c r="G393" i="20"/>
  <c r="G392" i="20"/>
  <c r="G391" i="20"/>
  <c r="G390" i="20"/>
  <c r="G389" i="20"/>
  <c r="G388" i="20"/>
  <c r="G387" i="20"/>
  <c r="G386" i="20"/>
  <c r="G385" i="20"/>
  <c r="G384" i="20"/>
  <c r="G383" i="20"/>
  <c r="G382" i="20"/>
  <c r="G381" i="20"/>
  <c r="G380" i="20"/>
  <c r="G379" i="20"/>
  <c r="G378" i="20"/>
  <c r="G377" i="20"/>
  <c r="G376" i="20"/>
  <c r="G375" i="20"/>
  <c r="G374" i="20"/>
  <c r="G373" i="20"/>
  <c r="G372" i="20"/>
  <c r="G371" i="20"/>
  <c r="G370" i="20"/>
  <c r="G369" i="20"/>
  <c r="G368" i="20"/>
  <c r="G367" i="20"/>
  <c r="G366" i="20"/>
  <c r="G365" i="20"/>
  <c r="G364" i="20"/>
  <c r="G363" i="20"/>
  <c r="G362" i="20"/>
  <c r="G361" i="20"/>
  <c r="G360" i="20"/>
  <c r="G359" i="20"/>
  <c r="G358" i="20"/>
  <c r="G357" i="20"/>
  <c r="G356" i="20"/>
  <c r="G355" i="20"/>
  <c r="G354" i="20"/>
  <c r="G353" i="20"/>
  <c r="G352" i="20"/>
  <c r="G351" i="20"/>
  <c r="G350" i="20"/>
  <c r="G349" i="20"/>
  <c r="G348" i="20"/>
  <c r="G347" i="20"/>
  <c r="G346" i="20"/>
  <c r="G345" i="20"/>
  <c r="G344" i="20"/>
  <c r="G343" i="20"/>
  <c r="G342" i="20"/>
  <c r="G341" i="20"/>
  <c r="G340" i="20"/>
  <c r="G339" i="20"/>
  <c r="G338" i="20"/>
  <c r="G337" i="20"/>
  <c r="G336" i="20"/>
  <c r="G335" i="20"/>
  <c r="G334" i="20"/>
  <c r="G333" i="20"/>
  <c r="G332" i="20"/>
  <c r="G331" i="20"/>
  <c r="G330" i="20"/>
  <c r="G329" i="20"/>
  <c r="G328" i="20"/>
  <c r="G327" i="20"/>
  <c r="G326" i="20"/>
  <c r="G325" i="20"/>
  <c r="G324" i="20"/>
  <c r="G323" i="20"/>
  <c r="G322" i="20"/>
  <c r="G321" i="20"/>
  <c r="G320" i="20"/>
  <c r="G319" i="20"/>
  <c r="G318" i="20"/>
  <c r="G317" i="20"/>
  <c r="G316" i="20"/>
  <c r="G315" i="20"/>
  <c r="G314" i="20"/>
  <c r="G313" i="20"/>
  <c r="G312" i="20"/>
  <c r="G311" i="20"/>
  <c r="G310" i="20"/>
  <c r="G309" i="20"/>
  <c r="G308" i="20"/>
  <c r="G307" i="20"/>
  <c r="G306" i="20"/>
  <c r="G305" i="20"/>
  <c r="G304" i="20"/>
  <c r="G303" i="20"/>
  <c r="G302" i="20"/>
  <c r="G301" i="20"/>
  <c r="G300" i="20"/>
  <c r="G299" i="20"/>
  <c r="G298" i="20"/>
  <c r="G297" i="20"/>
  <c r="G296" i="20"/>
  <c r="G295" i="20"/>
  <c r="G294" i="20"/>
  <c r="G293" i="20"/>
  <c r="G292" i="20"/>
  <c r="G291" i="20"/>
  <c r="G290" i="20"/>
  <c r="G289" i="20"/>
  <c r="G288" i="20"/>
  <c r="G287" i="20"/>
  <c r="G286" i="20"/>
  <c r="G285" i="20"/>
  <c r="G284" i="20"/>
  <c r="G283" i="20"/>
  <c r="G282" i="20"/>
  <c r="G281" i="20"/>
  <c r="G280" i="20"/>
  <c r="G279" i="20"/>
  <c r="G278" i="20"/>
  <c r="G277" i="20"/>
  <c r="G276" i="20"/>
  <c r="G275" i="20"/>
  <c r="G274" i="20"/>
  <c r="G273" i="20"/>
  <c r="G272" i="20"/>
  <c r="G271" i="20"/>
  <c r="G270" i="20"/>
  <c r="G269" i="20"/>
  <c r="G268" i="20"/>
  <c r="G267" i="20"/>
  <c r="G266" i="20"/>
  <c r="G265" i="20"/>
  <c r="G264" i="20"/>
  <c r="G263" i="20"/>
  <c r="G262" i="20"/>
  <c r="G261" i="20"/>
  <c r="G260" i="20"/>
  <c r="G259" i="20"/>
  <c r="G258" i="20"/>
  <c r="G257" i="20"/>
  <c r="G256" i="20"/>
  <c r="G255" i="20"/>
  <c r="G254" i="20"/>
  <c r="G253" i="20"/>
  <c r="G252" i="20"/>
  <c r="G251" i="20"/>
  <c r="G250" i="20"/>
  <c r="G249" i="20"/>
  <c r="G248" i="20"/>
  <c r="G247" i="20"/>
  <c r="G246" i="20"/>
  <c r="G245" i="20"/>
  <c r="G244" i="20"/>
  <c r="G243" i="20"/>
  <c r="G242" i="20"/>
  <c r="G241" i="20"/>
  <c r="G240" i="20"/>
  <c r="G239" i="20"/>
  <c r="G238" i="20"/>
  <c r="G237" i="20"/>
  <c r="G236" i="20"/>
  <c r="G235" i="20"/>
  <c r="G234" i="20"/>
  <c r="G233" i="20"/>
  <c r="G232" i="20"/>
  <c r="G231" i="20"/>
  <c r="G230" i="20"/>
  <c r="G229" i="20"/>
  <c r="G228" i="20"/>
  <c r="G227" i="20"/>
  <c r="G226" i="20"/>
  <c r="G225" i="20"/>
  <c r="G224" i="20"/>
  <c r="G223" i="20"/>
  <c r="G222" i="20"/>
  <c r="G221" i="20"/>
  <c r="G220" i="20"/>
  <c r="G219" i="20"/>
  <c r="G218" i="20"/>
  <c r="G217" i="20"/>
  <c r="G216" i="20"/>
  <c r="G215" i="20"/>
  <c r="G214" i="20"/>
  <c r="G213" i="20"/>
  <c r="G212" i="20"/>
  <c r="G211" i="20"/>
  <c r="G210" i="20"/>
  <c r="G209" i="20"/>
  <c r="G208" i="20"/>
  <c r="G207" i="20"/>
  <c r="G206" i="20"/>
  <c r="G205" i="20"/>
  <c r="G204" i="20"/>
  <c r="G203" i="20"/>
  <c r="G202" i="20"/>
  <c r="G201" i="20"/>
  <c r="G200" i="20"/>
  <c r="G199" i="20"/>
  <c r="G198" i="20"/>
  <c r="G197" i="20"/>
  <c r="G196" i="20"/>
  <c r="G195" i="20"/>
  <c r="G194" i="20"/>
  <c r="G193" i="20"/>
  <c r="G192" i="20"/>
  <c r="G191" i="20"/>
  <c r="G190" i="20"/>
  <c r="G189" i="20"/>
  <c r="G188" i="20"/>
  <c r="G187" i="20"/>
  <c r="G186" i="20"/>
  <c r="G185" i="20"/>
  <c r="G184" i="20"/>
  <c r="G183" i="20"/>
  <c r="G182" i="20"/>
  <c r="G181" i="20"/>
  <c r="G180" i="20"/>
  <c r="G179" i="20"/>
  <c r="G178" i="20"/>
  <c r="G177" i="20"/>
  <c r="G176" i="20"/>
  <c r="G175" i="20"/>
  <c r="G174" i="20"/>
  <c r="G173" i="20"/>
  <c r="G172" i="20"/>
  <c r="G171" i="20"/>
  <c r="G170" i="20"/>
  <c r="G169" i="20"/>
  <c r="G168" i="20"/>
  <c r="G167" i="20"/>
  <c r="G166" i="20"/>
  <c r="G165" i="20"/>
  <c r="G164" i="20"/>
  <c r="G163" i="20"/>
  <c r="G162" i="20"/>
  <c r="G161" i="20"/>
  <c r="G160" i="20"/>
  <c r="G159" i="20"/>
  <c r="G158" i="20"/>
  <c r="G157" i="20"/>
  <c r="G156" i="20"/>
  <c r="G155" i="20"/>
  <c r="G154" i="20"/>
  <c r="G153" i="20"/>
  <c r="G152" i="20"/>
  <c r="G151" i="20"/>
  <c r="G150" i="20"/>
  <c r="G149" i="20"/>
  <c r="G148" i="20"/>
  <c r="G147" i="20"/>
  <c r="G146" i="20"/>
  <c r="G145" i="20"/>
  <c r="G144" i="20"/>
  <c r="G143" i="20"/>
  <c r="G142" i="20"/>
  <c r="G141" i="20"/>
  <c r="G140" i="20"/>
  <c r="G139" i="20"/>
  <c r="G138" i="20"/>
  <c r="G137" i="20"/>
  <c r="G136" i="20"/>
  <c r="G135" i="20"/>
  <c r="G134" i="20"/>
  <c r="G133" i="20"/>
  <c r="G132" i="20"/>
  <c r="G131" i="20"/>
  <c r="G130" i="20"/>
  <c r="G129" i="20"/>
  <c r="G128" i="20"/>
  <c r="G127" i="20"/>
  <c r="G126" i="20"/>
  <c r="G125" i="20"/>
  <c r="G124" i="20"/>
  <c r="G123" i="20"/>
  <c r="G122" i="20"/>
  <c r="G121" i="20"/>
  <c r="G120" i="20"/>
  <c r="G119" i="20"/>
  <c r="G118" i="20"/>
  <c r="G117" i="20"/>
  <c r="G116" i="20"/>
  <c r="G115" i="20"/>
  <c r="G114" i="20"/>
  <c r="G113" i="20"/>
  <c r="G112" i="20"/>
  <c r="G111" i="20"/>
  <c r="G110" i="20"/>
  <c r="G109" i="20"/>
  <c r="G108" i="20"/>
  <c r="G107" i="20"/>
  <c r="G106" i="20"/>
  <c r="G105" i="20"/>
  <c r="G104" i="20"/>
  <c r="G103" i="20"/>
  <c r="G102" i="20"/>
  <c r="G101" i="20"/>
  <c r="G100" i="20"/>
  <c r="G99" i="20"/>
  <c r="G98" i="20"/>
  <c r="G97" i="20"/>
  <c r="G96" i="20"/>
  <c r="G95" i="20"/>
  <c r="G94" i="20"/>
  <c r="G93" i="20"/>
  <c r="G92" i="20"/>
  <c r="G91" i="20"/>
  <c r="G90" i="20"/>
  <c r="G89" i="20"/>
  <c r="G88" i="20"/>
  <c r="G87" i="20"/>
  <c r="G86" i="20"/>
  <c r="G85" i="20"/>
  <c r="G84" i="20"/>
  <c r="G83" i="20"/>
  <c r="G82" i="20"/>
  <c r="G81" i="20"/>
  <c r="G80" i="20"/>
  <c r="G79" i="20"/>
  <c r="G78" i="20"/>
  <c r="G77" i="20"/>
  <c r="G76" i="20"/>
  <c r="G75" i="20"/>
  <c r="G74" i="20"/>
  <c r="G73" i="20"/>
  <c r="G72" i="20"/>
  <c r="G71" i="20"/>
  <c r="G70" i="20"/>
  <c r="G69" i="20"/>
  <c r="G68" i="20"/>
  <c r="G67" i="20"/>
  <c r="G66" i="20"/>
  <c r="G65" i="20"/>
  <c r="G64" i="20"/>
  <c r="G63" i="20"/>
  <c r="G62" i="20"/>
  <c r="G61" i="20"/>
  <c r="G60" i="20"/>
  <c r="G59" i="20"/>
  <c r="G58" i="20"/>
  <c r="G57" i="20"/>
  <c r="G56" i="20"/>
  <c r="G55" i="20"/>
  <c r="G54" i="20"/>
  <c r="G53" i="20"/>
  <c r="G52" i="20"/>
  <c r="G51" i="20"/>
  <c r="G50" i="20"/>
  <c r="G49" i="20"/>
  <c r="G48" i="20"/>
  <c r="G47" i="20"/>
  <c r="G46" i="20"/>
  <c r="G45" i="20"/>
  <c r="G44" i="20"/>
  <c r="G43" i="20"/>
  <c r="G42" i="20"/>
  <c r="G41" i="20"/>
  <c r="G40" i="20"/>
  <c r="G39" i="20"/>
  <c r="G38" i="20"/>
  <c r="G37" i="20"/>
  <c r="G36" i="20"/>
  <c r="G35" i="20"/>
  <c r="G34" i="20"/>
  <c r="G33" i="20"/>
  <c r="G32" i="20"/>
  <c r="G31" i="20"/>
  <c r="G30" i="20"/>
  <c r="G29" i="20"/>
  <c r="G28" i="20"/>
  <c r="G27" i="20"/>
  <c r="G26" i="20"/>
  <c r="G25" i="20"/>
  <c r="G24" i="20"/>
  <c r="G23" i="20"/>
  <c r="G22" i="20"/>
  <c r="G21" i="20"/>
  <c r="G20" i="20"/>
  <c r="G19" i="20"/>
  <c r="G18" i="20"/>
  <c r="G17" i="20"/>
  <c r="G16" i="20"/>
  <c r="G15" i="20"/>
  <c r="G14" i="20"/>
  <c r="G13" i="20"/>
  <c r="G12" i="20"/>
  <c r="G11" i="20"/>
  <c r="G10" i="20"/>
  <c r="G9" i="20"/>
  <c r="G8" i="20"/>
  <c r="G7" i="20"/>
  <c r="G6" i="20"/>
  <c r="G5" i="20"/>
  <c r="G4" i="20"/>
  <c r="G3" i="20"/>
  <c r="G2" i="20"/>
  <c r="G313" i="18"/>
  <c r="G312" i="18"/>
  <c r="G311" i="18"/>
  <c r="G310" i="18"/>
  <c r="G309" i="18"/>
  <c r="G308" i="18"/>
  <c r="G307" i="18"/>
  <c r="G306" i="18"/>
  <c r="G305" i="18"/>
  <c r="G304" i="18"/>
  <c r="G303" i="18"/>
  <c r="G302" i="18"/>
  <c r="G301" i="18"/>
  <c r="G300" i="18"/>
  <c r="G299" i="18"/>
  <c r="G298" i="18"/>
  <c r="G297" i="18"/>
  <c r="G296" i="18"/>
  <c r="G295" i="18"/>
  <c r="G294" i="18"/>
  <c r="G293" i="18"/>
  <c r="G292" i="18"/>
  <c r="G291" i="18"/>
  <c r="G290" i="18"/>
  <c r="G289" i="18"/>
  <c r="G288" i="18"/>
  <c r="G287" i="18"/>
  <c r="G286" i="18"/>
  <c r="G285" i="18"/>
  <c r="G284" i="18"/>
  <c r="G283" i="18"/>
  <c r="G282" i="18"/>
  <c r="G281" i="18"/>
  <c r="G280" i="18"/>
  <c r="G279" i="18"/>
  <c r="G278" i="18"/>
  <c r="G277" i="18"/>
  <c r="G276" i="18"/>
  <c r="G275" i="18"/>
  <c r="G274" i="18"/>
  <c r="G273" i="18"/>
  <c r="G272" i="18"/>
  <c r="G271" i="18"/>
  <c r="G270" i="18"/>
  <c r="G269" i="18"/>
  <c r="G268" i="18"/>
  <c r="G267" i="18"/>
  <c r="G266" i="18"/>
  <c r="G265" i="18"/>
  <c r="G264" i="18"/>
  <c r="G263" i="18"/>
  <c r="G262" i="18"/>
  <c r="G261" i="18"/>
  <c r="G260" i="18"/>
  <c r="G259" i="18"/>
  <c r="G258" i="18"/>
  <c r="G257" i="18"/>
  <c r="G256" i="18"/>
  <c r="G255" i="18"/>
  <c r="G254" i="18"/>
  <c r="G253" i="18"/>
  <c r="G252" i="18"/>
  <c r="G251" i="18"/>
  <c r="G250" i="18"/>
  <c r="G249" i="18"/>
  <c r="G248" i="18"/>
  <c r="G247" i="18"/>
  <c r="G246" i="18"/>
  <c r="G245" i="18"/>
  <c r="G244" i="18"/>
  <c r="G243" i="18"/>
  <c r="G242" i="18"/>
  <c r="G241" i="18"/>
  <c r="G240" i="18"/>
  <c r="G239" i="18"/>
  <c r="G238" i="18"/>
  <c r="G237" i="18"/>
  <c r="G236" i="18"/>
  <c r="G235" i="18"/>
  <c r="G234" i="18"/>
  <c r="G233" i="18"/>
  <c r="G232" i="18"/>
  <c r="G231" i="18"/>
  <c r="G230" i="18"/>
  <c r="G229" i="18"/>
  <c r="G228" i="18"/>
  <c r="G227" i="18"/>
  <c r="G226" i="18"/>
  <c r="G225" i="18"/>
  <c r="G224" i="18"/>
  <c r="G223" i="18"/>
  <c r="G222" i="18"/>
  <c r="G221" i="18"/>
  <c r="G220" i="18"/>
  <c r="G219" i="18"/>
  <c r="G218" i="18"/>
  <c r="G217" i="18"/>
  <c r="G216" i="18"/>
  <c r="G215" i="18"/>
  <c r="G214" i="18"/>
  <c r="G213" i="18"/>
  <c r="G212" i="18"/>
  <c r="G211" i="18"/>
  <c r="G210" i="18"/>
  <c r="G209" i="18"/>
  <c r="G208" i="18"/>
  <c r="G207" i="18"/>
  <c r="G206" i="18"/>
  <c r="G205" i="18"/>
  <c r="G204" i="18"/>
  <c r="G203" i="18"/>
  <c r="G202" i="18"/>
  <c r="G201" i="18"/>
  <c r="G200" i="18"/>
  <c r="G199" i="18"/>
  <c r="G198" i="18"/>
  <c r="G197" i="18"/>
  <c r="G196" i="18"/>
  <c r="G195" i="18"/>
  <c r="G194" i="18"/>
  <c r="G193" i="18"/>
  <c r="G192" i="18"/>
  <c r="G191" i="18"/>
  <c r="G190" i="18"/>
  <c r="G189" i="18"/>
  <c r="G188" i="18"/>
  <c r="G187" i="18"/>
  <c r="G186" i="18"/>
  <c r="G185" i="18"/>
  <c r="G184" i="18"/>
  <c r="G183" i="18"/>
  <c r="G182" i="18"/>
  <c r="G181" i="18"/>
  <c r="G180" i="18"/>
  <c r="G179" i="18"/>
  <c r="G178" i="18"/>
  <c r="G177" i="18"/>
  <c r="G176" i="18"/>
  <c r="G175" i="18"/>
  <c r="G174" i="18"/>
  <c r="G173" i="18"/>
  <c r="G172" i="18"/>
  <c r="G171" i="18"/>
  <c r="G170" i="18"/>
  <c r="G169" i="18"/>
  <c r="G168" i="18"/>
  <c r="G167" i="18"/>
  <c r="G166" i="18"/>
  <c r="G165" i="18"/>
  <c r="G164" i="18"/>
  <c r="G163" i="18"/>
  <c r="G162" i="18"/>
  <c r="G161" i="18"/>
  <c r="G160" i="18"/>
  <c r="G159" i="18"/>
  <c r="G158" i="18"/>
  <c r="G157" i="18"/>
  <c r="G156" i="18"/>
  <c r="G155" i="18"/>
  <c r="G154" i="18"/>
  <c r="G153" i="18"/>
  <c r="G152" i="18"/>
  <c r="G151" i="18"/>
  <c r="G150" i="18"/>
  <c r="G149" i="18"/>
  <c r="G148" i="18"/>
  <c r="G147" i="18"/>
  <c r="G146" i="18"/>
  <c r="G145" i="18"/>
  <c r="G144" i="18"/>
  <c r="G143" i="18"/>
  <c r="G142" i="18"/>
  <c r="G141" i="18"/>
  <c r="G140" i="18"/>
  <c r="G139" i="18"/>
  <c r="G138" i="18"/>
  <c r="G137" i="18"/>
  <c r="G136" i="18"/>
  <c r="G135" i="18"/>
  <c r="G134" i="18"/>
  <c r="G133" i="18"/>
  <c r="G132" i="18"/>
  <c r="G131" i="18"/>
  <c r="G130" i="18"/>
  <c r="G129" i="18"/>
  <c r="G128" i="18"/>
  <c r="G127" i="18"/>
  <c r="G126" i="18"/>
  <c r="G125" i="18"/>
  <c r="G124" i="18"/>
  <c r="G123" i="18"/>
  <c r="G122" i="18"/>
  <c r="G121" i="18"/>
  <c r="G120" i="18"/>
  <c r="G119" i="18"/>
  <c r="G118" i="18"/>
  <c r="G117" i="18"/>
  <c r="G116" i="18"/>
  <c r="G115" i="18"/>
  <c r="G114" i="18"/>
  <c r="G113" i="18"/>
  <c r="G112" i="18"/>
  <c r="G111" i="18"/>
  <c r="G110" i="18"/>
  <c r="G109" i="18"/>
  <c r="G108" i="18"/>
  <c r="G107" i="18"/>
  <c r="G106" i="18"/>
  <c r="G105" i="18"/>
  <c r="G104" i="18"/>
  <c r="G103" i="18"/>
  <c r="G102" i="18"/>
  <c r="G101" i="18"/>
  <c r="G100" i="18"/>
  <c r="G99" i="18"/>
  <c r="G98" i="18"/>
  <c r="G97" i="18"/>
  <c r="G96" i="18"/>
  <c r="G95" i="18"/>
  <c r="G94" i="18"/>
  <c r="G93" i="18"/>
  <c r="G92" i="18"/>
  <c r="G91" i="18"/>
  <c r="G90" i="18"/>
  <c r="G89" i="18"/>
  <c r="G88" i="18"/>
  <c r="G87" i="18"/>
  <c r="G86" i="18"/>
  <c r="G85" i="18"/>
  <c r="G84" i="18"/>
  <c r="G83" i="18"/>
  <c r="G82" i="18"/>
  <c r="G81" i="18"/>
  <c r="G80" i="18"/>
  <c r="G79" i="18"/>
  <c r="G78" i="18"/>
  <c r="G77" i="18"/>
  <c r="G76" i="18"/>
  <c r="G75" i="18"/>
  <c r="G74" i="18"/>
  <c r="G73" i="18"/>
  <c r="G72" i="18"/>
  <c r="G71" i="18"/>
  <c r="G70" i="18"/>
  <c r="G69" i="18"/>
  <c r="G68" i="18"/>
  <c r="G67" i="18"/>
  <c r="G66" i="18"/>
  <c r="G65" i="18"/>
  <c r="G64" i="18"/>
  <c r="G63" i="18"/>
  <c r="G62" i="18"/>
  <c r="G61" i="18"/>
  <c r="G60" i="18"/>
  <c r="G59" i="18"/>
  <c r="G58" i="18"/>
  <c r="G57" i="18"/>
  <c r="G56" i="18"/>
  <c r="G55" i="18"/>
  <c r="G54" i="18"/>
  <c r="G53" i="18"/>
  <c r="G52" i="18"/>
  <c r="G51" i="18"/>
  <c r="G50" i="18"/>
  <c r="G49" i="18"/>
  <c r="G48" i="18"/>
  <c r="G47" i="18"/>
  <c r="G46" i="18"/>
  <c r="G45" i="18"/>
  <c r="G44" i="18"/>
  <c r="G43" i="18"/>
  <c r="G42" i="18"/>
  <c r="G41" i="18"/>
  <c r="G40" i="18"/>
  <c r="G39" i="18"/>
  <c r="G38" i="18"/>
  <c r="G37" i="18"/>
  <c r="G36" i="18"/>
  <c r="G35" i="18"/>
  <c r="G34" i="18"/>
  <c r="G33" i="18"/>
  <c r="G32" i="18"/>
  <c r="G31" i="18"/>
  <c r="G30" i="18"/>
  <c r="G29" i="18"/>
  <c r="G28" i="18"/>
  <c r="G27" i="18"/>
  <c r="G26" i="18"/>
  <c r="G25" i="18"/>
  <c r="G24" i="18"/>
  <c r="G23" i="18"/>
  <c r="G22" i="18"/>
  <c r="G21" i="18"/>
  <c r="G20" i="18"/>
  <c r="G19" i="18"/>
  <c r="G18" i="18"/>
  <c r="G17" i="18"/>
  <c r="G16" i="18"/>
  <c r="G15" i="18"/>
  <c r="G14" i="18"/>
  <c r="G13" i="18"/>
  <c r="G12" i="18"/>
  <c r="G11" i="18"/>
  <c r="G10" i="18"/>
  <c r="G9" i="18"/>
  <c r="G8" i="18"/>
  <c r="G7" i="18"/>
  <c r="G6" i="18"/>
  <c r="G5" i="18"/>
  <c r="G4" i="18"/>
  <c r="G3" i="18"/>
  <c r="G2" i="18"/>
  <c r="G261" i="16"/>
  <c r="G260" i="16"/>
  <c r="G259" i="16"/>
  <c r="G258" i="16"/>
  <c r="G257" i="16"/>
  <c r="G256" i="16"/>
  <c r="G255" i="16"/>
  <c r="G254" i="16"/>
  <c r="G253" i="16"/>
  <c r="G252" i="16"/>
  <c r="G251" i="16"/>
  <c r="G250" i="16"/>
  <c r="G249" i="16"/>
  <c r="G248" i="16"/>
  <c r="G247" i="16"/>
  <c r="G246" i="16"/>
  <c r="G245" i="16"/>
  <c r="G244" i="16"/>
  <c r="G243" i="16"/>
  <c r="G242" i="16"/>
  <c r="G241" i="16"/>
  <c r="G240" i="16"/>
  <c r="G239" i="16"/>
  <c r="G238" i="16"/>
  <c r="G237" i="16"/>
  <c r="G236" i="16"/>
  <c r="G235" i="16"/>
  <c r="G234" i="16"/>
  <c r="G233" i="16"/>
  <c r="G232" i="16"/>
  <c r="G231" i="16"/>
  <c r="G230" i="16"/>
  <c r="G229" i="16"/>
  <c r="G228" i="16"/>
  <c r="G227" i="16"/>
  <c r="G226" i="16"/>
  <c r="G225" i="16"/>
  <c r="G224" i="16"/>
  <c r="G223" i="16"/>
  <c r="G222" i="16"/>
  <c r="G221" i="16"/>
  <c r="G220" i="16"/>
  <c r="G219" i="16"/>
  <c r="G218" i="16"/>
  <c r="G217" i="16"/>
  <c r="G216" i="16"/>
  <c r="G215" i="16"/>
  <c r="G214" i="16"/>
  <c r="G213" i="16"/>
  <c r="G212" i="16"/>
  <c r="G211" i="16"/>
  <c r="G210" i="16"/>
  <c r="G209" i="16"/>
  <c r="G208" i="16"/>
  <c r="G207" i="16"/>
  <c r="G206" i="16"/>
  <c r="G205" i="16"/>
  <c r="G204" i="16"/>
  <c r="G203" i="16"/>
  <c r="G202" i="16"/>
  <c r="G201" i="16"/>
  <c r="G200" i="16"/>
  <c r="G199" i="16"/>
  <c r="G198" i="16"/>
  <c r="G197" i="16"/>
  <c r="G196" i="16"/>
  <c r="G195" i="16"/>
  <c r="G194" i="16"/>
  <c r="G193" i="16"/>
  <c r="G192" i="16"/>
  <c r="G191" i="16"/>
  <c r="G190" i="16"/>
  <c r="G189" i="16"/>
  <c r="G188" i="16"/>
  <c r="G187" i="16"/>
  <c r="G186" i="16"/>
  <c r="G185" i="16"/>
  <c r="G184" i="16"/>
  <c r="G183" i="16"/>
  <c r="G182" i="16"/>
  <c r="G181" i="16"/>
  <c r="G180" i="16"/>
  <c r="G179" i="16"/>
  <c r="G178" i="16"/>
  <c r="G177" i="16"/>
  <c r="G176" i="16"/>
  <c r="G175" i="16"/>
  <c r="G174" i="16"/>
  <c r="G173" i="16"/>
  <c r="G172" i="16"/>
  <c r="G171" i="16"/>
  <c r="G170" i="16"/>
  <c r="G169" i="16"/>
  <c r="G168" i="16"/>
  <c r="G167" i="16"/>
  <c r="G166" i="16"/>
  <c r="G165" i="16"/>
  <c r="G164" i="16"/>
  <c r="G163" i="16"/>
  <c r="G162" i="16"/>
  <c r="G161" i="16"/>
  <c r="G160" i="16"/>
  <c r="G159" i="16"/>
  <c r="G158" i="16"/>
  <c r="G157" i="16"/>
  <c r="G156" i="16"/>
  <c r="G155" i="16"/>
  <c r="G154" i="16"/>
  <c r="G153" i="16"/>
  <c r="G152" i="16"/>
  <c r="G151" i="16"/>
  <c r="G150" i="16"/>
  <c r="G149" i="16"/>
  <c r="G148" i="16"/>
  <c r="G147" i="16"/>
  <c r="G146" i="16"/>
  <c r="G145" i="16"/>
  <c r="G144" i="16"/>
  <c r="G143" i="16"/>
  <c r="G142" i="16"/>
  <c r="G141" i="16"/>
  <c r="G140" i="16"/>
  <c r="G139" i="16"/>
  <c r="G138" i="16"/>
  <c r="G137" i="16"/>
  <c r="G136" i="16"/>
  <c r="G135" i="16"/>
  <c r="G134" i="16"/>
  <c r="G133" i="16"/>
  <c r="G132" i="16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G573" i="14"/>
  <c r="G572" i="14"/>
  <c r="G571" i="14"/>
  <c r="G570" i="14"/>
  <c r="G569" i="14"/>
  <c r="G568" i="14"/>
  <c r="G567" i="14"/>
  <c r="G566" i="14"/>
  <c r="G565" i="14"/>
  <c r="G564" i="14"/>
  <c r="G563" i="14"/>
  <c r="G562" i="14"/>
  <c r="G561" i="14"/>
  <c r="G560" i="14"/>
  <c r="G559" i="14"/>
  <c r="G558" i="14"/>
  <c r="G557" i="14"/>
  <c r="G556" i="14"/>
  <c r="G555" i="14"/>
  <c r="G554" i="14"/>
  <c r="G553" i="14"/>
  <c r="G552" i="14"/>
  <c r="G551" i="14"/>
  <c r="G550" i="14"/>
  <c r="G549" i="14"/>
  <c r="G548" i="14"/>
  <c r="G547" i="14"/>
  <c r="G546" i="14"/>
  <c r="G545" i="14"/>
  <c r="G544" i="14"/>
  <c r="G543" i="14"/>
  <c r="G542" i="14"/>
  <c r="G541" i="14"/>
  <c r="G540" i="14"/>
  <c r="G539" i="14"/>
  <c r="G538" i="14"/>
  <c r="G537" i="14"/>
  <c r="G536" i="14"/>
  <c r="G535" i="14"/>
  <c r="G534" i="14"/>
  <c r="G533" i="14"/>
  <c r="G532" i="14"/>
  <c r="G531" i="14"/>
  <c r="G530" i="14"/>
  <c r="G529" i="14"/>
  <c r="G528" i="14"/>
  <c r="G527" i="14"/>
  <c r="G526" i="14"/>
  <c r="G525" i="14"/>
  <c r="G524" i="14"/>
  <c r="G523" i="14"/>
  <c r="G522" i="14"/>
  <c r="G521" i="14"/>
  <c r="G520" i="14"/>
  <c r="G519" i="14"/>
  <c r="G518" i="14"/>
  <c r="G517" i="14"/>
  <c r="G516" i="14"/>
  <c r="G515" i="14"/>
  <c r="G514" i="14"/>
  <c r="G513" i="14"/>
  <c r="G512" i="14"/>
  <c r="G511" i="14"/>
  <c r="G510" i="14"/>
  <c r="G509" i="14"/>
  <c r="G508" i="14"/>
  <c r="G507" i="14"/>
  <c r="G506" i="14"/>
  <c r="G505" i="14"/>
  <c r="G504" i="14"/>
  <c r="G503" i="14"/>
  <c r="G502" i="14"/>
  <c r="G501" i="14"/>
  <c r="G500" i="14"/>
  <c r="G499" i="14"/>
  <c r="G498" i="14"/>
  <c r="G497" i="14"/>
  <c r="G496" i="14"/>
  <c r="G495" i="14"/>
  <c r="G494" i="14"/>
  <c r="G493" i="14"/>
  <c r="G492" i="14"/>
  <c r="G491" i="14"/>
  <c r="G490" i="14"/>
  <c r="G489" i="14"/>
  <c r="G488" i="14"/>
  <c r="G487" i="14"/>
  <c r="G486" i="14"/>
  <c r="G485" i="14"/>
  <c r="G484" i="14"/>
  <c r="G483" i="14"/>
  <c r="G482" i="14"/>
  <c r="G481" i="14"/>
  <c r="G480" i="14"/>
  <c r="G479" i="14"/>
  <c r="G478" i="14"/>
  <c r="G477" i="14"/>
  <c r="G476" i="14"/>
  <c r="G475" i="14"/>
  <c r="G474" i="14"/>
  <c r="G473" i="14"/>
  <c r="G472" i="14"/>
  <c r="G471" i="14"/>
  <c r="G470" i="14"/>
  <c r="G469" i="14"/>
  <c r="G468" i="14"/>
  <c r="G467" i="14"/>
  <c r="G466" i="14"/>
  <c r="G465" i="14"/>
  <c r="G464" i="14"/>
  <c r="G463" i="14"/>
  <c r="G462" i="14"/>
  <c r="G461" i="14"/>
  <c r="G460" i="14"/>
  <c r="G459" i="14"/>
  <c r="G458" i="14"/>
  <c r="G457" i="14"/>
  <c r="G456" i="14"/>
  <c r="G455" i="14"/>
  <c r="G454" i="14"/>
  <c r="G453" i="14"/>
  <c r="G452" i="14"/>
  <c r="G451" i="14"/>
  <c r="G450" i="14"/>
  <c r="G449" i="14"/>
  <c r="G448" i="14"/>
  <c r="G447" i="14"/>
  <c r="G446" i="14"/>
  <c r="G445" i="14"/>
  <c r="G444" i="14"/>
  <c r="G443" i="14"/>
  <c r="G442" i="14"/>
  <c r="G441" i="14"/>
  <c r="G440" i="14"/>
  <c r="G439" i="14"/>
  <c r="G438" i="14"/>
  <c r="G437" i="14"/>
  <c r="G436" i="14"/>
  <c r="G435" i="14"/>
  <c r="G434" i="14"/>
  <c r="G433" i="14"/>
  <c r="G432" i="14"/>
  <c r="G431" i="14"/>
  <c r="G430" i="14"/>
  <c r="G429" i="14"/>
  <c r="G428" i="14"/>
  <c r="G427" i="14"/>
  <c r="G426" i="14"/>
  <c r="G425" i="14"/>
  <c r="G424" i="14"/>
  <c r="G423" i="14"/>
  <c r="G422" i="14"/>
  <c r="G421" i="14"/>
  <c r="G420" i="14"/>
  <c r="G419" i="14"/>
  <c r="G418" i="14"/>
  <c r="G417" i="14"/>
  <c r="G416" i="14"/>
  <c r="G415" i="14"/>
  <c r="G414" i="14"/>
  <c r="G413" i="14"/>
  <c r="G412" i="14"/>
  <c r="G411" i="14"/>
  <c r="G410" i="14"/>
  <c r="G409" i="14"/>
  <c r="G408" i="14"/>
  <c r="G407" i="14"/>
  <c r="G406" i="14"/>
  <c r="G405" i="14"/>
  <c r="G404" i="14"/>
  <c r="G403" i="14"/>
  <c r="G402" i="14"/>
  <c r="G401" i="14"/>
  <c r="G400" i="14"/>
  <c r="G399" i="14"/>
  <c r="G398" i="14"/>
  <c r="G397" i="14"/>
  <c r="G396" i="14"/>
  <c r="G395" i="14"/>
  <c r="G394" i="14"/>
  <c r="G393" i="14"/>
  <c r="G392" i="14"/>
  <c r="G391" i="14"/>
  <c r="G390" i="14"/>
  <c r="G389" i="14"/>
  <c r="G388" i="14"/>
  <c r="G387" i="14"/>
  <c r="G386" i="14"/>
  <c r="G385" i="14"/>
  <c r="G384" i="14"/>
  <c r="G383" i="14"/>
  <c r="G382" i="14"/>
  <c r="G381" i="14"/>
  <c r="G380" i="14"/>
  <c r="G379" i="14"/>
  <c r="G378" i="14"/>
  <c r="G377" i="14"/>
  <c r="G376" i="14"/>
  <c r="G375" i="14"/>
  <c r="G374" i="14"/>
  <c r="G373" i="14"/>
  <c r="G372" i="14"/>
  <c r="G371" i="14"/>
  <c r="G370" i="14"/>
  <c r="G369" i="14"/>
  <c r="G368" i="14"/>
  <c r="G367" i="14"/>
  <c r="G366" i="14"/>
  <c r="G365" i="14"/>
  <c r="G364" i="14"/>
  <c r="G363" i="14"/>
  <c r="G362" i="14"/>
  <c r="G361" i="14"/>
  <c r="G360" i="14"/>
  <c r="G359" i="14"/>
  <c r="G358" i="14"/>
  <c r="G357" i="14"/>
  <c r="G356" i="14"/>
  <c r="G355" i="14"/>
  <c r="G354" i="14"/>
  <c r="G353" i="14"/>
  <c r="G352" i="14"/>
  <c r="G351" i="14"/>
  <c r="G350" i="14"/>
  <c r="G349" i="14"/>
  <c r="G348" i="14"/>
  <c r="G347" i="14"/>
  <c r="G346" i="14"/>
  <c r="G345" i="14"/>
  <c r="G344" i="14"/>
  <c r="G343" i="14"/>
  <c r="G342" i="14"/>
  <c r="G341" i="14"/>
  <c r="G340" i="14"/>
  <c r="G339" i="14"/>
  <c r="G338" i="14"/>
  <c r="G337" i="14"/>
  <c r="G336" i="14"/>
  <c r="G335" i="14"/>
  <c r="G334" i="14"/>
  <c r="G333" i="14"/>
  <c r="G332" i="14"/>
  <c r="G331" i="14"/>
  <c r="G330" i="14"/>
  <c r="G329" i="14"/>
  <c r="G328" i="14"/>
  <c r="G327" i="14"/>
  <c r="G326" i="14"/>
  <c r="G325" i="14"/>
  <c r="G324" i="14"/>
  <c r="G323" i="14"/>
  <c r="G322" i="14"/>
  <c r="G321" i="14"/>
  <c r="G320" i="14"/>
  <c r="G319" i="14"/>
  <c r="G318" i="14"/>
  <c r="G317" i="14"/>
  <c r="G316" i="14"/>
  <c r="G315" i="14"/>
  <c r="G314" i="14"/>
  <c r="G313" i="14"/>
  <c r="G312" i="14"/>
  <c r="G311" i="14"/>
  <c r="G310" i="14"/>
  <c r="G309" i="14"/>
  <c r="G308" i="14"/>
  <c r="G307" i="14"/>
  <c r="G306" i="14"/>
  <c r="G305" i="14"/>
  <c r="G304" i="14"/>
  <c r="G303" i="14"/>
  <c r="G302" i="14"/>
  <c r="G301" i="14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G4" i="14"/>
  <c r="G3" i="14"/>
  <c r="G2" i="14"/>
  <c r="G341" i="12"/>
  <c r="G340" i="12"/>
  <c r="G339" i="12"/>
  <c r="G338" i="12"/>
  <c r="G337" i="12"/>
  <c r="G336" i="12"/>
  <c r="G335" i="12"/>
  <c r="G334" i="12"/>
  <c r="G333" i="12"/>
  <c r="G332" i="12"/>
  <c r="G331" i="12"/>
  <c r="G330" i="12"/>
  <c r="G329" i="12"/>
  <c r="G328" i="12"/>
  <c r="G327" i="12"/>
  <c r="G326" i="12"/>
  <c r="G325" i="12"/>
  <c r="G324" i="12"/>
  <c r="G323" i="12"/>
  <c r="G322" i="12"/>
  <c r="G321" i="12"/>
  <c r="G320" i="12"/>
  <c r="G319" i="12"/>
  <c r="G318" i="12"/>
  <c r="G317" i="12"/>
  <c r="G316" i="12"/>
  <c r="G315" i="12"/>
  <c r="G314" i="12"/>
  <c r="G313" i="12"/>
  <c r="G312" i="12"/>
  <c r="G311" i="12"/>
  <c r="G310" i="12"/>
  <c r="G309" i="12"/>
  <c r="G308" i="12"/>
  <c r="G307" i="12"/>
  <c r="G306" i="12"/>
  <c r="G305" i="12"/>
  <c r="G304" i="12"/>
  <c r="G303" i="12"/>
  <c r="G302" i="12"/>
  <c r="G301" i="12"/>
  <c r="G300" i="12"/>
  <c r="G299" i="12"/>
  <c r="G298" i="12"/>
  <c r="G297" i="12"/>
  <c r="G296" i="12"/>
  <c r="G295" i="12"/>
  <c r="G294" i="12"/>
  <c r="G293" i="12"/>
  <c r="G292" i="12"/>
  <c r="G291" i="12"/>
  <c r="G290" i="12"/>
  <c r="G289" i="12"/>
  <c r="G288" i="12"/>
  <c r="G287" i="12"/>
  <c r="G286" i="12"/>
  <c r="G285" i="12"/>
  <c r="G284" i="12"/>
  <c r="G283" i="12"/>
  <c r="G282" i="12"/>
  <c r="G281" i="12"/>
  <c r="G280" i="12"/>
  <c r="G279" i="12"/>
  <c r="G278" i="12"/>
  <c r="G277" i="12"/>
  <c r="G276" i="12"/>
  <c r="G275" i="12"/>
  <c r="G274" i="12"/>
  <c r="G273" i="12"/>
  <c r="G272" i="12"/>
  <c r="G271" i="12"/>
  <c r="G270" i="12"/>
  <c r="G269" i="12"/>
  <c r="G268" i="12"/>
  <c r="G267" i="12"/>
  <c r="G266" i="12"/>
  <c r="G265" i="12"/>
  <c r="G264" i="12"/>
  <c r="G263" i="12"/>
  <c r="G262" i="12"/>
  <c r="G261" i="12"/>
  <c r="G260" i="12"/>
  <c r="G259" i="12"/>
  <c r="G258" i="12"/>
  <c r="G257" i="12"/>
  <c r="G256" i="12"/>
  <c r="G255" i="12"/>
  <c r="G254" i="12"/>
  <c r="G253" i="12"/>
  <c r="G252" i="12"/>
  <c r="G251" i="12"/>
  <c r="G250" i="12"/>
  <c r="G249" i="12"/>
  <c r="G248" i="12"/>
  <c r="G247" i="12"/>
  <c r="G246" i="12"/>
  <c r="G245" i="12"/>
  <c r="G244" i="12"/>
  <c r="G243" i="12"/>
  <c r="G242" i="12"/>
  <c r="G241" i="12"/>
  <c r="G240" i="12"/>
  <c r="G239" i="12"/>
  <c r="G238" i="12"/>
  <c r="G237" i="12"/>
  <c r="G236" i="12"/>
  <c r="G235" i="12"/>
  <c r="G234" i="12"/>
  <c r="G233" i="12"/>
  <c r="G232" i="12"/>
  <c r="G231" i="12"/>
  <c r="G230" i="12"/>
  <c r="G229" i="12"/>
  <c r="G228" i="12"/>
  <c r="G227" i="12"/>
  <c r="G226" i="12"/>
  <c r="G225" i="12"/>
  <c r="G224" i="12"/>
  <c r="G223" i="12"/>
  <c r="G222" i="12"/>
  <c r="G221" i="12"/>
  <c r="G220" i="12"/>
  <c r="G219" i="12"/>
  <c r="G218" i="12"/>
  <c r="G217" i="12"/>
  <c r="G216" i="12"/>
  <c r="G215" i="12"/>
  <c r="G214" i="12"/>
  <c r="G213" i="12"/>
  <c r="G212" i="12"/>
  <c r="G211" i="12"/>
  <c r="G210" i="12"/>
  <c r="G209" i="12"/>
  <c r="G208" i="12"/>
  <c r="G207" i="12"/>
  <c r="G206" i="12"/>
  <c r="G205" i="12"/>
  <c r="G204" i="12"/>
  <c r="G203" i="12"/>
  <c r="G202" i="12"/>
  <c r="G201" i="12"/>
  <c r="G200" i="12"/>
  <c r="G199" i="12"/>
  <c r="G198" i="12"/>
  <c r="G197" i="12"/>
  <c r="G196" i="12"/>
  <c r="G195" i="12"/>
  <c r="G194" i="12"/>
  <c r="G193" i="12"/>
  <c r="G192" i="12"/>
  <c r="G191" i="12"/>
  <c r="G190" i="12"/>
  <c r="G189" i="12"/>
  <c r="G188" i="12"/>
  <c r="G187" i="12"/>
  <c r="G186" i="12"/>
  <c r="G185" i="12"/>
  <c r="G184" i="12"/>
  <c r="G183" i="12"/>
  <c r="G182" i="12"/>
  <c r="G181" i="12"/>
  <c r="G180" i="12"/>
  <c r="G179" i="12"/>
  <c r="G178" i="12"/>
  <c r="G177" i="12"/>
  <c r="G176" i="12"/>
  <c r="G175" i="12"/>
  <c r="G174" i="12"/>
  <c r="G173" i="12"/>
  <c r="G172" i="12"/>
  <c r="G171" i="12"/>
  <c r="G170" i="12"/>
  <c r="G169" i="12"/>
  <c r="G168" i="12"/>
  <c r="G167" i="12"/>
  <c r="G166" i="12"/>
  <c r="G165" i="12"/>
  <c r="G164" i="12"/>
  <c r="G163" i="12"/>
  <c r="G162" i="12"/>
  <c r="G161" i="12"/>
  <c r="G160" i="12"/>
  <c r="G159" i="12"/>
  <c r="G158" i="12"/>
  <c r="G157" i="12"/>
  <c r="G156" i="12"/>
  <c r="G155" i="12"/>
  <c r="G154" i="12"/>
  <c r="G153" i="12"/>
  <c r="G152" i="12"/>
  <c r="G151" i="12"/>
  <c r="G150" i="12"/>
  <c r="G149" i="12"/>
  <c r="G148" i="12"/>
  <c r="G147" i="12"/>
  <c r="G146" i="12"/>
  <c r="G145" i="12"/>
  <c r="G144" i="12"/>
  <c r="G143" i="12"/>
  <c r="G142" i="12"/>
  <c r="G141" i="12"/>
  <c r="G140" i="12"/>
  <c r="G139" i="12"/>
  <c r="G138" i="12"/>
  <c r="G137" i="12"/>
  <c r="G136" i="12"/>
  <c r="G135" i="12"/>
  <c r="G134" i="12"/>
  <c r="G133" i="12"/>
  <c r="G132" i="12"/>
  <c r="G131" i="12"/>
  <c r="G130" i="12"/>
  <c r="G129" i="12"/>
  <c r="G128" i="12"/>
  <c r="G127" i="12"/>
  <c r="G126" i="12"/>
  <c r="G125" i="12"/>
  <c r="G124" i="12"/>
  <c r="G123" i="12"/>
  <c r="G122" i="12"/>
  <c r="G121" i="12"/>
  <c r="G120" i="12"/>
  <c r="G119" i="12"/>
  <c r="G118" i="12"/>
  <c r="G117" i="12"/>
  <c r="G116" i="12"/>
  <c r="G115" i="12"/>
  <c r="G114" i="12"/>
  <c r="G113" i="12"/>
  <c r="G112" i="12"/>
  <c r="G111" i="12"/>
  <c r="G110" i="12"/>
  <c r="G109" i="12"/>
  <c r="G108" i="12"/>
  <c r="G107" i="12"/>
  <c r="G106" i="12"/>
  <c r="G105" i="12"/>
  <c r="G104" i="12"/>
  <c r="G103" i="12"/>
  <c r="G102" i="12"/>
  <c r="G101" i="12"/>
  <c r="G100" i="12"/>
  <c r="G99" i="12"/>
  <c r="G98" i="12"/>
  <c r="G97" i="12"/>
  <c r="G96" i="12"/>
  <c r="G95" i="12"/>
  <c r="G94" i="12"/>
  <c r="G93" i="12"/>
  <c r="G92" i="12"/>
  <c r="G91" i="12"/>
  <c r="G90" i="12"/>
  <c r="G89" i="12"/>
  <c r="G88" i="12"/>
  <c r="G87" i="12"/>
  <c r="G86" i="12"/>
  <c r="G85" i="12"/>
  <c r="G84" i="12"/>
  <c r="G83" i="12"/>
  <c r="G82" i="12"/>
  <c r="G81" i="12"/>
  <c r="G80" i="12"/>
  <c r="G79" i="12"/>
  <c r="G78" i="12"/>
  <c r="G77" i="12"/>
  <c r="G76" i="12"/>
  <c r="G75" i="12"/>
  <c r="G74" i="12"/>
  <c r="G73" i="12"/>
  <c r="G72" i="12"/>
  <c r="G71" i="12"/>
  <c r="G70" i="12"/>
  <c r="G69" i="12"/>
  <c r="G68" i="12"/>
  <c r="G67" i="12"/>
  <c r="G66" i="12"/>
  <c r="G65" i="12"/>
  <c r="G64" i="12"/>
  <c r="G63" i="12"/>
  <c r="G62" i="12"/>
  <c r="G61" i="12"/>
  <c r="G60" i="12"/>
  <c r="G59" i="12"/>
  <c r="G58" i="12"/>
  <c r="G57" i="12"/>
  <c r="G56" i="12"/>
  <c r="G55" i="12"/>
  <c r="G54" i="12"/>
  <c r="G53" i="12"/>
  <c r="G52" i="12"/>
  <c r="G51" i="12"/>
  <c r="G50" i="12"/>
  <c r="G49" i="12"/>
  <c r="G48" i="12"/>
  <c r="G47" i="12"/>
  <c r="G46" i="12"/>
  <c r="G45" i="12"/>
  <c r="G44" i="12"/>
  <c r="G43" i="12"/>
  <c r="G42" i="12"/>
  <c r="G41" i="12"/>
  <c r="G40" i="12"/>
  <c r="G39" i="12"/>
  <c r="G38" i="12"/>
  <c r="G37" i="12"/>
  <c r="G36" i="12"/>
  <c r="G35" i="12"/>
  <c r="G34" i="12"/>
  <c r="G33" i="12"/>
  <c r="G32" i="12"/>
  <c r="G31" i="12"/>
  <c r="G30" i="12"/>
  <c r="G29" i="12"/>
  <c r="G28" i="12"/>
  <c r="G27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G9" i="12"/>
  <c r="G8" i="12"/>
  <c r="G7" i="12"/>
  <c r="G6" i="12"/>
  <c r="G5" i="12"/>
  <c r="G4" i="12"/>
  <c r="G3" i="12"/>
  <c r="G2" i="12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G5" i="10"/>
  <c r="G4" i="10"/>
  <c r="G3" i="10"/>
  <c r="G2" i="10"/>
  <c r="G581" i="8"/>
  <c r="G580" i="8"/>
  <c r="G579" i="8"/>
  <c r="G578" i="8"/>
  <c r="G577" i="8"/>
  <c r="G576" i="8"/>
  <c r="G575" i="8"/>
  <c r="G574" i="8"/>
  <c r="G573" i="8"/>
  <c r="G572" i="8"/>
  <c r="G571" i="8"/>
  <c r="G570" i="8"/>
  <c r="G569" i="8"/>
  <c r="G568" i="8"/>
  <c r="G567" i="8"/>
  <c r="G566" i="8"/>
  <c r="G565" i="8"/>
  <c r="G564" i="8"/>
  <c r="G563" i="8"/>
  <c r="G562" i="8"/>
  <c r="G561" i="8"/>
  <c r="G560" i="8"/>
  <c r="G559" i="8"/>
  <c r="G558" i="8"/>
  <c r="G557" i="8"/>
  <c r="G556" i="8"/>
  <c r="G555" i="8"/>
  <c r="G554" i="8"/>
  <c r="G553" i="8"/>
  <c r="G552" i="8"/>
  <c r="G551" i="8"/>
  <c r="G550" i="8"/>
  <c r="G549" i="8"/>
  <c r="G548" i="8"/>
  <c r="G547" i="8"/>
  <c r="G546" i="8"/>
  <c r="G545" i="8"/>
  <c r="G544" i="8"/>
  <c r="G543" i="8"/>
  <c r="G542" i="8"/>
  <c r="G541" i="8"/>
  <c r="G540" i="8"/>
  <c r="G539" i="8"/>
  <c r="G538" i="8"/>
  <c r="G537" i="8"/>
  <c r="G536" i="8"/>
  <c r="G535" i="8"/>
  <c r="G534" i="8"/>
  <c r="G533" i="8"/>
  <c r="G532" i="8"/>
  <c r="G531" i="8"/>
  <c r="G530" i="8"/>
  <c r="G529" i="8"/>
  <c r="G528" i="8"/>
  <c r="G527" i="8"/>
  <c r="G526" i="8"/>
  <c r="G525" i="8"/>
  <c r="G524" i="8"/>
  <c r="G523" i="8"/>
  <c r="G522" i="8"/>
  <c r="G521" i="8"/>
  <c r="G520" i="8"/>
  <c r="G519" i="8"/>
  <c r="G518" i="8"/>
  <c r="G517" i="8"/>
  <c r="G516" i="8"/>
  <c r="G515" i="8"/>
  <c r="G514" i="8"/>
  <c r="G513" i="8"/>
  <c r="G512" i="8"/>
  <c r="G511" i="8"/>
  <c r="G510" i="8"/>
  <c r="G509" i="8"/>
  <c r="G508" i="8"/>
  <c r="G507" i="8"/>
  <c r="G506" i="8"/>
  <c r="G505" i="8"/>
  <c r="G504" i="8"/>
  <c r="G503" i="8"/>
  <c r="G502" i="8"/>
  <c r="G501" i="8"/>
  <c r="G500" i="8"/>
  <c r="G499" i="8"/>
  <c r="G498" i="8"/>
  <c r="G497" i="8"/>
  <c r="G496" i="8"/>
  <c r="G495" i="8"/>
  <c r="G494" i="8"/>
  <c r="G493" i="8"/>
  <c r="G492" i="8"/>
  <c r="G491" i="8"/>
  <c r="G490" i="8"/>
  <c r="G489" i="8"/>
  <c r="G488" i="8"/>
  <c r="G487" i="8"/>
  <c r="G486" i="8"/>
  <c r="G485" i="8"/>
  <c r="G484" i="8"/>
  <c r="G483" i="8"/>
  <c r="G482" i="8"/>
  <c r="G481" i="8"/>
  <c r="G480" i="8"/>
  <c r="G479" i="8"/>
  <c r="G478" i="8"/>
  <c r="G477" i="8"/>
  <c r="G476" i="8"/>
  <c r="G475" i="8"/>
  <c r="G474" i="8"/>
  <c r="G473" i="8"/>
  <c r="G472" i="8"/>
  <c r="G471" i="8"/>
  <c r="G470" i="8"/>
  <c r="G469" i="8"/>
  <c r="G468" i="8"/>
  <c r="G467" i="8"/>
  <c r="G466" i="8"/>
  <c r="G465" i="8"/>
  <c r="G464" i="8"/>
  <c r="G463" i="8"/>
  <c r="G462" i="8"/>
  <c r="G461" i="8"/>
  <c r="G460" i="8"/>
  <c r="G459" i="8"/>
  <c r="G458" i="8"/>
  <c r="G457" i="8"/>
  <c r="G456" i="8"/>
  <c r="G455" i="8"/>
  <c r="G454" i="8"/>
  <c r="G453" i="8"/>
  <c r="G452" i="8"/>
  <c r="G451" i="8"/>
  <c r="G450" i="8"/>
  <c r="G449" i="8"/>
  <c r="G448" i="8"/>
  <c r="G447" i="8"/>
  <c r="G446" i="8"/>
  <c r="G445" i="8"/>
  <c r="G444" i="8"/>
  <c r="G443" i="8"/>
  <c r="G442" i="8"/>
  <c r="G441" i="8"/>
  <c r="G440" i="8"/>
  <c r="G439" i="8"/>
  <c r="G438" i="8"/>
  <c r="G437" i="8"/>
  <c r="G436" i="8"/>
  <c r="G435" i="8"/>
  <c r="G434" i="8"/>
  <c r="G433" i="8"/>
  <c r="G432" i="8"/>
  <c r="G431" i="8"/>
  <c r="G430" i="8"/>
  <c r="G429" i="8"/>
  <c r="G428" i="8"/>
  <c r="G427" i="8"/>
  <c r="G426" i="8"/>
  <c r="G425" i="8"/>
  <c r="G424" i="8"/>
  <c r="G423" i="8"/>
  <c r="G422" i="8"/>
  <c r="G421" i="8"/>
  <c r="G420" i="8"/>
  <c r="G419" i="8"/>
  <c r="G418" i="8"/>
  <c r="G417" i="8"/>
  <c r="G416" i="8"/>
  <c r="G415" i="8"/>
  <c r="G414" i="8"/>
  <c r="G413" i="8"/>
  <c r="G412" i="8"/>
  <c r="G411" i="8"/>
  <c r="G410" i="8"/>
  <c r="G409" i="8"/>
  <c r="G408" i="8"/>
  <c r="G407" i="8"/>
  <c r="G406" i="8"/>
  <c r="G405" i="8"/>
  <c r="G404" i="8"/>
  <c r="G403" i="8"/>
  <c r="G402" i="8"/>
  <c r="G401" i="8"/>
  <c r="G400" i="8"/>
  <c r="G399" i="8"/>
  <c r="G398" i="8"/>
  <c r="G397" i="8"/>
  <c r="G396" i="8"/>
  <c r="G395" i="8"/>
  <c r="G394" i="8"/>
  <c r="G393" i="8"/>
  <c r="G392" i="8"/>
  <c r="G391" i="8"/>
  <c r="G390" i="8"/>
  <c r="G389" i="8"/>
  <c r="G388" i="8"/>
  <c r="G387" i="8"/>
  <c r="G386" i="8"/>
  <c r="G385" i="8"/>
  <c r="G384" i="8"/>
  <c r="G383" i="8"/>
  <c r="G382" i="8"/>
  <c r="G381" i="8"/>
  <c r="G380" i="8"/>
  <c r="G379" i="8"/>
  <c r="G378" i="8"/>
  <c r="G377" i="8"/>
  <c r="G376" i="8"/>
  <c r="G375" i="8"/>
  <c r="G374" i="8"/>
  <c r="G373" i="8"/>
  <c r="G372" i="8"/>
  <c r="G371" i="8"/>
  <c r="G370" i="8"/>
  <c r="G369" i="8"/>
  <c r="G368" i="8"/>
  <c r="G367" i="8"/>
  <c r="G366" i="8"/>
  <c r="G365" i="8"/>
  <c r="G364" i="8"/>
  <c r="G363" i="8"/>
  <c r="G362" i="8"/>
  <c r="G361" i="8"/>
  <c r="G360" i="8"/>
  <c r="G359" i="8"/>
  <c r="G358" i="8"/>
  <c r="G357" i="8"/>
  <c r="G356" i="8"/>
  <c r="G355" i="8"/>
  <c r="G354" i="8"/>
  <c r="G353" i="8"/>
  <c r="G352" i="8"/>
  <c r="G351" i="8"/>
  <c r="G350" i="8"/>
  <c r="G349" i="8"/>
  <c r="G348" i="8"/>
  <c r="G347" i="8"/>
  <c r="G346" i="8"/>
  <c r="G345" i="8"/>
  <c r="G344" i="8"/>
  <c r="G343" i="8"/>
  <c r="G342" i="8"/>
  <c r="G341" i="8"/>
  <c r="G340" i="8"/>
  <c r="G339" i="8"/>
  <c r="G338" i="8"/>
  <c r="G337" i="8"/>
  <c r="G336" i="8"/>
  <c r="G335" i="8"/>
  <c r="G334" i="8"/>
  <c r="G333" i="8"/>
  <c r="G332" i="8"/>
  <c r="G331" i="8"/>
  <c r="G330" i="8"/>
  <c r="G329" i="8"/>
  <c r="G328" i="8"/>
  <c r="G327" i="8"/>
  <c r="G326" i="8"/>
  <c r="G325" i="8"/>
  <c r="G324" i="8"/>
  <c r="G323" i="8"/>
  <c r="G322" i="8"/>
  <c r="G321" i="8"/>
  <c r="G320" i="8"/>
  <c r="G319" i="8"/>
  <c r="G318" i="8"/>
  <c r="G317" i="8"/>
  <c r="G316" i="8"/>
  <c r="G315" i="8"/>
  <c r="G314" i="8"/>
  <c r="G313" i="8"/>
  <c r="G312" i="8"/>
  <c r="G311" i="8"/>
  <c r="G310" i="8"/>
  <c r="G309" i="8"/>
  <c r="G308" i="8"/>
  <c r="G307" i="8"/>
  <c r="G306" i="8"/>
  <c r="G305" i="8"/>
  <c r="G304" i="8"/>
  <c r="G303" i="8"/>
  <c r="G302" i="8"/>
  <c r="G301" i="8"/>
  <c r="G300" i="8"/>
  <c r="G299" i="8"/>
  <c r="G298" i="8"/>
  <c r="G297" i="8"/>
  <c r="G296" i="8"/>
  <c r="G295" i="8"/>
  <c r="G294" i="8"/>
  <c r="G293" i="8"/>
  <c r="G292" i="8"/>
  <c r="G291" i="8"/>
  <c r="G290" i="8"/>
  <c r="G289" i="8"/>
  <c r="G288" i="8"/>
  <c r="G287" i="8"/>
  <c r="G286" i="8"/>
  <c r="G285" i="8"/>
  <c r="G284" i="8"/>
  <c r="G283" i="8"/>
  <c r="G282" i="8"/>
  <c r="G281" i="8"/>
  <c r="G280" i="8"/>
  <c r="G279" i="8"/>
  <c r="G278" i="8"/>
  <c r="G277" i="8"/>
  <c r="G276" i="8"/>
  <c r="G275" i="8"/>
  <c r="G274" i="8"/>
  <c r="G273" i="8"/>
  <c r="G272" i="8"/>
  <c r="G271" i="8"/>
  <c r="G270" i="8"/>
  <c r="G269" i="8"/>
  <c r="G268" i="8"/>
  <c r="G267" i="8"/>
  <c r="G266" i="8"/>
  <c r="G265" i="8"/>
  <c r="G264" i="8"/>
  <c r="G263" i="8"/>
  <c r="G262" i="8"/>
  <c r="G261" i="8"/>
  <c r="G260" i="8"/>
  <c r="G259" i="8"/>
  <c r="G258" i="8"/>
  <c r="G257" i="8"/>
  <c r="G256" i="8"/>
  <c r="G255" i="8"/>
  <c r="G254" i="8"/>
  <c r="G253" i="8"/>
  <c r="G252" i="8"/>
  <c r="G251" i="8"/>
  <c r="G250" i="8"/>
  <c r="G249" i="8"/>
  <c r="G248" i="8"/>
  <c r="G247" i="8"/>
  <c r="G246" i="8"/>
  <c r="G245" i="8"/>
  <c r="G244" i="8"/>
  <c r="G243" i="8"/>
  <c r="G242" i="8"/>
  <c r="G241" i="8"/>
  <c r="G240" i="8"/>
  <c r="G239" i="8"/>
  <c r="G238" i="8"/>
  <c r="G237" i="8"/>
  <c r="G236" i="8"/>
  <c r="G235" i="8"/>
  <c r="G234" i="8"/>
  <c r="G233" i="8"/>
  <c r="G232" i="8"/>
  <c r="G231" i="8"/>
  <c r="G230" i="8"/>
  <c r="G229" i="8"/>
  <c r="G228" i="8"/>
  <c r="G227" i="8"/>
  <c r="G226" i="8"/>
  <c r="G225" i="8"/>
  <c r="G224" i="8"/>
  <c r="G223" i="8"/>
  <c r="G222" i="8"/>
  <c r="G221" i="8"/>
  <c r="G220" i="8"/>
  <c r="G219" i="8"/>
  <c r="G218" i="8"/>
  <c r="G217" i="8"/>
  <c r="G216" i="8"/>
  <c r="G215" i="8"/>
  <c r="G214" i="8"/>
  <c r="G213" i="8"/>
  <c r="G212" i="8"/>
  <c r="G211" i="8"/>
  <c r="G210" i="8"/>
  <c r="G209" i="8"/>
  <c r="G208" i="8"/>
  <c r="G207" i="8"/>
  <c r="G206" i="8"/>
  <c r="G205" i="8"/>
  <c r="G204" i="8"/>
  <c r="G203" i="8"/>
  <c r="G202" i="8"/>
  <c r="G201" i="8"/>
  <c r="G200" i="8"/>
  <c r="G199" i="8"/>
  <c r="G198" i="8"/>
  <c r="G197" i="8"/>
  <c r="G196" i="8"/>
  <c r="G195" i="8"/>
  <c r="G194" i="8"/>
  <c r="G193" i="8"/>
  <c r="G192" i="8"/>
  <c r="G191" i="8"/>
  <c r="G190" i="8"/>
  <c r="G189" i="8"/>
  <c r="G188" i="8"/>
  <c r="G187" i="8"/>
  <c r="G186" i="8"/>
  <c r="G185" i="8"/>
  <c r="G184" i="8"/>
  <c r="G183" i="8"/>
  <c r="G182" i="8"/>
  <c r="G181" i="8"/>
  <c r="G180" i="8"/>
  <c r="G179" i="8"/>
  <c r="G178" i="8"/>
  <c r="G177" i="8"/>
  <c r="G176" i="8"/>
  <c r="G175" i="8"/>
  <c r="G174" i="8"/>
  <c r="G173" i="8"/>
  <c r="G172" i="8"/>
  <c r="G171" i="8"/>
  <c r="G170" i="8"/>
  <c r="G169" i="8"/>
  <c r="G168" i="8"/>
  <c r="G167" i="8"/>
  <c r="G166" i="8"/>
  <c r="G165" i="8"/>
  <c r="G164" i="8"/>
  <c r="G163" i="8"/>
  <c r="G162" i="8"/>
  <c r="G161" i="8"/>
  <c r="G160" i="8"/>
  <c r="G159" i="8"/>
  <c r="G158" i="8"/>
  <c r="G157" i="8"/>
  <c r="G156" i="8"/>
  <c r="G155" i="8"/>
  <c r="G154" i="8"/>
  <c r="G153" i="8"/>
  <c r="G152" i="8"/>
  <c r="G151" i="8"/>
  <c r="G150" i="8"/>
  <c r="G149" i="8"/>
  <c r="G148" i="8"/>
  <c r="G147" i="8"/>
  <c r="G146" i="8"/>
  <c r="G145" i="8"/>
  <c r="G144" i="8"/>
  <c r="G143" i="8"/>
  <c r="G142" i="8"/>
  <c r="G141" i="8"/>
  <c r="G140" i="8"/>
  <c r="G139" i="8"/>
  <c r="G138" i="8"/>
  <c r="G137" i="8"/>
  <c r="G136" i="8"/>
  <c r="G135" i="8"/>
  <c r="G134" i="8"/>
  <c r="G133" i="8"/>
  <c r="G132" i="8"/>
  <c r="G131" i="8"/>
  <c r="G130" i="8"/>
  <c r="G129" i="8"/>
  <c r="G128" i="8"/>
  <c r="G127" i="8"/>
  <c r="G126" i="8"/>
  <c r="G125" i="8"/>
  <c r="G124" i="8"/>
  <c r="G123" i="8"/>
  <c r="G122" i="8"/>
  <c r="G121" i="8"/>
  <c r="G120" i="8"/>
  <c r="G119" i="8"/>
  <c r="G118" i="8"/>
  <c r="G117" i="8"/>
  <c r="G116" i="8"/>
  <c r="G115" i="8"/>
  <c r="G114" i="8"/>
  <c r="G113" i="8"/>
  <c r="G112" i="8"/>
  <c r="G111" i="8"/>
  <c r="G110" i="8"/>
  <c r="G109" i="8"/>
  <c r="G108" i="8"/>
  <c r="G107" i="8"/>
  <c r="G106" i="8"/>
  <c r="G105" i="8"/>
  <c r="G104" i="8"/>
  <c r="G103" i="8"/>
  <c r="G102" i="8"/>
  <c r="G101" i="8"/>
  <c r="G100" i="8"/>
  <c r="G99" i="8"/>
  <c r="G98" i="8"/>
  <c r="G97" i="8"/>
  <c r="G96" i="8"/>
  <c r="G95" i="8"/>
  <c r="G94" i="8"/>
  <c r="G93" i="8"/>
  <c r="G92" i="8"/>
  <c r="G91" i="8"/>
  <c r="G90" i="8"/>
  <c r="G89" i="8"/>
  <c r="G88" i="8"/>
  <c r="G87" i="8"/>
  <c r="G86" i="8"/>
  <c r="G85" i="8"/>
  <c r="G84" i="8"/>
  <c r="G83" i="8"/>
  <c r="G82" i="8"/>
  <c r="G81" i="8"/>
  <c r="G80" i="8"/>
  <c r="G79" i="8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G50" i="8"/>
  <c r="G49" i="8"/>
  <c r="G48" i="8"/>
  <c r="G47" i="8"/>
  <c r="G46" i="8"/>
  <c r="G45" i="8"/>
  <c r="G44" i="8"/>
  <c r="G43" i="8"/>
  <c r="G42" i="8"/>
  <c r="G41" i="8"/>
  <c r="G40" i="8"/>
  <c r="G39" i="8"/>
  <c r="G38" i="8"/>
  <c r="G37" i="8"/>
  <c r="G36" i="8"/>
  <c r="G35" i="8"/>
  <c r="G34" i="8"/>
  <c r="G33" i="8"/>
  <c r="G32" i="8"/>
  <c r="G31" i="8"/>
  <c r="G30" i="8"/>
  <c r="G29" i="8"/>
  <c r="G28" i="8"/>
  <c r="G27" i="8"/>
  <c r="G26" i="8"/>
  <c r="G25" i="8"/>
  <c r="G24" i="8"/>
  <c r="G23" i="8"/>
  <c r="G22" i="8"/>
  <c r="G21" i="8"/>
  <c r="G20" i="8"/>
  <c r="G19" i="8"/>
  <c r="G18" i="8"/>
  <c r="G17" i="8"/>
  <c r="G16" i="8"/>
  <c r="G15" i="8"/>
  <c r="G14" i="8"/>
  <c r="G13" i="8"/>
  <c r="G12" i="8"/>
  <c r="G11" i="8"/>
  <c r="G10" i="8"/>
  <c r="G9" i="8"/>
  <c r="G8" i="8"/>
  <c r="G7" i="8"/>
  <c r="G6" i="8"/>
  <c r="G5" i="8"/>
  <c r="G4" i="8"/>
  <c r="G3" i="8"/>
  <c r="G2" i="8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G3" i="6"/>
  <c r="G2" i="6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G533" i="2"/>
  <c r="G532" i="2"/>
  <c r="G531" i="2"/>
  <c r="G530" i="2"/>
  <c r="G529" i="2"/>
  <c r="G528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G489" i="2"/>
  <c r="G488" i="2"/>
  <c r="G487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G457" i="2"/>
  <c r="G456" i="2"/>
  <c r="G455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G377" i="2"/>
  <c r="G376" i="2"/>
  <c r="G375" i="2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G306" i="2"/>
  <c r="G305" i="2"/>
  <c r="G304" i="2"/>
  <c r="G303" i="2"/>
  <c r="G302" i="2"/>
  <c r="G301" i="2"/>
  <c r="G300" i="2"/>
  <c r="G299" i="2"/>
  <c r="G298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54" i="2"/>
  <c r="G253" i="2"/>
  <c r="G252" i="2"/>
  <c r="G251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G2" i="2"/>
  <c r="B35" i="1"/>
  <c r="C33" i="1"/>
  <c r="H26" i="1"/>
  <c r="G26" i="1"/>
  <c r="F26" i="1"/>
  <c r="D26" i="1"/>
  <c r="C26" i="1"/>
  <c r="B26" i="1"/>
  <c r="H25" i="1"/>
  <c r="G25" i="1"/>
  <c r="F25" i="1"/>
  <c r="C35" i="1" s="1"/>
  <c r="D25" i="1"/>
  <c r="C25" i="1"/>
  <c r="B25" i="1"/>
  <c r="H22" i="1"/>
  <c r="G22" i="1"/>
  <c r="F22" i="1"/>
  <c r="D22" i="1"/>
  <c r="C22" i="1"/>
  <c r="B22" i="1"/>
  <c r="H21" i="1"/>
  <c r="G21" i="1"/>
  <c r="F21" i="1"/>
  <c r="C34" i="1" s="1"/>
  <c r="D21" i="1"/>
  <c r="C21" i="1"/>
  <c r="B21" i="1"/>
  <c r="B34" i="1" s="1"/>
  <c r="H18" i="1"/>
  <c r="G18" i="1"/>
  <c r="F18" i="1"/>
  <c r="D18" i="1"/>
  <c r="C18" i="1"/>
  <c r="B18" i="1"/>
  <c r="H17" i="1"/>
  <c r="G17" i="1"/>
  <c r="F17" i="1"/>
  <c r="D17" i="1"/>
  <c r="C17" i="1"/>
  <c r="B17" i="1"/>
  <c r="B33" i="1" s="1"/>
  <c r="H14" i="1"/>
  <c r="G14" i="1"/>
  <c r="F14" i="1"/>
  <c r="D14" i="1"/>
  <c r="C14" i="1"/>
  <c r="B14" i="1"/>
  <c r="H13" i="1"/>
  <c r="G13" i="1"/>
  <c r="F13" i="1"/>
  <c r="C32" i="1" s="1"/>
  <c r="D13" i="1"/>
  <c r="C13" i="1"/>
  <c r="B13" i="1"/>
  <c r="B32" i="1" s="1"/>
  <c r="D7" i="1"/>
  <c r="C7" i="1"/>
  <c r="B7" i="1"/>
  <c r="D6" i="1"/>
  <c r="C6" i="1"/>
  <c r="B6" i="1"/>
  <c r="D5" i="1"/>
  <c r="C5" i="1"/>
  <c r="B5" i="1"/>
  <c r="D4" i="1"/>
  <c r="C4" i="1"/>
  <c r="B4" i="1"/>
</calcChain>
</file>

<file path=xl/sharedStrings.xml><?xml version="1.0" encoding="utf-8"?>
<sst xmlns="http://schemas.openxmlformats.org/spreadsheetml/2006/main" count="22605" uniqueCount="90">
  <si>
    <t>Correlation ICT/AI &amp; growth surprises</t>
  </si>
  <si>
    <t>explanatory_variable</t>
  </si>
  <si>
    <t>full sample</t>
  </si>
  <si>
    <t>since 2020</t>
  </si>
  <si>
    <t>through 2019</t>
  </si>
  <si>
    <t>ICT investment share</t>
  </si>
  <si>
    <t>AI/ICT-related HS export share</t>
  </si>
  <si>
    <t>National vs. semiconductor index correlation (8Q rolling, annualized)</t>
  </si>
  <si>
    <t>AI incoming investment share (per avg. quarterly GDP)</t>
  </si>
  <si>
    <t>All years</t>
  </si>
  <si>
    <t>Shock years</t>
  </si>
  <si>
    <t>data_cluster_ict_share</t>
  </si>
  <si>
    <t>data_ict_share_yrs</t>
  </si>
  <si>
    <t>below</t>
  </si>
  <si>
    <t>above</t>
  </si>
  <si>
    <t>share positive surprises</t>
  </si>
  <si>
    <t>share positive surprises (NL)</t>
  </si>
  <si>
    <t>data_cluster_hs_export</t>
  </si>
  <si>
    <t>data_hs_export_share_yrs</t>
  </si>
  <si>
    <t>data_cluster_stock_corr</t>
  </si>
  <si>
    <t>data_stock_corr_yrs</t>
  </si>
  <si>
    <t>data_cluster_ai_inv_share</t>
  </si>
  <si>
    <t>data_ai_inv_share_yrs</t>
  </si>
  <si>
    <t>Chart data (live references to the rows above)</t>
  </si>
  <si>
    <t>Variable</t>
  </si>
  <si>
    <t>All years - full</t>
  </si>
  <si>
    <t>Shock years - full</t>
  </si>
  <si>
    <t>National vs. semiconductor index correlation</t>
  </si>
  <si>
    <t>AI incoming investment share</t>
  </si>
  <si>
    <t>country</t>
  </si>
  <si>
    <t>vintage</t>
  </si>
  <si>
    <t>vintage_round</t>
  </si>
  <si>
    <t>target_year</t>
  </si>
  <si>
    <t>forecast_growth_annual_pct</t>
  </si>
  <si>
    <t>realized_growth_annual_pct</t>
  </si>
  <si>
    <t>growth_surprise_pct</t>
  </si>
  <si>
    <t>AT</t>
  </si>
  <si>
    <t>Autumn2011</t>
  </si>
  <si>
    <t>Autumn</t>
  </si>
  <si>
    <t>Spring2011</t>
  </si>
  <si>
    <t>Spring</t>
  </si>
  <si>
    <t>Autumn2012</t>
  </si>
  <si>
    <t>Spring2012</t>
  </si>
  <si>
    <t>Autumn2013</t>
  </si>
  <si>
    <t>Spring2013</t>
  </si>
  <si>
    <t>Autumn2014</t>
  </si>
  <si>
    <t>Spring2014</t>
  </si>
  <si>
    <t>Autumn2015</t>
  </si>
  <si>
    <t>Spring2015</t>
  </si>
  <si>
    <t>Autumn2016</t>
  </si>
  <si>
    <t>Spring2016</t>
  </si>
  <si>
    <t>Autumn2017</t>
  </si>
  <si>
    <t>Spring2017</t>
  </si>
  <si>
    <t>Autumn2018</t>
  </si>
  <si>
    <t>Spring2018</t>
  </si>
  <si>
    <t>Autumn2019</t>
  </si>
  <si>
    <t>Spring2019</t>
  </si>
  <si>
    <t>Autumn2020</t>
  </si>
  <si>
    <t>Spring2020</t>
  </si>
  <si>
    <t>Autumn2021</t>
  </si>
  <si>
    <t>Spring2021</t>
  </si>
  <si>
    <t>Autumn2022</t>
  </si>
  <si>
    <t>Spring2022</t>
  </si>
  <si>
    <t>Autumn2023</t>
  </si>
  <si>
    <t>Spring2023</t>
  </si>
  <si>
    <t>Autumn2024</t>
  </si>
  <si>
    <t>Spring2024</t>
  </si>
  <si>
    <t>BE</t>
  </si>
  <si>
    <t>DE</t>
  </si>
  <si>
    <t>ES</t>
  </si>
  <si>
    <t>FI</t>
  </si>
  <si>
    <t>Autumn2025</t>
  </si>
  <si>
    <t>Spring2025</t>
  </si>
  <si>
    <t>FR</t>
  </si>
  <si>
    <t>IE</t>
  </si>
  <si>
    <t>IT</t>
  </si>
  <si>
    <t>NL</t>
  </si>
  <si>
    <t>PT</t>
  </si>
  <si>
    <t>cluster</t>
  </si>
  <si>
    <t>Below median</t>
  </si>
  <si>
    <t>Above median</t>
  </si>
  <si>
    <t>explanatory_year_used</t>
  </si>
  <si>
    <t>Low ICT investment</t>
  </si>
  <si>
    <t>High ICT investment</t>
  </si>
  <si>
    <t>Low SOX correl</t>
  </si>
  <si>
    <t>High SOX correl</t>
  </si>
  <si>
    <t>High ICT-AI  invest</t>
  </si>
  <si>
    <t>Low ICT-AI  invest</t>
  </si>
  <si>
    <t>Low ICT-AI  export</t>
  </si>
  <si>
    <t>High ICT-AI 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</si>
</sst>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b/>
      <sz val="12"/>
      <name val="Calibri"/>
    </font>
    <font>
      <b/>
      <u/>
      <sz val="11"/>
      <name val="Calibri"/>
    </font>
    <font>
      <b/>
      <i/>
      <sz val="11"/>
      <name val="Calibri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9" fontId="0" fillId="0" borderId="0" xfId="0" applyNumberFormat="1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summary!$B$31:$C$31</c:f>
              <c:strCache>
                <c:ptCount val="2"/>
                <c:pt idx="0">
                  <c:v>All years - full</c:v>
                </c:pt>
                <c:pt idx="1">
                  <c:v>Shock years - full</c:v>
                </c:pt>
              </c:strCache>
            </c:strRef>
          </c:cat>
          <c:val>
            <c:numRef>
              <c:f>summary!$B$32:$C$32</c:f>
              <c:numCache>
                <c:formatCode>0%</c:formatCode>
                <c:ptCount val="2"/>
                <c:pt idx="0">
                  <c:v>0.54379562043795615</c:v>
                </c:pt>
                <c:pt idx="1">
                  <c:v>0.78333333333333333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94-4283-9E3E-293DB1AAE1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11"/>
        <c:axId val="2111786736"/>
        <c:axId val="2097075120"/>
      </c:barChart>
      <c:catAx>
        <c:axId val="21117867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097075120"/>
        <c:crosses val="autoZero"/>
        <c:auto val="1"/>
        <c:lblAlgn val="ctr"/>
        <c:lblOffset val="100"/>
        <c:noMultiLvlLbl val="0"/>
      </c:catAx>
      <c:valAx>
        <c:axId val="2097075120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111786736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summary!$D$32</c:f>
              <c:strCache>
                <c:ptCount val="1"/>
                <c:pt idx="0">
                  <c:v>Low ICT-AI  invest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summary!$E$31:$F$31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summary!$E$32:$F$32</c:f>
              <c:numCache>
                <c:formatCode>0%</c:formatCode>
                <c:ptCount val="2"/>
                <c:pt idx="0">
                  <c:v>0.48540145985401462</c:v>
                </c:pt>
                <c:pt idx="1">
                  <c:v>0.76666666666666672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A0-4BD8-982A-D44109536671}"/>
            </c:ext>
          </c:extLst>
        </c:ser>
        <c:ser>
          <c:idx val="1"/>
          <c:order val="1"/>
          <c:tx>
            <c:strRef>
              <c:f>summary!$D$33</c:f>
              <c:strCache>
                <c:ptCount val="1"/>
                <c:pt idx="0">
                  <c:v>High ICT-AI  invest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summary!$E$31:$F$31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summary!$E$33:$F$33</c:f>
              <c:numCache>
                <c:formatCode>0%</c:formatCode>
                <c:ptCount val="2"/>
                <c:pt idx="0">
                  <c:v>0.6021897810218978</c:v>
                </c:pt>
                <c:pt idx="1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A0-4BD8-982A-D441095366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253328"/>
        <c:axId val="2097052080"/>
      </c:barChart>
      <c:catAx>
        <c:axId val="13225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097052080"/>
        <c:crosses val="autoZero"/>
        <c:auto val="1"/>
        <c:lblAlgn val="ctr"/>
        <c:lblOffset val="100"/>
        <c:noMultiLvlLbl val="0"/>
      </c:catAx>
      <c:valAx>
        <c:axId val="209705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225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summary!$H$32</c:f>
              <c:strCache>
                <c:ptCount val="1"/>
                <c:pt idx="0">
                  <c:v>Low ICT-AI  export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summary!$I$31:$J$31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summary!$I$32:$J$32</c:f>
              <c:numCache>
                <c:formatCode>0%</c:formatCode>
                <c:ptCount val="2"/>
                <c:pt idx="0">
                  <c:v>0.5273972602739726</c:v>
                </c:pt>
                <c:pt idx="1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98-41BB-8786-325A8B327813}"/>
            </c:ext>
          </c:extLst>
        </c:ser>
        <c:ser>
          <c:idx val="1"/>
          <c:order val="1"/>
          <c:tx>
            <c:strRef>
              <c:f>summary!$H$33</c:f>
              <c:strCache>
                <c:ptCount val="1"/>
                <c:pt idx="0">
                  <c:v>High ICT-AI  export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summary!$I$31:$J$31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summary!$I$33:$J$33</c:f>
              <c:numCache>
                <c:formatCode>0%</c:formatCode>
                <c:ptCount val="2"/>
                <c:pt idx="0">
                  <c:v>0.5625</c:v>
                </c:pt>
                <c:pt idx="1">
                  <c:v>0.8666666666666667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98-41BB-8786-325A8B327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253328"/>
        <c:axId val="2097052080"/>
      </c:barChart>
      <c:catAx>
        <c:axId val="13225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097052080"/>
        <c:crosses val="autoZero"/>
        <c:auto val="1"/>
        <c:lblAlgn val="ctr"/>
        <c:lblOffset val="100"/>
        <c:noMultiLvlLbl val="0"/>
      </c:catAx>
      <c:valAx>
        <c:axId val="209705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225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summary!$M$32</c:f>
              <c:strCache>
                <c:ptCount val="1"/>
                <c:pt idx="0">
                  <c:v>Low SOX correl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summary!$N$31:$O$31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summary!$N$32:$O$32</c:f>
              <c:numCache>
                <c:formatCode>0%</c:formatCode>
                <c:ptCount val="2"/>
                <c:pt idx="0">
                  <c:v>0.56343283582089554</c:v>
                </c:pt>
                <c:pt idx="1">
                  <c:v>0.76666666666666672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DC-4CAD-873E-F9085A226990}"/>
            </c:ext>
          </c:extLst>
        </c:ser>
        <c:ser>
          <c:idx val="1"/>
          <c:order val="1"/>
          <c:tx>
            <c:strRef>
              <c:f>summary!$M$33</c:f>
              <c:strCache>
                <c:ptCount val="1"/>
                <c:pt idx="0">
                  <c:v>High SOX correl</c:v>
                </c:pt>
              </c:strCache>
            </c:strRef>
          </c:tx>
          <c:spPr>
            <a:solidFill>
              <a:schemeClr val="tx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summary!$N$31:$O$31</c:f>
              <c:strCache>
                <c:ptCount val="2"/>
                <c:pt idx="0">
                  <c:v>All years</c:v>
                </c:pt>
                <c:pt idx="1">
                  <c:v>Shock years</c:v>
                </c:pt>
              </c:strCache>
            </c:strRef>
          </c:cat>
          <c:val>
            <c:numRef>
              <c:f>summary!$N$33:$O$33</c:f>
              <c:numCache>
                <c:formatCode>0%</c:formatCode>
                <c:ptCount val="2"/>
                <c:pt idx="0">
                  <c:v>0.5598591549295775</c:v>
                </c:pt>
                <c:pt idx="1">
                  <c:v>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DC-4CAD-873E-F9085A2269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253328"/>
        <c:axId val="2097052080"/>
      </c:barChart>
      <c:catAx>
        <c:axId val="132253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2097052080"/>
        <c:crosses val="autoZero"/>
        <c:auto val="1"/>
        <c:lblAlgn val="ctr"/>
        <c:lblOffset val="100"/>
        <c:noMultiLvlLbl val="0"/>
      </c:catAx>
      <c:valAx>
        <c:axId val="209705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13225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ICT investment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data_ict_share_full!$H$2:$H$549</c:f>
              <c:numCache>
                <c:formatCode>General</c:formatCode>
                <c:ptCount val="548"/>
                <c:pt idx="0">
                  <c:v>0.1467147589337007</c:v>
                </c:pt>
                <c:pt idx="1">
                  <c:v>0.1467147589337007</c:v>
                </c:pt>
                <c:pt idx="2">
                  <c:v>0.14263754713345991</c:v>
                </c:pt>
                <c:pt idx="3">
                  <c:v>0.14263754713345991</c:v>
                </c:pt>
                <c:pt idx="4">
                  <c:v>0.14263754713345991</c:v>
                </c:pt>
                <c:pt idx="5">
                  <c:v>0.14263754713345991</c:v>
                </c:pt>
                <c:pt idx="6">
                  <c:v>0.14779517232352959</c:v>
                </c:pt>
                <c:pt idx="7">
                  <c:v>0.14779517232352959</c:v>
                </c:pt>
                <c:pt idx="8">
                  <c:v>0.14779517232352959</c:v>
                </c:pt>
                <c:pt idx="9">
                  <c:v>0.14779517232352959</c:v>
                </c:pt>
                <c:pt idx="10">
                  <c:v>0.1428833334652285</c:v>
                </c:pt>
                <c:pt idx="11">
                  <c:v>0.1428833334652285</c:v>
                </c:pt>
                <c:pt idx="12">
                  <c:v>0.1428833334652285</c:v>
                </c:pt>
                <c:pt idx="13">
                  <c:v>0.1428833334652285</c:v>
                </c:pt>
                <c:pt idx="14">
                  <c:v>0.1551594480824991</c:v>
                </c:pt>
                <c:pt idx="15">
                  <c:v>0.1551594480824991</c:v>
                </c:pt>
                <c:pt idx="16">
                  <c:v>0.1551594480824991</c:v>
                </c:pt>
                <c:pt idx="17">
                  <c:v>0.1551594480824991</c:v>
                </c:pt>
                <c:pt idx="18">
                  <c:v>0.15546366398225389</c:v>
                </c:pt>
                <c:pt idx="19">
                  <c:v>0.15546366398225389</c:v>
                </c:pt>
                <c:pt idx="20">
                  <c:v>0.15546366398225389</c:v>
                </c:pt>
                <c:pt idx="21">
                  <c:v>0.15546366398225389</c:v>
                </c:pt>
                <c:pt idx="22">
                  <c:v>0.1514119442963342</c:v>
                </c:pt>
                <c:pt idx="23">
                  <c:v>0.1514119442963342</c:v>
                </c:pt>
                <c:pt idx="24">
                  <c:v>0.1514119442963342</c:v>
                </c:pt>
                <c:pt idx="25">
                  <c:v>0.1514119442963342</c:v>
                </c:pt>
                <c:pt idx="26">
                  <c:v>0.15970830024254651</c:v>
                </c:pt>
                <c:pt idx="27">
                  <c:v>0.15970830024254651</c:v>
                </c:pt>
                <c:pt idx="28">
                  <c:v>0.15970830024254651</c:v>
                </c:pt>
                <c:pt idx="29">
                  <c:v>0.15970830024254651</c:v>
                </c:pt>
                <c:pt idx="30">
                  <c:v>0.16885807361071789</c:v>
                </c:pt>
                <c:pt idx="31">
                  <c:v>0.16885807361071789</c:v>
                </c:pt>
                <c:pt idx="32">
                  <c:v>0.16885807361071789</c:v>
                </c:pt>
                <c:pt idx="33">
                  <c:v>0.16885807361071789</c:v>
                </c:pt>
                <c:pt idx="34">
                  <c:v>0.17076349956742379</c:v>
                </c:pt>
                <c:pt idx="35">
                  <c:v>0.17076349956742379</c:v>
                </c:pt>
                <c:pt idx="36">
                  <c:v>0.17076349956742379</c:v>
                </c:pt>
                <c:pt idx="37">
                  <c:v>0.17076349956742379</c:v>
                </c:pt>
                <c:pt idx="38">
                  <c:v>0.1559916018212551</c:v>
                </c:pt>
                <c:pt idx="39">
                  <c:v>0.1559916018212551</c:v>
                </c:pt>
                <c:pt idx="40">
                  <c:v>0.1559916018212551</c:v>
                </c:pt>
                <c:pt idx="41">
                  <c:v>0.1559916018212551</c:v>
                </c:pt>
                <c:pt idx="42">
                  <c:v>0.15603500394963879</c:v>
                </c:pt>
                <c:pt idx="43">
                  <c:v>0.15603500394963879</c:v>
                </c:pt>
                <c:pt idx="44">
                  <c:v>0.15603500394963879</c:v>
                </c:pt>
                <c:pt idx="45">
                  <c:v>0.15603500394963879</c:v>
                </c:pt>
                <c:pt idx="46">
                  <c:v>0.1673103527784183</c:v>
                </c:pt>
                <c:pt idx="47">
                  <c:v>0.1673103527784183</c:v>
                </c:pt>
                <c:pt idx="48">
                  <c:v>0.1673103527784183</c:v>
                </c:pt>
                <c:pt idx="49">
                  <c:v>0.1673103527784183</c:v>
                </c:pt>
                <c:pt idx="50">
                  <c:v>0.17496495406425419</c:v>
                </c:pt>
                <c:pt idx="51">
                  <c:v>0.17496495406425419</c:v>
                </c:pt>
                <c:pt idx="52">
                  <c:v>0.17496495406425419</c:v>
                </c:pt>
                <c:pt idx="53">
                  <c:v>0.17496495406425419</c:v>
                </c:pt>
                <c:pt idx="54">
                  <c:v>0.1338718964364701</c:v>
                </c:pt>
                <c:pt idx="55">
                  <c:v>0.1338718964364701</c:v>
                </c:pt>
                <c:pt idx="56">
                  <c:v>0.1344566572698688</c:v>
                </c:pt>
                <c:pt idx="57">
                  <c:v>0.1344566572698688</c:v>
                </c:pt>
                <c:pt idx="58">
                  <c:v>0.1344566572698688</c:v>
                </c:pt>
                <c:pt idx="59">
                  <c:v>0.1344566572698688</c:v>
                </c:pt>
                <c:pt idx="60">
                  <c:v>0.14066013500993929</c:v>
                </c:pt>
                <c:pt idx="61">
                  <c:v>0.14066013500993929</c:v>
                </c:pt>
                <c:pt idx="62">
                  <c:v>0.14066013500993929</c:v>
                </c:pt>
                <c:pt idx="63">
                  <c:v>0.14066013500993929</c:v>
                </c:pt>
                <c:pt idx="64">
                  <c:v>0.13813216110499679</c:v>
                </c:pt>
                <c:pt idx="65">
                  <c:v>0.13813216110499679</c:v>
                </c:pt>
                <c:pt idx="66">
                  <c:v>0.13813216110499679</c:v>
                </c:pt>
                <c:pt idx="67">
                  <c:v>0.13813216110499679</c:v>
                </c:pt>
                <c:pt idx="68">
                  <c:v>0.13227337787003421</c:v>
                </c:pt>
                <c:pt idx="69">
                  <c:v>0.13227337787003421</c:v>
                </c:pt>
                <c:pt idx="70">
                  <c:v>0.13227337787003421</c:v>
                </c:pt>
                <c:pt idx="71">
                  <c:v>0.13227337787003421</c:v>
                </c:pt>
                <c:pt idx="72">
                  <c:v>0.13260173436388301</c:v>
                </c:pt>
                <c:pt idx="73">
                  <c:v>0.13260173436388301</c:v>
                </c:pt>
                <c:pt idx="74">
                  <c:v>0.13260173436388301</c:v>
                </c:pt>
                <c:pt idx="75">
                  <c:v>0.13260173436388301</c:v>
                </c:pt>
                <c:pt idx="76">
                  <c:v>0.1392873283304116</c:v>
                </c:pt>
                <c:pt idx="77">
                  <c:v>0.1392873283304116</c:v>
                </c:pt>
                <c:pt idx="78">
                  <c:v>0.1392873283304116</c:v>
                </c:pt>
                <c:pt idx="79">
                  <c:v>0.1392873283304116</c:v>
                </c:pt>
                <c:pt idx="80">
                  <c:v>0.13952240899050841</c:v>
                </c:pt>
                <c:pt idx="81">
                  <c:v>0.13952240899050841</c:v>
                </c:pt>
                <c:pt idx="82">
                  <c:v>0.13952240899050841</c:v>
                </c:pt>
                <c:pt idx="83">
                  <c:v>0.13952240899050841</c:v>
                </c:pt>
                <c:pt idx="84">
                  <c:v>0.14138633599396769</c:v>
                </c:pt>
                <c:pt idx="85">
                  <c:v>0.14138633599396769</c:v>
                </c:pt>
                <c:pt idx="86">
                  <c:v>0.14138633599396769</c:v>
                </c:pt>
                <c:pt idx="87">
                  <c:v>0.14138633599396769</c:v>
                </c:pt>
                <c:pt idx="88">
                  <c:v>0.14451633046915729</c:v>
                </c:pt>
                <c:pt idx="89">
                  <c:v>0.14451633046915729</c:v>
                </c:pt>
                <c:pt idx="90">
                  <c:v>0.14451633046915729</c:v>
                </c:pt>
                <c:pt idx="91">
                  <c:v>0.14451633046915729</c:v>
                </c:pt>
                <c:pt idx="92">
                  <c:v>0.14637497707145941</c:v>
                </c:pt>
                <c:pt idx="93">
                  <c:v>0.14637497707145941</c:v>
                </c:pt>
                <c:pt idx="94">
                  <c:v>0.14637497707145941</c:v>
                </c:pt>
                <c:pt idx="95">
                  <c:v>0.14637497707145941</c:v>
                </c:pt>
                <c:pt idx="96">
                  <c:v>0.14806210436677841</c:v>
                </c:pt>
                <c:pt idx="97">
                  <c:v>0.14806210436677841</c:v>
                </c:pt>
                <c:pt idx="98">
                  <c:v>0.14806210436677841</c:v>
                </c:pt>
                <c:pt idx="99">
                  <c:v>0.14806210436677841</c:v>
                </c:pt>
                <c:pt idx="100">
                  <c:v>0.14690436069296811</c:v>
                </c:pt>
                <c:pt idx="101">
                  <c:v>0.14690436069296811</c:v>
                </c:pt>
                <c:pt idx="102">
                  <c:v>0.14690436069296811</c:v>
                </c:pt>
                <c:pt idx="103">
                  <c:v>0.14690436069296811</c:v>
                </c:pt>
                <c:pt idx="104">
                  <c:v>0.16444982264139649</c:v>
                </c:pt>
                <c:pt idx="105">
                  <c:v>0.16444982264139649</c:v>
                </c:pt>
                <c:pt idx="106">
                  <c:v>0.16444982264139649</c:v>
                </c:pt>
                <c:pt idx="107">
                  <c:v>0.16444982264139649</c:v>
                </c:pt>
                <c:pt idx="108">
                  <c:v>8.5987208995551345E-2</c:v>
                </c:pt>
                <c:pt idx="109">
                  <c:v>8.5987208995551345E-2</c:v>
                </c:pt>
                <c:pt idx="110">
                  <c:v>7.9699344978556588E-2</c:v>
                </c:pt>
                <c:pt idx="111">
                  <c:v>7.9699344978556588E-2</c:v>
                </c:pt>
                <c:pt idx="112">
                  <c:v>7.9699344978556588E-2</c:v>
                </c:pt>
                <c:pt idx="113">
                  <c:v>7.9699344978556588E-2</c:v>
                </c:pt>
                <c:pt idx="114">
                  <c:v>7.9472535305386019E-2</c:v>
                </c:pt>
                <c:pt idx="115">
                  <c:v>7.9472535305386019E-2</c:v>
                </c:pt>
                <c:pt idx="116">
                  <c:v>7.9472535305386019E-2</c:v>
                </c:pt>
                <c:pt idx="117">
                  <c:v>7.9472535305386019E-2</c:v>
                </c:pt>
                <c:pt idx="118">
                  <c:v>8.0341460522861424E-2</c:v>
                </c:pt>
                <c:pt idx="119">
                  <c:v>8.0341460522861424E-2</c:v>
                </c:pt>
                <c:pt idx="120">
                  <c:v>8.0341460522861424E-2</c:v>
                </c:pt>
                <c:pt idx="121">
                  <c:v>8.0341460522861424E-2</c:v>
                </c:pt>
                <c:pt idx="122">
                  <c:v>8.4820190971738083E-2</c:v>
                </c:pt>
                <c:pt idx="123">
                  <c:v>8.4820190971738083E-2</c:v>
                </c:pt>
                <c:pt idx="124">
                  <c:v>8.4820190971738083E-2</c:v>
                </c:pt>
                <c:pt idx="125">
                  <c:v>8.4820190971738083E-2</c:v>
                </c:pt>
                <c:pt idx="126">
                  <c:v>8.3646788238765979E-2</c:v>
                </c:pt>
                <c:pt idx="127">
                  <c:v>8.3646788238765979E-2</c:v>
                </c:pt>
                <c:pt idx="128">
                  <c:v>8.3646788238765979E-2</c:v>
                </c:pt>
                <c:pt idx="129">
                  <c:v>8.3646788238765979E-2</c:v>
                </c:pt>
                <c:pt idx="130">
                  <c:v>8.1342778719866005E-2</c:v>
                </c:pt>
                <c:pt idx="131">
                  <c:v>8.1342778719866005E-2</c:v>
                </c:pt>
                <c:pt idx="132">
                  <c:v>8.1342778719866005E-2</c:v>
                </c:pt>
                <c:pt idx="133">
                  <c:v>8.1342778719866005E-2</c:v>
                </c:pt>
                <c:pt idx="134">
                  <c:v>8.1720008952551479E-2</c:v>
                </c:pt>
                <c:pt idx="135">
                  <c:v>8.1720008952551479E-2</c:v>
                </c:pt>
                <c:pt idx="136">
                  <c:v>8.1720008952551479E-2</c:v>
                </c:pt>
                <c:pt idx="137">
                  <c:v>8.1720008952551479E-2</c:v>
                </c:pt>
                <c:pt idx="138">
                  <c:v>8.2855752884193876E-2</c:v>
                </c:pt>
                <c:pt idx="139">
                  <c:v>8.2855752884193876E-2</c:v>
                </c:pt>
                <c:pt idx="140">
                  <c:v>8.2855752884193876E-2</c:v>
                </c:pt>
                <c:pt idx="141">
                  <c:v>8.2855752884193876E-2</c:v>
                </c:pt>
                <c:pt idx="142">
                  <c:v>8.1815293370048725E-2</c:v>
                </c:pt>
                <c:pt idx="143">
                  <c:v>8.1815293370048725E-2</c:v>
                </c:pt>
                <c:pt idx="144">
                  <c:v>8.1815293370048725E-2</c:v>
                </c:pt>
                <c:pt idx="145">
                  <c:v>8.1815293370048725E-2</c:v>
                </c:pt>
                <c:pt idx="146">
                  <c:v>8.3727042533414536E-2</c:v>
                </c:pt>
                <c:pt idx="147">
                  <c:v>8.3727042533414536E-2</c:v>
                </c:pt>
                <c:pt idx="148">
                  <c:v>8.3727042533414536E-2</c:v>
                </c:pt>
                <c:pt idx="149">
                  <c:v>8.3727042533414536E-2</c:v>
                </c:pt>
                <c:pt idx="150">
                  <c:v>8.4524514070205975E-2</c:v>
                </c:pt>
                <c:pt idx="151">
                  <c:v>8.4524514070205975E-2</c:v>
                </c:pt>
                <c:pt idx="152">
                  <c:v>8.4524514070205975E-2</c:v>
                </c:pt>
                <c:pt idx="153">
                  <c:v>8.4524514070205975E-2</c:v>
                </c:pt>
                <c:pt idx="154">
                  <c:v>8.1127962753161406E-2</c:v>
                </c:pt>
                <c:pt idx="155">
                  <c:v>8.1127962753161406E-2</c:v>
                </c:pt>
                <c:pt idx="156">
                  <c:v>8.1127962753161406E-2</c:v>
                </c:pt>
                <c:pt idx="157">
                  <c:v>8.1127962753161406E-2</c:v>
                </c:pt>
                <c:pt idx="158">
                  <c:v>8.6916760469719023E-2</c:v>
                </c:pt>
                <c:pt idx="159">
                  <c:v>8.6916760469719023E-2</c:v>
                </c:pt>
                <c:pt idx="160">
                  <c:v>8.6916760469719023E-2</c:v>
                </c:pt>
                <c:pt idx="161">
                  <c:v>8.6916760469719023E-2</c:v>
                </c:pt>
                <c:pt idx="162">
                  <c:v>0.1212304176787779</c:v>
                </c:pt>
                <c:pt idx="163">
                  <c:v>0.1212304176787779</c:v>
                </c:pt>
                <c:pt idx="164">
                  <c:v>0.13847860293548639</c:v>
                </c:pt>
                <c:pt idx="165">
                  <c:v>0.13847860293548639</c:v>
                </c:pt>
                <c:pt idx="166">
                  <c:v>0.13847860293548639</c:v>
                </c:pt>
                <c:pt idx="167">
                  <c:v>0.13847860293548639</c:v>
                </c:pt>
                <c:pt idx="168">
                  <c:v>0.13966913760817301</c:v>
                </c:pt>
                <c:pt idx="169">
                  <c:v>0.13966913760817301</c:v>
                </c:pt>
                <c:pt idx="170">
                  <c:v>0.13966913760817301</c:v>
                </c:pt>
                <c:pt idx="171">
                  <c:v>0.13966913760817301</c:v>
                </c:pt>
                <c:pt idx="172">
                  <c:v>0.1453806813935363</c:v>
                </c:pt>
                <c:pt idx="173">
                  <c:v>0.1453806813935363</c:v>
                </c:pt>
                <c:pt idx="174">
                  <c:v>0.1453806813935363</c:v>
                </c:pt>
                <c:pt idx="175">
                  <c:v>0.1453806813935363</c:v>
                </c:pt>
                <c:pt idx="176">
                  <c:v>0.15730156336399739</c:v>
                </c:pt>
                <c:pt idx="177">
                  <c:v>0.15730156336399739</c:v>
                </c:pt>
                <c:pt idx="178">
                  <c:v>0.15730156336399739</c:v>
                </c:pt>
                <c:pt idx="179">
                  <c:v>0.15730156336399739</c:v>
                </c:pt>
                <c:pt idx="180">
                  <c:v>0.15809620778610481</c:v>
                </c:pt>
                <c:pt idx="181">
                  <c:v>0.15809620778610481</c:v>
                </c:pt>
                <c:pt idx="182">
                  <c:v>0.15809620778610481</c:v>
                </c:pt>
                <c:pt idx="183">
                  <c:v>0.15809620778610481</c:v>
                </c:pt>
                <c:pt idx="184">
                  <c:v>0.1502122446396362</c:v>
                </c:pt>
                <c:pt idx="185">
                  <c:v>0.1502122446396362</c:v>
                </c:pt>
                <c:pt idx="186">
                  <c:v>0.1502122446396362</c:v>
                </c:pt>
                <c:pt idx="187">
                  <c:v>0.1502122446396362</c:v>
                </c:pt>
                <c:pt idx="188">
                  <c:v>0.1479568305506872</c:v>
                </c:pt>
                <c:pt idx="189">
                  <c:v>0.1479568305506872</c:v>
                </c:pt>
                <c:pt idx="190">
                  <c:v>0.1479568305506872</c:v>
                </c:pt>
                <c:pt idx="191">
                  <c:v>0.1479568305506872</c:v>
                </c:pt>
                <c:pt idx="192">
                  <c:v>0.14029367629612749</c:v>
                </c:pt>
                <c:pt idx="193">
                  <c:v>0.14029367629612749</c:v>
                </c:pt>
                <c:pt idx="194">
                  <c:v>0.14029367629612749</c:v>
                </c:pt>
                <c:pt idx="195">
                  <c:v>0.14029367629612749</c:v>
                </c:pt>
                <c:pt idx="196">
                  <c:v>0.14433972800453609</c:v>
                </c:pt>
                <c:pt idx="197">
                  <c:v>0.14433972800453609</c:v>
                </c:pt>
                <c:pt idx="198">
                  <c:v>0.14433972800453609</c:v>
                </c:pt>
                <c:pt idx="199">
                  <c:v>0.14433972800453609</c:v>
                </c:pt>
                <c:pt idx="200">
                  <c:v>0.15242426670940859</c:v>
                </c:pt>
                <c:pt idx="201">
                  <c:v>0.15242426670940859</c:v>
                </c:pt>
                <c:pt idx="202">
                  <c:v>0.15242426670940859</c:v>
                </c:pt>
                <c:pt idx="203">
                  <c:v>0.15242426670940859</c:v>
                </c:pt>
                <c:pt idx="204">
                  <c:v>0.14409521444535101</c:v>
                </c:pt>
                <c:pt idx="205">
                  <c:v>0.14409521444535101</c:v>
                </c:pt>
                <c:pt idx="206">
                  <c:v>0.14409521444535101</c:v>
                </c:pt>
                <c:pt idx="207">
                  <c:v>0.14409521444535101</c:v>
                </c:pt>
                <c:pt idx="208">
                  <c:v>0.14973134678937389</c:v>
                </c:pt>
                <c:pt idx="209">
                  <c:v>0.14973134678937389</c:v>
                </c:pt>
                <c:pt idx="210">
                  <c:v>0.14973134678937389</c:v>
                </c:pt>
                <c:pt idx="211">
                  <c:v>0.14973134678937389</c:v>
                </c:pt>
                <c:pt idx="212">
                  <c:v>0.1495725835123897</c:v>
                </c:pt>
                <c:pt idx="213">
                  <c:v>0.1495725835123897</c:v>
                </c:pt>
                <c:pt idx="214">
                  <c:v>0.1495725835123897</c:v>
                </c:pt>
                <c:pt idx="215">
                  <c:v>0.1495725835123897</c:v>
                </c:pt>
                <c:pt idx="216">
                  <c:v>9.7791519434628979E-2</c:v>
                </c:pt>
                <c:pt idx="217">
                  <c:v>9.7791519434628979E-2</c:v>
                </c:pt>
                <c:pt idx="218">
                  <c:v>9.6600881887067086E-2</c:v>
                </c:pt>
                <c:pt idx="219">
                  <c:v>9.6600881887067086E-2</c:v>
                </c:pt>
                <c:pt idx="220">
                  <c:v>9.6600881887067086E-2</c:v>
                </c:pt>
                <c:pt idx="221">
                  <c:v>9.6600881887067086E-2</c:v>
                </c:pt>
                <c:pt idx="222">
                  <c:v>0.10214769826599771</c:v>
                </c:pt>
                <c:pt idx="223">
                  <c:v>0.10214769826599771</c:v>
                </c:pt>
                <c:pt idx="224">
                  <c:v>0.10214769826599771</c:v>
                </c:pt>
                <c:pt idx="225">
                  <c:v>0.10214769826599771</c:v>
                </c:pt>
                <c:pt idx="226">
                  <c:v>0.11499832233530929</c:v>
                </c:pt>
                <c:pt idx="227">
                  <c:v>0.11499832233530929</c:v>
                </c:pt>
                <c:pt idx="228">
                  <c:v>0.11499832233530929</c:v>
                </c:pt>
                <c:pt idx="229">
                  <c:v>0.11499832233530929</c:v>
                </c:pt>
                <c:pt idx="230">
                  <c:v>0.1143193478888568</c:v>
                </c:pt>
                <c:pt idx="231">
                  <c:v>0.1143193478888568</c:v>
                </c:pt>
                <c:pt idx="232">
                  <c:v>0.1143193478888568</c:v>
                </c:pt>
                <c:pt idx="233">
                  <c:v>0.1143193478888568</c:v>
                </c:pt>
                <c:pt idx="234">
                  <c:v>0.1042068854568855</c:v>
                </c:pt>
                <c:pt idx="235">
                  <c:v>0.1042068854568855</c:v>
                </c:pt>
                <c:pt idx="236">
                  <c:v>0.1042068854568855</c:v>
                </c:pt>
                <c:pt idx="237">
                  <c:v>0.1042068854568855</c:v>
                </c:pt>
                <c:pt idx="238">
                  <c:v>0.1061975164847551</c:v>
                </c:pt>
                <c:pt idx="239">
                  <c:v>0.1061975164847551</c:v>
                </c:pt>
                <c:pt idx="240">
                  <c:v>0.1061975164847551</c:v>
                </c:pt>
                <c:pt idx="241">
                  <c:v>0.1061975164847551</c:v>
                </c:pt>
                <c:pt idx="242">
                  <c:v>0.1099188189293918</c:v>
                </c:pt>
                <c:pt idx="243">
                  <c:v>0.1099188189293918</c:v>
                </c:pt>
                <c:pt idx="244">
                  <c:v>0.1099188189293918</c:v>
                </c:pt>
                <c:pt idx="245">
                  <c:v>0.1099188189293918</c:v>
                </c:pt>
                <c:pt idx="246">
                  <c:v>0.105634528224145</c:v>
                </c:pt>
                <c:pt idx="247">
                  <c:v>0.105634528224145</c:v>
                </c:pt>
                <c:pt idx="248">
                  <c:v>0.105634528224145</c:v>
                </c:pt>
                <c:pt idx="249">
                  <c:v>0.105634528224145</c:v>
                </c:pt>
                <c:pt idx="250">
                  <c:v>0.1073708050236772</c:v>
                </c:pt>
                <c:pt idx="251">
                  <c:v>0.1073708050236772</c:v>
                </c:pt>
                <c:pt idx="252">
                  <c:v>0.1073708050236772</c:v>
                </c:pt>
                <c:pt idx="253">
                  <c:v>0.1073708050236772</c:v>
                </c:pt>
                <c:pt idx="254">
                  <c:v>0.1058271604938272</c:v>
                </c:pt>
                <c:pt idx="255">
                  <c:v>0.1058271604938272</c:v>
                </c:pt>
                <c:pt idx="256">
                  <c:v>0.1058271604938272</c:v>
                </c:pt>
                <c:pt idx="257">
                  <c:v>0.1058271604938272</c:v>
                </c:pt>
                <c:pt idx="258">
                  <c:v>9.9421084704448506E-2</c:v>
                </c:pt>
                <c:pt idx="259">
                  <c:v>9.9421084704448506E-2</c:v>
                </c:pt>
                <c:pt idx="260">
                  <c:v>9.9421084704448506E-2</c:v>
                </c:pt>
                <c:pt idx="261">
                  <c:v>9.9421084704448506E-2</c:v>
                </c:pt>
                <c:pt idx="262">
                  <c:v>0.1132453544983484</c:v>
                </c:pt>
                <c:pt idx="263">
                  <c:v>0.1132453544983484</c:v>
                </c:pt>
                <c:pt idx="264">
                  <c:v>0.1132453544983484</c:v>
                </c:pt>
                <c:pt idx="265">
                  <c:v>0.1132453544983484</c:v>
                </c:pt>
                <c:pt idx="266">
                  <c:v>0.14071954748750329</c:v>
                </c:pt>
                <c:pt idx="267">
                  <c:v>0.14071954748750329</c:v>
                </c:pt>
                <c:pt idx="268">
                  <c:v>0.14071954748750329</c:v>
                </c:pt>
                <c:pt idx="269">
                  <c:v>0.14071954748750329</c:v>
                </c:pt>
                <c:pt idx="270">
                  <c:v>0.14533763099499511</c:v>
                </c:pt>
                <c:pt idx="271">
                  <c:v>0.14533763099499511</c:v>
                </c:pt>
                <c:pt idx="272">
                  <c:v>0.14533763099499511</c:v>
                </c:pt>
                <c:pt idx="273">
                  <c:v>0.14533763099499511</c:v>
                </c:pt>
                <c:pt idx="274">
                  <c:v>0.1193789261003138</c:v>
                </c:pt>
                <c:pt idx="275">
                  <c:v>0.1193789261003138</c:v>
                </c:pt>
                <c:pt idx="276">
                  <c:v>0.12509834427816521</c:v>
                </c:pt>
                <c:pt idx="277">
                  <c:v>0.12509834427816521</c:v>
                </c:pt>
                <c:pt idx="278">
                  <c:v>0.12509834427816521</c:v>
                </c:pt>
                <c:pt idx="279">
                  <c:v>0.12509834427816521</c:v>
                </c:pt>
                <c:pt idx="280">
                  <c:v>0.1267423905118876</c:v>
                </c:pt>
                <c:pt idx="281">
                  <c:v>0.1267423905118876</c:v>
                </c:pt>
                <c:pt idx="282">
                  <c:v>0.1267423905118876</c:v>
                </c:pt>
                <c:pt idx="283">
                  <c:v>0.1267423905118876</c:v>
                </c:pt>
                <c:pt idx="284">
                  <c:v>0.1315312756639137</c:v>
                </c:pt>
                <c:pt idx="285">
                  <c:v>0.1315312756639137</c:v>
                </c:pt>
                <c:pt idx="286">
                  <c:v>0.1315312756639137</c:v>
                </c:pt>
                <c:pt idx="287">
                  <c:v>0.1315312756639137</c:v>
                </c:pt>
                <c:pt idx="288">
                  <c:v>0.13764973587361881</c:v>
                </c:pt>
                <c:pt idx="289">
                  <c:v>0.13764973587361881</c:v>
                </c:pt>
                <c:pt idx="290">
                  <c:v>0.13764973587361881</c:v>
                </c:pt>
                <c:pt idx="291">
                  <c:v>0.13764973587361881</c:v>
                </c:pt>
                <c:pt idx="292">
                  <c:v>0.14114053079650751</c:v>
                </c:pt>
                <c:pt idx="293">
                  <c:v>0.14114053079650751</c:v>
                </c:pt>
                <c:pt idx="294">
                  <c:v>0.14114053079650751</c:v>
                </c:pt>
                <c:pt idx="295">
                  <c:v>0.14114053079650751</c:v>
                </c:pt>
                <c:pt idx="296">
                  <c:v>0.1467074254631251</c:v>
                </c:pt>
                <c:pt idx="297">
                  <c:v>0.1467074254631251</c:v>
                </c:pt>
                <c:pt idx="298">
                  <c:v>0.1467074254631251</c:v>
                </c:pt>
                <c:pt idx="299">
                  <c:v>0.1467074254631251</c:v>
                </c:pt>
                <c:pt idx="300">
                  <c:v>0.15168226831207221</c:v>
                </c:pt>
                <c:pt idx="301">
                  <c:v>0.15168226831207221</c:v>
                </c:pt>
                <c:pt idx="302">
                  <c:v>0.15168226831207221</c:v>
                </c:pt>
                <c:pt idx="303">
                  <c:v>0.15168226831207221</c:v>
                </c:pt>
                <c:pt idx="304">
                  <c:v>0.15379843721398409</c:v>
                </c:pt>
                <c:pt idx="305">
                  <c:v>0.15379843721398409</c:v>
                </c:pt>
                <c:pt idx="306">
                  <c:v>0.15379843721398409</c:v>
                </c:pt>
                <c:pt idx="307">
                  <c:v>0.15379843721398409</c:v>
                </c:pt>
                <c:pt idx="308">
                  <c:v>0.16587155074328949</c:v>
                </c:pt>
                <c:pt idx="309">
                  <c:v>0.16587155074328949</c:v>
                </c:pt>
                <c:pt idx="310">
                  <c:v>0.16587155074328949</c:v>
                </c:pt>
                <c:pt idx="311">
                  <c:v>0.16587155074328949</c:v>
                </c:pt>
                <c:pt idx="312">
                  <c:v>0.16207230967799771</c:v>
                </c:pt>
                <c:pt idx="313">
                  <c:v>0.16207230967799771</c:v>
                </c:pt>
                <c:pt idx="314">
                  <c:v>0.16207230967799771</c:v>
                </c:pt>
                <c:pt idx="315">
                  <c:v>0.16207230967799771</c:v>
                </c:pt>
                <c:pt idx="316">
                  <c:v>0.1686231784194008</c:v>
                </c:pt>
                <c:pt idx="317">
                  <c:v>0.1686231784194008</c:v>
                </c:pt>
                <c:pt idx="318">
                  <c:v>0.1686231784194008</c:v>
                </c:pt>
                <c:pt idx="319">
                  <c:v>0.1686231784194008</c:v>
                </c:pt>
                <c:pt idx="320">
                  <c:v>0.17349510563338269</c:v>
                </c:pt>
                <c:pt idx="321">
                  <c:v>0.17349510563338269</c:v>
                </c:pt>
                <c:pt idx="322">
                  <c:v>0.17349510563338269</c:v>
                </c:pt>
                <c:pt idx="323">
                  <c:v>0.17349510563338269</c:v>
                </c:pt>
                <c:pt idx="324">
                  <c:v>0.18372354991229151</c:v>
                </c:pt>
                <c:pt idx="325">
                  <c:v>0.18372354991229151</c:v>
                </c:pt>
                <c:pt idx="326">
                  <c:v>0.18372354991229151</c:v>
                </c:pt>
                <c:pt idx="327">
                  <c:v>0.18372354991229151</c:v>
                </c:pt>
                <c:pt idx="328">
                  <c:v>0.21290558800453321</c:v>
                </c:pt>
                <c:pt idx="329">
                  <c:v>0.21290558800453321</c:v>
                </c:pt>
                <c:pt idx="330">
                  <c:v>0.23477584339955121</c:v>
                </c:pt>
                <c:pt idx="331">
                  <c:v>0.23477584339955121</c:v>
                </c:pt>
                <c:pt idx="332">
                  <c:v>0.23477584339955121</c:v>
                </c:pt>
                <c:pt idx="333">
                  <c:v>0.23477584339955121</c:v>
                </c:pt>
                <c:pt idx="334">
                  <c:v>0.20688592659957639</c:v>
                </c:pt>
                <c:pt idx="335">
                  <c:v>0.20688592659957639</c:v>
                </c:pt>
                <c:pt idx="336">
                  <c:v>0.20688592659957639</c:v>
                </c:pt>
                <c:pt idx="337">
                  <c:v>0.20688592659957639</c:v>
                </c:pt>
                <c:pt idx="338">
                  <c:v>0.20919179823965831</c:v>
                </c:pt>
                <c:pt idx="339">
                  <c:v>0.20919179823965831</c:v>
                </c:pt>
                <c:pt idx="340">
                  <c:v>0.20919179823965831</c:v>
                </c:pt>
                <c:pt idx="341">
                  <c:v>0.20919179823965831</c:v>
                </c:pt>
                <c:pt idx="342">
                  <c:v>0.19049801405438441</c:v>
                </c:pt>
                <c:pt idx="343">
                  <c:v>0.19049801405438441</c:v>
                </c:pt>
                <c:pt idx="344">
                  <c:v>0.19049801405438441</c:v>
                </c:pt>
                <c:pt idx="345">
                  <c:v>0.19049801405438441</c:v>
                </c:pt>
                <c:pt idx="346">
                  <c:v>0.1566974843662681</c:v>
                </c:pt>
                <c:pt idx="347">
                  <c:v>0.1566974843662681</c:v>
                </c:pt>
                <c:pt idx="348">
                  <c:v>0.1566974843662681</c:v>
                </c:pt>
                <c:pt idx="349">
                  <c:v>0.1566974843662681</c:v>
                </c:pt>
                <c:pt idx="350">
                  <c:v>0.40580189169109832</c:v>
                </c:pt>
                <c:pt idx="351">
                  <c:v>0.40580189169109832</c:v>
                </c:pt>
                <c:pt idx="352">
                  <c:v>0.40580189169109832</c:v>
                </c:pt>
                <c:pt idx="353">
                  <c:v>0.40580189169109832</c:v>
                </c:pt>
                <c:pt idx="354">
                  <c:v>0.19086473467152659</c:v>
                </c:pt>
                <c:pt idx="355">
                  <c:v>0.19086473467152659</c:v>
                </c:pt>
                <c:pt idx="356">
                  <c:v>0.19086473467152659</c:v>
                </c:pt>
                <c:pt idx="357">
                  <c:v>0.19086473467152659</c:v>
                </c:pt>
                <c:pt idx="358">
                  <c:v>0.26662936464636439</c:v>
                </c:pt>
                <c:pt idx="359">
                  <c:v>0.26662936464636439</c:v>
                </c:pt>
                <c:pt idx="360">
                  <c:v>0.26662936464636439</c:v>
                </c:pt>
                <c:pt idx="361">
                  <c:v>0.26662936464636439</c:v>
                </c:pt>
                <c:pt idx="362">
                  <c:v>0.3780372329247822</c:v>
                </c:pt>
                <c:pt idx="363">
                  <c:v>0.3780372329247822</c:v>
                </c:pt>
                <c:pt idx="364">
                  <c:v>0.3780372329247822</c:v>
                </c:pt>
                <c:pt idx="365">
                  <c:v>0.3780372329247822</c:v>
                </c:pt>
                <c:pt idx="366">
                  <c:v>0.19515385353486889</c:v>
                </c:pt>
                <c:pt idx="367">
                  <c:v>0.19515385353486889</c:v>
                </c:pt>
                <c:pt idx="368">
                  <c:v>0.19515385353486889</c:v>
                </c:pt>
                <c:pt idx="369">
                  <c:v>0.19515385353486889</c:v>
                </c:pt>
                <c:pt idx="370">
                  <c:v>0.25178245429196833</c:v>
                </c:pt>
                <c:pt idx="371">
                  <c:v>0.25178245429196833</c:v>
                </c:pt>
                <c:pt idx="372">
                  <c:v>0.25178245429196833</c:v>
                </c:pt>
                <c:pt idx="373">
                  <c:v>0.25178245429196833</c:v>
                </c:pt>
                <c:pt idx="374">
                  <c:v>0.19374804262614681</c:v>
                </c:pt>
                <c:pt idx="375">
                  <c:v>0.19374804262614681</c:v>
                </c:pt>
                <c:pt idx="376">
                  <c:v>0.19374804262614681</c:v>
                </c:pt>
                <c:pt idx="377">
                  <c:v>0.19374804262614681</c:v>
                </c:pt>
                <c:pt idx="378">
                  <c:v>9.6012028645875991E-2</c:v>
                </c:pt>
                <c:pt idx="379">
                  <c:v>9.6012028645875991E-2</c:v>
                </c:pt>
                <c:pt idx="380">
                  <c:v>9.6012028645875991E-2</c:v>
                </c:pt>
                <c:pt idx="381">
                  <c:v>9.6012028645875991E-2</c:v>
                </c:pt>
                <c:pt idx="382">
                  <c:v>0.112869766400161</c:v>
                </c:pt>
                <c:pt idx="383">
                  <c:v>0.112869766400161</c:v>
                </c:pt>
                <c:pt idx="384">
                  <c:v>0.12475169707490461</c:v>
                </c:pt>
                <c:pt idx="385">
                  <c:v>0.12475169707490461</c:v>
                </c:pt>
                <c:pt idx="386">
                  <c:v>0.12475169707490461</c:v>
                </c:pt>
                <c:pt idx="387">
                  <c:v>0.12475169707490461</c:v>
                </c:pt>
                <c:pt idx="388">
                  <c:v>0.13192991082085431</c:v>
                </c:pt>
                <c:pt idx="389">
                  <c:v>0.13192991082085431</c:v>
                </c:pt>
                <c:pt idx="390">
                  <c:v>0.13192991082085431</c:v>
                </c:pt>
                <c:pt idx="391">
                  <c:v>0.13192991082085431</c:v>
                </c:pt>
                <c:pt idx="392">
                  <c:v>0.14276659834860511</c:v>
                </c:pt>
                <c:pt idx="393">
                  <c:v>0.14276659834860511</c:v>
                </c:pt>
                <c:pt idx="394">
                  <c:v>0.14276659834860511</c:v>
                </c:pt>
                <c:pt idx="395">
                  <c:v>0.14276659834860511</c:v>
                </c:pt>
                <c:pt idx="396">
                  <c:v>0.14846969286853959</c:v>
                </c:pt>
                <c:pt idx="397">
                  <c:v>0.14846969286853959</c:v>
                </c:pt>
                <c:pt idx="398">
                  <c:v>0.14846969286853959</c:v>
                </c:pt>
                <c:pt idx="399">
                  <c:v>0.14846969286853959</c:v>
                </c:pt>
                <c:pt idx="400">
                  <c:v>0.150135604120086</c:v>
                </c:pt>
                <c:pt idx="401">
                  <c:v>0.150135604120086</c:v>
                </c:pt>
                <c:pt idx="402">
                  <c:v>0.150135604120086</c:v>
                </c:pt>
                <c:pt idx="403">
                  <c:v>0.150135604120086</c:v>
                </c:pt>
                <c:pt idx="404">
                  <c:v>0.14949041730184481</c:v>
                </c:pt>
                <c:pt idx="405">
                  <c:v>0.14949041730184481</c:v>
                </c:pt>
                <c:pt idx="406">
                  <c:v>0.14949041730184481</c:v>
                </c:pt>
                <c:pt idx="407">
                  <c:v>0.14949041730184481</c:v>
                </c:pt>
                <c:pt idx="408">
                  <c:v>0.1458968049432269</c:v>
                </c:pt>
                <c:pt idx="409">
                  <c:v>0.1458968049432269</c:v>
                </c:pt>
                <c:pt idx="410">
                  <c:v>0.1458968049432269</c:v>
                </c:pt>
                <c:pt idx="411">
                  <c:v>0.1458968049432269</c:v>
                </c:pt>
                <c:pt idx="412">
                  <c:v>0.14739048347028469</c:v>
                </c:pt>
                <c:pt idx="413">
                  <c:v>0.14739048347028469</c:v>
                </c:pt>
                <c:pt idx="414">
                  <c:v>0.14739048347028469</c:v>
                </c:pt>
                <c:pt idx="415">
                  <c:v>0.14739048347028469</c:v>
                </c:pt>
                <c:pt idx="416">
                  <c:v>0.15574566778244739</c:v>
                </c:pt>
                <c:pt idx="417">
                  <c:v>0.15574566778244739</c:v>
                </c:pt>
                <c:pt idx="418">
                  <c:v>0.15574566778244739</c:v>
                </c:pt>
                <c:pt idx="419">
                  <c:v>0.15574566778244739</c:v>
                </c:pt>
                <c:pt idx="420">
                  <c:v>0.12785786405169189</c:v>
                </c:pt>
                <c:pt idx="421">
                  <c:v>0.12785786405169189</c:v>
                </c:pt>
                <c:pt idx="422">
                  <c:v>0.12785786405169189</c:v>
                </c:pt>
                <c:pt idx="423">
                  <c:v>0.12785786405169189</c:v>
                </c:pt>
                <c:pt idx="424">
                  <c:v>0.12232868683850651</c:v>
                </c:pt>
                <c:pt idx="425">
                  <c:v>0.12232868683850651</c:v>
                </c:pt>
                <c:pt idx="426">
                  <c:v>0.12232868683850651</c:v>
                </c:pt>
                <c:pt idx="427">
                  <c:v>0.12232868683850651</c:v>
                </c:pt>
                <c:pt idx="428">
                  <c:v>0.1070949889392518</c:v>
                </c:pt>
                <c:pt idx="429">
                  <c:v>0.1070949889392518</c:v>
                </c:pt>
                <c:pt idx="430">
                  <c:v>0.1070949889392518</c:v>
                </c:pt>
                <c:pt idx="431">
                  <c:v>0.1070949889392518</c:v>
                </c:pt>
                <c:pt idx="432">
                  <c:v>0.1181932096010781</c:v>
                </c:pt>
                <c:pt idx="433">
                  <c:v>0.1181932096010781</c:v>
                </c:pt>
                <c:pt idx="434">
                  <c:v>0.1181932096010781</c:v>
                </c:pt>
                <c:pt idx="435">
                  <c:v>0.1181932096010781</c:v>
                </c:pt>
                <c:pt idx="436">
                  <c:v>0.118071592713761</c:v>
                </c:pt>
                <c:pt idx="437">
                  <c:v>0.118071592713761</c:v>
                </c:pt>
                <c:pt idx="438">
                  <c:v>0.118071592713761</c:v>
                </c:pt>
                <c:pt idx="439">
                  <c:v>0.118071592713761</c:v>
                </c:pt>
                <c:pt idx="440">
                  <c:v>0.1715983572078652</c:v>
                </c:pt>
                <c:pt idx="441">
                  <c:v>0.1715983572078652</c:v>
                </c:pt>
                <c:pt idx="442">
                  <c:v>0.18669096495815901</c:v>
                </c:pt>
                <c:pt idx="443">
                  <c:v>0.18669096495815901</c:v>
                </c:pt>
                <c:pt idx="444">
                  <c:v>0.18669096495815901</c:v>
                </c:pt>
                <c:pt idx="445">
                  <c:v>0.18669096495815901</c:v>
                </c:pt>
                <c:pt idx="446">
                  <c:v>0.20925797503467411</c:v>
                </c:pt>
                <c:pt idx="447">
                  <c:v>0.20925797503467411</c:v>
                </c:pt>
                <c:pt idx="448">
                  <c:v>0.20925797503467411</c:v>
                </c:pt>
                <c:pt idx="449">
                  <c:v>0.20925797503467411</c:v>
                </c:pt>
                <c:pt idx="450">
                  <c:v>0.20401315120496219</c:v>
                </c:pt>
                <c:pt idx="451">
                  <c:v>0.20401315120496219</c:v>
                </c:pt>
                <c:pt idx="452">
                  <c:v>0.20401315120496219</c:v>
                </c:pt>
                <c:pt idx="453">
                  <c:v>0.20401315120496219</c:v>
                </c:pt>
                <c:pt idx="454">
                  <c:v>0.19984521342183281</c:v>
                </c:pt>
                <c:pt idx="455">
                  <c:v>0.19984521342183281</c:v>
                </c:pt>
                <c:pt idx="456">
                  <c:v>0.19984521342183281</c:v>
                </c:pt>
                <c:pt idx="457">
                  <c:v>0.19984521342183281</c:v>
                </c:pt>
                <c:pt idx="458">
                  <c:v>0.19060538891127871</c:v>
                </c:pt>
                <c:pt idx="459">
                  <c:v>0.19060538891127871</c:v>
                </c:pt>
                <c:pt idx="460">
                  <c:v>0.19060538891127871</c:v>
                </c:pt>
                <c:pt idx="461">
                  <c:v>0.19060538891127871</c:v>
                </c:pt>
                <c:pt idx="462">
                  <c:v>0.18168337186651121</c:v>
                </c:pt>
                <c:pt idx="463">
                  <c:v>0.18168337186651121</c:v>
                </c:pt>
                <c:pt idx="464">
                  <c:v>0.18168337186651121</c:v>
                </c:pt>
                <c:pt idx="465">
                  <c:v>0.18168337186651121</c:v>
                </c:pt>
                <c:pt idx="466">
                  <c:v>0.17426099357607169</c:v>
                </c:pt>
                <c:pt idx="467">
                  <c:v>0.17426099357607169</c:v>
                </c:pt>
                <c:pt idx="468">
                  <c:v>0.17426099357607169</c:v>
                </c:pt>
                <c:pt idx="469">
                  <c:v>0.17426099357607169</c:v>
                </c:pt>
                <c:pt idx="470">
                  <c:v>0.17313412187867469</c:v>
                </c:pt>
                <c:pt idx="471">
                  <c:v>0.17313412187867469</c:v>
                </c:pt>
                <c:pt idx="472">
                  <c:v>0.17313412187867469</c:v>
                </c:pt>
                <c:pt idx="473">
                  <c:v>0.17313412187867469</c:v>
                </c:pt>
                <c:pt idx="474">
                  <c:v>0.18034013840432031</c:v>
                </c:pt>
                <c:pt idx="475">
                  <c:v>0.18034013840432031</c:v>
                </c:pt>
                <c:pt idx="476">
                  <c:v>0.18034013840432031</c:v>
                </c:pt>
                <c:pt idx="477">
                  <c:v>0.18034013840432031</c:v>
                </c:pt>
                <c:pt idx="478">
                  <c:v>0.17060593737291579</c:v>
                </c:pt>
                <c:pt idx="479">
                  <c:v>0.17060593737291579</c:v>
                </c:pt>
                <c:pt idx="480">
                  <c:v>0.17060593737291579</c:v>
                </c:pt>
                <c:pt idx="481">
                  <c:v>0.17060593737291579</c:v>
                </c:pt>
                <c:pt idx="482">
                  <c:v>0.1723953161408304</c:v>
                </c:pt>
                <c:pt idx="483">
                  <c:v>0.1723953161408304</c:v>
                </c:pt>
                <c:pt idx="484">
                  <c:v>0.1723953161408304</c:v>
                </c:pt>
                <c:pt idx="485">
                  <c:v>0.1723953161408304</c:v>
                </c:pt>
                <c:pt idx="486">
                  <c:v>0.16855357686097391</c:v>
                </c:pt>
                <c:pt idx="487">
                  <c:v>0.16855357686097391</c:v>
                </c:pt>
                <c:pt idx="488">
                  <c:v>0.16855357686097391</c:v>
                </c:pt>
                <c:pt idx="489">
                  <c:v>0.16855357686097391</c:v>
                </c:pt>
                <c:pt idx="490">
                  <c:v>0.16819795598684001</c:v>
                </c:pt>
                <c:pt idx="491">
                  <c:v>0.16819795598684001</c:v>
                </c:pt>
                <c:pt idx="492">
                  <c:v>0.16819795598684001</c:v>
                </c:pt>
                <c:pt idx="493">
                  <c:v>0.16819795598684001</c:v>
                </c:pt>
                <c:pt idx="494">
                  <c:v>0.1324422843256379</c:v>
                </c:pt>
                <c:pt idx="495">
                  <c:v>0.1324422843256379</c:v>
                </c:pt>
                <c:pt idx="496">
                  <c:v>0.15448284624209199</c:v>
                </c:pt>
                <c:pt idx="497">
                  <c:v>0.15448284624209199</c:v>
                </c:pt>
                <c:pt idx="498">
                  <c:v>0.15448284624209199</c:v>
                </c:pt>
                <c:pt idx="499">
                  <c:v>0.15448284624209199</c:v>
                </c:pt>
                <c:pt idx="500">
                  <c:v>0.15875367403053001</c:v>
                </c:pt>
                <c:pt idx="501">
                  <c:v>0.15875367403053001</c:v>
                </c:pt>
                <c:pt idx="502">
                  <c:v>0.15875367403053001</c:v>
                </c:pt>
                <c:pt idx="503">
                  <c:v>0.15875367403053001</c:v>
                </c:pt>
                <c:pt idx="504">
                  <c:v>0.16205320636764509</c:v>
                </c:pt>
                <c:pt idx="505">
                  <c:v>0.16205320636764509</c:v>
                </c:pt>
                <c:pt idx="506">
                  <c:v>0.16205320636764509</c:v>
                </c:pt>
                <c:pt idx="507">
                  <c:v>0.16205320636764509</c:v>
                </c:pt>
                <c:pt idx="508">
                  <c:v>0.15554637618713571</c:v>
                </c:pt>
                <c:pt idx="509">
                  <c:v>0.15554637618713571</c:v>
                </c:pt>
                <c:pt idx="510">
                  <c:v>0.15554637618713571</c:v>
                </c:pt>
                <c:pt idx="511">
                  <c:v>0.15554637618713571</c:v>
                </c:pt>
                <c:pt idx="512">
                  <c:v>0.14130583113852541</c:v>
                </c:pt>
                <c:pt idx="513">
                  <c:v>0.14130583113852541</c:v>
                </c:pt>
                <c:pt idx="514">
                  <c:v>0.14130583113852541</c:v>
                </c:pt>
                <c:pt idx="515">
                  <c:v>0.14130583113852541</c:v>
                </c:pt>
                <c:pt idx="516">
                  <c:v>0.1419919770087415</c:v>
                </c:pt>
                <c:pt idx="517">
                  <c:v>0.1419919770087415</c:v>
                </c:pt>
                <c:pt idx="518">
                  <c:v>0.1419919770087415</c:v>
                </c:pt>
                <c:pt idx="519">
                  <c:v>0.1419919770087415</c:v>
                </c:pt>
                <c:pt idx="520">
                  <c:v>0.13948003480297469</c:v>
                </c:pt>
                <c:pt idx="521">
                  <c:v>0.13948003480297469</c:v>
                </c:pt>
                <c:pt idx="522">
                  <c:v>0.13948003480297469</c:v>
                </c:pt>
                <c:pt idx="523">
                  <c:v>0.13948003480297469</c:v>
                </c:pt>
                <c:pt idx="524">
                  <c:v>0.1380850606401679</c:v>
                </c:pt>
                <c:pt idx="525">
                  <c:v>0.1380850606401679</c:v>
                </c:pt>
                <c:pt idx="526">
                  <c:v>0.1380850606401679</c:v>
                </c:pt>
                <c:pt idx="527">
                  <c:v>0.1380850606401679</c:v>
                </c:pt>
                <c:pt idx="528">
                  <c:v>0.14810212813728671</c:v>
                </c:pt>
                <c:pt idx="529">
                  <c:v>0.14810212813728671</c:v>
                </c:pt>
                <c:pt idx="530">
                  <c:v>0.14810212813728671</c:v>
                </c:pt>
                <c:pt idx="531">
                  <c:v>0.14810212813728671</c:v>
                </c:pt>
                <c:pt idx="532">
                  <c:v>0.15193398171114969</c:v>
                </c:pt>
                <c:pt idx="533">
                  <c:v>0.15193398171114969</c:v>
                </c:pt>
                <c:pt idx="534">
                  <c:v>0.15193398171114969</c:v>
                </c:pt>
                <c:pt idx="535">
                  <c:v>0.15193398171114969</c:v>
                </c:pt>
                <c:pt idx="536">
                  <c:v>0.14461475316746991</c:v>
                </c:pt>
                <c:pt idx="537">
                  <c:v>0.14461475316746991</c:v>
                </c:pt>
                <c:pt idx="538">
                  <c:v>0.14461475316746991</c:v>
                </c:pt>
                <c:pt idx="539">
                  <c:v>0.14461475316746991</c:v>
                </c:pt>
                <c:pt idx="540">
                  <c:v>0.13707314166650111</c:v>
                </c:pt>
                <c:pt idx="541">
                  <c:v>0.13707314166650111</c:v>
                </c:pt>
                <c:pt idx="542">
                  <c:v>0.13707314166650111</c:v>
                </c:pt>
                <c:pt idx="543">
                  <c:v>0.13707314166650111</c:v>
                </c:pt>
                <c:pt idx="544">
                  <c:v>8.6782381012711671E-2</c:v>
                </c:pt>
                <c:pt idx="545">
                  <c:v>8.6782381012711671E-2</c:v>
                </c:pt>
                <c:pt idx="546">
                  <c:v>8.6782381012711671E-2</c:v>
                </c:pt>
                <c:pt idx="547">
                  <c:v>8.6782381012711671E-2</c:v>
                </c:pt>
              </c:numCache>
            </c:numRef>
          </c:xVal>
          <c:yVal>
            <c:numRef>
              <c:f>data_ict_share_full!$G$2:$G$549</c:f>
              <c:numCache>
                <c:formatCode>General</c:formatCode>
                <c:ptCount val="548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-0.26564230957886825</c:v>
                </c:pt>
                <c:pt idx="55">
                  <c:v>-0.44393497951385608</c:v>
                </c:pt>
                <c:pt idx="56">
                  <c:v>-0.73190998834913579</c:v>
                </c:pt>
                <c:pt idx="57">
                  <c:v>0.41662877211910709</c:v>
                </c:pt>
                <c:pt idx="58">
                  <c:v>-1.9946331412953566</c:v>
                </c:pt>
                <c:pt idx="59">
                  <c:v>0.23384031312051204</c:v>
                </c:pt>
                <c:pt idx="60">
                  <c:v>-0.43518371560798574</c:v>
                </c:pt>
                <c:pt idx="61">
                  <c:v>0.1631824151071698</c:v>
                </c:pt>
                <c:pt idx="62">
                  <c:v>-0.93831791482202453</c:v>
                </c:pt>
                <c:pt idx="63">
                  <c:v>0.26279764266585015</c:v>
                </c:pt>
                <c:pt idx="64">
                  <c:v>0.60804524034366203</c:v>
                </c:pt>
                <c:pt idx="65">
                  <c:v>0.82726288526369518</c:v>
                </c:pt>
                <c:pt idx="66">
                  <c:v>0.55985462173544898</c:v>
                </c:pt>
                <c:pt idx="67">
                  <c:v>0.30703964316712207</c:v>
                </c:pt>
                <c:pt idx="68">
                  <c:v>0.60184371182729057</c:v>
                </c:pt>
                <c:pt idx="69">
                  <c:v>0.20095810349653198</c:v>
                </c:pt>
                <c:pt idx="70">
                  <c:v>-9.5872444645270116E-2</c:v>
                </c:pt>
                <c:pt idx="71">
                  <c:v>0.37602266897304393</c:v>
                </c:pt>
                <c:pt idx="72">
                  <c:v>-0.11861033767558893</c:v>
                </c:pt>
                <c:pt idx="73">
                  <c:v>-4.7304590003143909E-2</c:v>
                </c:pt>
                <c:pt idx="74">
                  <c:v>-0.28042817709720791</c:v>
                </c:pt>
                <c:pt idx="75">
                  <c:v>-1.0856298219501959E-2</c:v>
                </c:pt>
                <c:pt idx="76">
                  <c:v>0.1507797162184652</c:v>
                </c:pt>
                <c:pt idx="77">
                  <c:v>-0.26884506369373296</c:v>
                </c:pt>
                <c:pt idx="78">
                  <c:v>-0.10249939779924788</c:v>
                </c:pt>
                <c:pt idx="79">
                  <c:v>-7.9783867035730927E-2</c:v>
                </c:pt>
                <c:pt idx="80">
                  <c:v>5.8211280770205098E-2</c:v>
                </c:pt>
                <c:pt idx="81">
                  <c:v>0.32816631924187512</c:v>
                </c:pt>
                <c:pt idx="82">
                  <c:v>0.17749745265910399</c:v>
                </c:pt>
                <c:pt idx="83">
                  <c:v>5.2215939373469133E-2</c:v>
                </c:pt>
                <c:pt idx="84">
                  <c:v>0.8982846201541661</c:v>
                </c:pt>
                <c:pt idx="85">
                  <c:v>1.2770204459163441</c:v>
                </c:pt>
                <c:pt idx="86">
                  <c:v>0.68058495597650426</c:v>
                </c:pt>
                <c:pt idx="87">
                  <c:v>1.1871434535654872</c:v>
                </c:pt>
                <c:pt idx="88">
                  <c:v>-5.8720213186906536</c:v>
                </c:pt>
                <c:pt idx="89">
                  <c:v>3.5084821711300487</c:v>
                </c:pt>
                <c:pt idx="90">
                  <c:v>-6.1107535820139915</c:v>
                </c:pt>
                <c:pt idx="91">
                  <c:v>2.2459230282070131</c:v>
                </c:pt>
                <c:pt idx="92">
                  <c:v>1.9428126002794937</c:v>
                </c:pt>
                <c:pt idx="93">
                  <c:v>8.311464590272255E-2</c:v>
                </c:pt>
                <c:pt idx="94">
                  <c:v>-0.62319540430046239</c:v>
                </c:pt>
                <c:pt idx="95">
                  <c:v>1.5244104334755164</c:v>
                </c:pt>
                <c:pt idx="96">
                  <c:v>1.2985802285253398</c:v>
                </c:pt>
                <c:pt idx="97">
                  <c:v>1.1286019302321901</c:v>
                </c:pt>
                <c:pt idx="98">
                  <c:v>0.27459955625362209</c:v>
                </c:pt>
                <c:pt idx="99">
                  <c:v>1.9291371195943738</c:v>
                </c:pt>
                <c:pt idx="100">
                  <c:v>1.3883640898298362</c:v>
                </c:pt>
                <c:pt idx="101">
                  <c:v>0.10822182527690605</c:v>
                </c:pt>
                <c:pt idx="102">
                  <c:v>-0.22744129975502081</c:v>
                </c:pt>
                <c:pt idx="103">
                  <c:v>0.3161099745136402</c:v>
                </c:pt>
                <c:pt idx="104">
                  <c:v>-0.27505597868087905</c:v>
                </c:pt>
                <c:pt idx="105">
                  <c:v>-5.2551522415263063E-2</c:v>
                </c:pt>
                <c:pt idx="106">
                  <c:v>-0.26942607773384397</c:v>
                </c:pt>
                <c:pt idx="107">
                  <c:v>-0.18241471680150112</c:v>
                </c:pt>
                <c:pt idx="108">
                  <c:v>0.89939483995655589</c:v>
                </c:pt>
                <c:pt idx="109">
                  <c:v>1.1808560325801118</c:v>
                </c:pt>
                <c:pt idx="110">
                  <c:v>-5.4029254337575217E-2</c:v>
                </c:pt>
                <c:pt idx="111">
                  <c:v>-0.12697692728141019</c:v>
                </c:pt>
                <c:pt idx="112">
                  <c:v>-1.2429766151063308</c:v>
                </c:pt>
                <c:pt idx="113">
                  <c:v>2.1276684188162975E-2</c:v>
                </c:pt>
                <c:pt idx="114">
                  <c:v>-0.2668114338305837</c:v>
                </c:pt>
                <c:pt idx="115">
                  <c:v>0.10607414917842456</c:v>
                </c:pt>
                <c:pt idx="116">
                  <c:v>-1.1036026474346108</c:v>
                </c:pt>
                <c:pt idx="117">
                  <c:v>0.19098522298304116</c:v>
                </c:pt>
                <c:pt idx="118">
                  <c:v>0.50391511063603911</c:v>
                </c:pt>
                <c:pt idx="119">
                  <c:v>0.93895915127589302</c:v>
                </c:pt>
                <c:pt idx="120">
                  <c:v>0.38489933569674806</c:v>
                </c:pt>
                <c:pt idx="121">
                  <c:v>0.3604753690907021</c:v>
                </c:pt>
                <c:pt idx="122">
                  <c:v>0.41668627246598899</c:v>
                </c:pt>
                <c:pt idx="123">
                  <c:v>-0.19885935702409907</c:v>
                </c:pt>
                <c:pt idx="124">
                  <c:v>-0.47235285542918604</c:v>
                </c:pt>
                <c:pt idx="125">
                  <c:v>-0.3600890531802059</c:v>
                </c:pt>
                <c:pt idx="126">
                  <c:v>0.27860513231977801</c:v>
                </c:pt>
                <c:pt idx="127">
                  <c:v>0.24619510094493702</c:v>
                </c:pt>
                <c:pt idx="128">
                  <c:v>0.16032115441809891</c:v>
                </c:pt>
                <c:pt idx="129">
                  <c:v>0.56021580938968807</c:v>
                </c:pt>
                <c:pt idx="130">
                  <c:v>1.6647192282288961</c:v>
                </c:pt>
                <c:pt idx="131">
                  <c:v>0.98726553765954383</c:v>
                </c:pt>
                <c:pt idx="132">
                  <c:v>1.5726056100512928</c:v>
                </c:pt>
                <c:pt idx="133">
                  <c:v>1.4979471361736059</c:v>
                </c:pt>
                <c:pt idx="134">
                  <c:v>-0.85346390397992189</c:v>
                </c:pt>
                <c:pt idx="135">
                  <c:v>-0.45083812998151118</c:v>
                </c:pt>
                <c:pt idx="136">
                  <c:v>-0.58665416924442604</c:v>
                </c:pt>
                <c:pt idx="137">
                  <c:v>-1.0388815708978532</c:v>
                </c:pt>
                <c:pt idx="138">
                  <c:v>-0.72683828897076608</c:v>
                </c:pt>
                <c:pt idx="139">
                  <c:v>0.67371743677701046</c:v>
                </c:pt>
                <c:pt idx="140">
                  <c:v>-0.93999679709258999</c:v>
                </c:pt>
                <c:pt idx="141">
                  <c:v>0.56661972983481634</c:v>
                </c:pt>
                <c:pt idx="142">
                  <c:v>-5.5117432414984107</c:v>
                </c:pt>
                <c:pt idx="143">
                  <c:v>1.0663028045156304</c:v>
                </c:pt>
                <c:pt idx="144">
                  <c:v>-6.0477828073613109</c:v>
                </c:pt>
                <c:pt idx="145">
                  <c:v>1.9676759169072984</c:v>
                </c:pt>
                <c:pt idx="146">
                  <c:v>0.31461082759038206</c:v>
                </c:pt>
                <c:pt idx="147">
                  <c:v>1.097113718613111</c:v>
                </c:pt>
                <c:pt idx="148">
                  <c:v>-2.0409268972643462</c:v>
                </c:pt>
                <c:pt idx="149">
                  <c:v>0.42604586480458417</c:v>
                </c:pt>
                <c:pt idx="150">
                  <c:v>-2.6609443169839953</c:v>
                </c:pt>
                <c:pt idx="151">
                  <c:v>0.37338056935970299</c:v>
                </c:pt>
                <c:pt idx="152">
                  <c:v>-2.1229358469342294</c:v>
                </c:pt>
                <c:pt idx="153">
                  <c:v>0.37386578423211692</c:v>
                </c:pt>
                <c:pt idx="154">
                  <c:v>-0.19093583944082815</c:v>
                </c:pt>
                <c:pt idx="155">
                  <c:v>-0.54354189717324675</c:v>
                </c:pt>
                <c:pt idx="156">
                  <c:v>-3.2259227434105444</c:v>
                </c:pt>
                <c:pt idx="157">
                  <c:v>-1.0064641370532392</c:v>
                </c:pt>
                <c:pt idx="158">
                  <c:v>-0.76398245054191438</c:v>
                </c:pt>
                <c:pt idx="159">
                  <c:v>0.15197449145164205</c:v>
                </c:pt>
                <c:pt idx="160">
                  <c:v>-1.3181654375038181</c:v>
                </c:pt>
                <c:pt idx="161">
                  <c:v>-8.7013171124686664E-2</c:v>
                </c:pt>
                <c:pt idx="162">
                  <c:v>-1.3813318500744096</c:v>
                </c:pt>
                <c:pt idx="163">
                  <c:v>-1.4042156255031488</c:v>
                </c:pt>
                <c:pt idx="164">
                  <c:v>-3.5578433110301635</c:v>
                </c:pt>
                <c:pt idx="165">
                  <c:v>-1.468084985895092</c:v>
                </c:pt>
                <c:pt idx="166">
                  <c:v>-4.4179928139605931</c:v>
                </c:pt>
                <c:pt idx="167">
                  <c:v>-1.1441842892946601</c:v>
                </c:pt>
                <c:pt idx="168">
                  <c:v>6.4806094269020953E-3</c:v>
                </c:pt>
                <c:pt idx="169">
                  <c:v>-0.13080820497289203</c:v>
                </c:pt>
                <c:pt idx="170">
                  <c:v>-1.1063931545070063</c:v>
                </c:pt>
                <c:pt idx="171">
                  <c:v>3.6557650467966996E-2</c:v>
                </c:pt>
                <c:pt idx="172">
                  <c:v>0.97444544008665979</c:v>
                </c:pt>
                <c:pt idx="173">
                  <c:v>0.25951375517513608</c:v>
                </c:pt>
                <c:pt idx="174">
                  <c:v>0.5731581210036385</c:v>
                </c:pt>
                <c:pt idx="175">
                  <c:v>0.36104980792893904</c:v>
                </c:pt>
                <c:pt idx="176">
                  <c:v>2.2507531290568341</c:v>
                </c:pt>
                <c:pt idx="177">
                  <c:v>0.84755226971891684</c:v>
                </c:pt>
                <c:pt idx="178">
                  <c:v>1.9227190146805588</c:v>
                </c:pt>
                <c:pt idx="179">
                  <c:v>1.1642716744238411</c:v>
                </c:pt>
                <c:pt idx="180">
                  <c:v>0.20691362640356292</c:v>
                </c:pt>
                <c:pt idx="181">
                  <c:v>-0.32437575106588312</c:v>
                </c:pt>
                <c:pt idx="182">
                  <c:v>0.29294469454354299</c:v>
                </c:pt>
                <c:pt idx="183">
                  <c:v>0.27990361283777565</c:v>
                </c:pt>
                <c:pt idx="184">
                  <c:v>0.59955818573028896</c:v>
                </c:pt>
                <c:pt idx="185">
                  <c:v>-0.21335805850076506</c:v>
                </c:pt>
                <c:pt idx="186">
                  <c:v>0.35000728826492189</c:v>
                </c:pt>
                <c:pt idx="187">
                  <c:v>9.1706447057128937E-2</c:v>
                </c:pt>
                <c:pt idx="188">
                  <c:v>-0.17009025968066194</c:v>
                </c:pt>
                <c:pt idx="189">
                  <c:v>-0.19081445099353322</c:v>
                </c:pt>
                <c:pt idx="190">
                  <c:v>2.9647560491548042E-3</c:v>
                </c:pt>
                <c:pt idx="191">
                  <c:v>-0.48414216228142726</c:v>
                </c:pt>
                <c:pt idx="192">
                  <c:v>-0.21306976831362023</c:v>
                </c:pt>
                <c:pt idx="193">
                  <c:v>7.2237730363746921E-2</c:v>
                </c:pt>
                <c:pt idx="194">
                  <c:v>-0.41366958696250311</c:v>
                </c:pt>
                <c:pt idx="195">
                  <c:v>-0.15364893942900526</c:v>
                </c:pt>
                <c:pt idx="196">
                  <c:v>-13.076741440445701</c:v>
                </c:pt>
                <c:pt idx="197">
                  <c:v>0.82436876065597886</c:v>
                </c:pt>
                <c:pt idx="198">
                  <c:v>-13.449524977065238</c:v>
                </c:pt>
                <c:pt idx="199">
                  <c:v>-2.2018192403305132</c:v>
                </c:pt>
                <c:pt idx="200">
                  <c:v>1.1184606927194407</c:v>
                </c:pt>
                <c:pt idx="201">
                  <c:v>1.8458632295773425</c:v>
                </c:pt>
                <c:pt idx="202">
                  <c:v>-0.50686163990971256</c:v>
                </c:pt>
                <c:pt idx="203">
                  <c:v>0.58806104979523433</c:v>
                </c:pt>
                <c:pt idx="204">
                  <c:v>0.64788894209388648</c:v>
                </c:pt>
                <c:pt idx="205">
                  <c:v>1.6280433106379038</c:v>
                </c:pt>
                <c:pt idx="206">
                  <c:v>-0.60227924273788158</c:v>
                </c:pt>
                <c:pt idx="207">
                  <c:v>2.149623075816363</c:v>
                </c:pt>
                <c:pt idx="208">
                  <c:v>1.4759385035830395</c:v>
                </c:pt>
                <c:pt idx="209">
                  <c:v>6.5493966740925114E-2</c:v>
                </c:pt>
                <c:pt idx="210">
                  <c:v>-0.94199003346141597</c:v>
                </c:pt>
                <c:pt idx="211">
                  <c:v>0.49429728762396685</c:v>
                </c:pt>
                <c:pt idx="212">
                  <c:v>1.7363603942146351</c:v>
                </c:pt>
                <c:pt idx="213">
                  <c:v>0.42996620634170712</c:v>
                </c:pt>
                <c:pt idx="214">
                  <c:v>1.432026290013092</c:v>
                </c:pt>
                <c:pt idx="215">
                  <c:v>1.2521726761369569</c:v>
                </c:pt>
                <c:pt idx="216">
                  <c:v>-0.72097823586978693</c:v>
                </c:pt>
                <c:pt idx="217">
                  <c:v>-1.3490233924862403</c:v>
                </c:pt>
                <c:pt idx="218">
                  <c:v>-2.8967088940255072</c:v>
                </c:pt>
                <c:pt idx="219">
                  <c:v>-1.6205593666224374</c:v>
                </c:pt>
                <c:pt idx="220">
                  <c:v>-4.1054013535411551</c:v>
                </c:pt>
                <c:pt idx="221">
                  <c:v>-2.2925956788913462</c:v>
                </c:pt>
                <c:pt idx="222">
                  <c:v>-1.8026810025172653</c:v>
                </c:pt>
                <c:pt idx="223">
                  <c:v>-0.33824602126275083</c:v>
                </c:pt>
                <c:pt idx="224">
                  <c:v>-2.5825808509828021</c:v>
                </c:pt>
                <c:pt idx="225">
                  <c:v>-1.2701347576567219</c:v>
                </c:pt>
                <c:pt idx="226">
                  <c:v>-1.0598446835814783</c:v>
                </c:pt>
                <c:pt idx="227">
                  <c:v>-3.7170636542870672E-2</c:v>
                </c:pt>
                <c:pt idx="228">
                  <c:v>-1.4839669415266257</c:v>
                </c:pt>
                <c:pt idx="229">
                  <c:v>-0.65495754471519485</c:v>
                </c:pt>
                <c:pt idx="230">
                  <c:v>-0.14620954323508523</c:v>
                </c:pt>
                <c:pt idx="231">
                  <c:v>0.1253373978109007</c:v>
                </c:pt>
                <c:pt idx="232">
                  <c:v>-0.57280300136018747</c:v>
                </c:pt>
                <c:pt idx="233">
                  <c:v>0.12311761734483889</c:v>
                </c:pt>
                <c:pt idx="234">
                  <c:v>1.8786753011990158</c:v>
                </c:pt>
                <c:pt idx="235">
                  <c:v>1.7183218536184302</c:v>
                </c:pt>
                <c:pt idx="236">
                  <c:v>1.510323809035472</c:v>
                </c:pt>
                <c:pt idx="237">
                  <c:v>1.8590512359207483</c:v>
                </c:pt>
                <c:pt idx="238">
                  <c:v>2.4720940007392684</c:v>
                </c:pt>
                <c:pt idx="239">
                  <c:v>-4.9051166356071096E-2</c:v>
                </c:pt>
                <c:pt idx="240">
                  <c:v>2.5243960048727772</c:v>
                </c:pt>
                <c:pt idx="241">
                  <c:v>1.9527316757675739</c:v>
                </c:pt>
                <c:pt idx="242">
                  <c:v>-1.4684876877358761</c:v>
                </c:pt>
                <c:pt idx="243">
                  <c:v>-1.7034961062862728</c:v>
                </c:pt>
                <c:pt idx="244">
                  <c:v>-0.55948823596464492</c:v>
                </c:pt>
                <c:pt idx="245">
                  <c:v>-1.3340082792667409</c:v>
                </c:pt>
                <c:pt idx="246">
                  <c:v>-0.8335748506428422</c:v>
                </c:pt>
                <c:pt idx="247">
                  <c:v>-1.4110869060006026E-2</c:v>
                </c:pt>
                <c:pt idx="248">
                  <c:v>-0.9295559719103379</c:v>
                </c:pt>
                <c:pt idx="249">
                  <c:v>-0.29784066310397006</c:v>
                </c:pt>
                <c:pt idx="250">
                  <c:v>-3.6230506117637438</c:v>
                </c:pt>
                <c:pt idx="251">
                  <c:v>1.7496128021536563</c:v>
                </c:pt>
                <c:pt idx="252">
                  <c:v>-3.6875295267387962</c:v>
                </c:pt>
                <c:pt idx="253">
                  <c:v>3.812344683053138</c:v>
                </c:pt>
                <c:pt idx="254">
                  <c:v>-0.25859743194969287</c:v>
                </c:pt>
                <c:pt idx="255">
                  <c:v>-0.76255561777172076</c:v>
                </c:pt>
                <c:pt idx="256">
                  <c:v>-1.0319888097993339</c:v>
                </c:pt>
                <c:pt idx="257">
                  <c:v>-9.7992979043315831E-2</c:v>
                </c:pt>
                <c:pt idx="258">
                  <c:v>-2.0671616710759921</c:v>
                </c:pt>
                <c:pt idx="259">
                  <c:v>-1.5677906220824354</c:v>
                </c:pt>
                <c:pt idx="260">
                  <c:v>-1.9916383255658392</c:v>
                </c:pt>
                <c:pt idx="261">
                  <c:v>-0.84304938846227129</c:v>
                </c:pt>
                <c:pt idx="262">
                  <c:v>-1.5379932664356266</c:v>
                </c:pt>
                <c:pt idx="263">
                  <c:v>-1.4350651524638591</c:v>
                </c:pt>
                <c:pt idx="264">
                  <c:v>-2.96232576895608</c:v>
                </c:pt>
                <c:pt idx="265">
                  <c:v>-1.4958963214910126</c:v>
                </c:pt>
                <c:pt idx="266">
                  <c:v>5.5454419377964248E-2</c:v>
                </c:pt>
                <c:pt idx="267">
                  <c:v>1.1596069734324581</c:v>
                </c:pt>
                <c:pt idx="268">
                  <c:v>-0.49398677856419337</c:v>
                </c:pt>
                <c:pt idx="269">
                  <c:v>0.84187322906342721</c:v>
                </c:pt>
                <c:pt idx="270">
                  <c:v>-0.74460636681637882</c:v>
                </c:pt>
                <c:pt idx="271">
                  <c:v>0.72418125285179868</c:v>
                </c:pt>
                <c:pt idx="272">
                  <c:v>-0.5607547780382397</c:v>
                </c:pt>
                <c:pt idx="273">
                  <c:v>-0.17606213387669556</c:v>
                </c:pt>
                <c:pt idx="274">
                  <c:v>0.83612488664531526</c:v>
                </c:pt>
                <c:pt idx="275">
                  <c:v>0.67997235008080126</c:v>
                </c:pt>
                <c:pt idx="276">
                  <c:v>-0.32472647373697416</c:v>
                </c:pt>
                <c:pt idx="277">
                  <c:v>3.5343935314330999E-2</c:v>
                </c:pt>
                <c:pt idx="278">
                  <c:v>-1.8139364015399</c:v>
                </c:pt>
                <c:pt idx="279">
                  <c:v>-0.24613356157585023</c:v>
                </c:pt>
                <c:pt idx="280">
                  <c:v>0.54586999163456773</c:v>
                </c:pt>
                <c:pt idx="281">
                  <c:v>0.70642650900507031</c:v>
                </c:pt>
                <c:pt idx="282">
                  <c:v>-0.41064631977665855</c:v>
                </c:pt>
                <c:pt idx="283">
                  <c:v>1.0226418522737479</c:v>
                </c:pt>
                <c:pt idx="284">
                  <c:v>8.2625762713080086E-2</c:v>
                </c:pt>
                <c:pt idx="285">
                  <c:v>0.67469908808817769</c:v>
                </c:pt>
                <c:pt idx="286">
                  <c:v>-0.10261972066728997</c:v>
                </c:pt>
                <c:pt idx="287">
                  <c:v>1.7194448601227763E-2</c:v>
                </c:pt>
                <c:pt idx="288">
                  <c:v>0.29855354285163038</c:v>
                </c:pt>
                <c:pt idx="289">
                  <c:v>-8.9414898423502587E-2</c:v>
                </c:pt>
                <c:pt idx="290">
                  <c:v>-0.47972768132192978</c:v>
                </c:pt>
                <c:pt idx="291">
                  <c:v>-8.8439121019513678E-2</c:v>
                </c:pt>
                <c:pt idx="292">
                  <c:v>-0.6951946375147382</c:v>
                </c:pt>
                <c:pt idx="293">
                  <c:v>-0.52027408063893632</c:v>
                </c:pt>
                <c:pt idx="294">
                  <c:v>-0.9474050098037794</c:v>
                </c:pt>
                <c:pt idx="295">
                  <c:v>-0.59721808051947733</c:v>
                </c:pt>
                <c:pt idx="296">
                  <c:v>0.88730828907390391</c:v>
                </c:pt>
                <c:pt idx="297">
                  <c:v>0.63331091710201193</c:v>
                </c:pt>
                <c:pt idx="298">
                  <c:v>0.55799583927453589</c:v>
                </c:pt>
                <c:pt idx="299">
                  <c:v>0.89053149409434584</c:v>
                </c:pt>
                <c:pt idx="300">
                  <c:v>-0.17374369252594701</c:v>
                </c:pt>
                <c:pt idx="301">
                  <c:v>-9.4418697622485004E-2</c:v>
                </c:pt>
                <c:pt idx="302">
                  <c:v>-0.15383585632429808</c:v>
                </c:pt>
                <c:pt idx="303">
                  <c:v>-0.41758951411248901</c:v>
                </c:pt>
                <c:pt idx="304">
                  <c:v>0.4384166790122872</c:v>
                </c:pt>
                <c:pt idx="305">
                  <c:v>0.79261069491608427</c:v>
                </c:pt>
                <c:pt idx="306">
                  <c:v>0.24168578243425221</c:v>
                </c:pt>
                <c:pt idx="307">
                  <c:v>0.74602981041785821</c:v>
                </c:pt>
                <c:pt idx="308">
                  <c:v>-9.1974015560336042</c:v>
                </c:pt>
                <c:pt idx="309">
                  <c:v>1.4391287067798215</c:v>
                </c:pt>
                <c:pt idx="310">
                  <c:v>-9.4157638701608679</c:v>
                </c:pt>
                <c:pt idx="311">
                  <c:v>0.33628419121901221</c:v>
                </c:pt>
                <c:pt idx="312">
                  <c:v>0.77492257463683512</c:v>
                </c:pt>
                <c:pt idx="313">
                  <c:v>2.7609048047935403E-2</c:v>
                </c:pt>
                <c:pt idx="314">
                  <c:v>-0.83094601408312574</c:v>
                </c:pt>
                <c:pt idx="315">
                  <c:v>0.85548580385178141</c:v>
                </c:pt>
                <c:pt idx="316">
                  <c:v>-1.0044763978131481</c:v>
                </c:pt>
                <c:pt idx="317">
                  <c:v>0.13221272000764106</c:v>
                </c:pt>
                <c:pt idx="318">
                  <c:v>-1.4498059135976793</c:v>
                </c:pt>
                <c:pt idx="319">
                  <c:v>-0.33728125818969223</c:v>
                </c:pt>
                <c:pt idx="320">
                  <c:v>1.362740568589244</c:v>
                </c:pt>
                <c:pt idx="321">
                  <c:v>0.799970788141108</c:v>
                </c:pt>
                <c:pt idx="322">
                  <c:v>3.3137959113811011E-2</c:v>
                </c:pt>
                <c:pt idx="323">
                  <c:v>1.0779868195341884</c:v>
                </c:pt>
                <c:pt idx="324">
                  <c:v>0.16738745154850099</c:v>
                </c:pt>
                <c:pt idx="325">
                  <c:v>0.27545247469052403</c:v>
                </c:pt>
                <c:pt idx="326">
                  <c:v>-4.1217278471559204E-3</c:v>
                </c:pt>
                <c:pt idx="327">
                  <c:v>0.68596377940700104</c:v>
                </c:pt>
                <c:pt idx="328">
                  <c:v>0.50049004709387601</c:v>
                </c:pt>
                <c:pt idx="329">
                  <c:v>0.9413258690012245</c:v>
                </c:pt>
                <c:pt idx="330">
                  <c:v>-1.6280635865737629</c:v>
                </c:pt>
                <c:pt idx="331">
                  <c:v>-0.96922525562108064</c:v>
                </c:pt>
                <c:pt idx="332">
                  <c:v>-2.453635222613276</c:v>
                </c:pt>
                <c:pt idx="333">
                  <c:v>-1.0724333951104441</c:v>
                </c:pt>
                <c:pt idx="334">
                  <c:v>1.205057100905597</c:v>
                </c:pt>
                <c:pt idx="335">
                  <c:v>1.9567787515864445</c:v>
                </c:pt>
                <c:pt idx="336">
                  <c:v>0.35473491447531091</c:v>
                </c:pt>
                <c:pt idx="337">
                  <c:v>1.190812142791823</c:v>
                </c:pt>
                <c:pt idx="338">
                  <c:v>7.3473765864294371</c:v>
                </c:pt>
                <c:pt idx="339">
                  <c:v>4.4352299730116496</c:v>
                </c:pt>
                <c:pt idx="340">
                  <c:v>6.8741599328546545</c:v>
                </c:pt>
                <c:pt idx="341">
                  <c:v>7.3099334555518691</c:v>
                </c:pt>
                <c:pt idx="342">
                  <c:v>18.328578063419037</c:v>
                </c:pt>
                <c:pt idx="343">
                  <c:v>15.905810160190644</c:v>
                </c:pt>
                <c:pt idx="344">
                  <c:v>18.955022320797561</c:v>
                </c:pt>
                <c:pt idx="345">
                  <c:v>18.343702761513786</c:v>
                </c:pt>
                <c:pt idx="346">
                  <c:v>-3.3115780556468373</c:v>
                </c:pt>
                <c:pt idx="347">
                  <c:v>-2.9158948376772491</c:v>
                </c:pt>
                <c:pt idx="348">
                  <c:v>-2.3039111882363645</c:v>
                </c:pt>
                <c:pt idx="349">
                  <c:v>-3.6961635285906365</c:v>
                </c:pt>
                <c:pt idx="350">
                  <c:v>6.0228740309448732</c:v>
                </c:pt>
                <c:pt idx="351">
                  <c:v>4.7979924738822781</c:v>
                </c:pt>
                <c:pt idx="352">
                  <c:v>5.9524962396982399</c:v>
                </c:pt>
                <c:pt idx="353">
                  <c:v>5.6733497511086632</c:v>
                </c:pt>
                <c:pt idx="354">
                  <c:v>3.5391422005323694</c:v>
                </c:pt>
                <c:pt idx="355">
                  <c:v>-0.36708855616052638</c:v>
                </c:pt>
                <c:pt idx="356">
                  <c:v>3.8014603254516723</c:v>
                </c:pt>
                <c:pt idx="357">
                  <c:v>1.7637946495625059</c:v>
                </c:pt>
                <c:pt idx="358">
                  <c:v>0.2937881326285563</c:v>
                </c:pt>
                <c:pt idx="359">
                  <c:v>-0.81182975289263659</c:v>
                </c:pt>
                <c:pt idx="360">
                  <c:v>0.76508940488487553</c:v>
                </c:pt>
                <c:pt idx="361">
                  <c:v>1.0641944495974975</c:v>
                </c:pt>
                <c:pt idx="362">
                  <c:v>3.4578095605905887</c:v>
                </c:pt>
                <c:pt idx="363">
                  <c:v>9.3237810475628535</c:v>
                </c:pt>
                <c:pt idx="364">
                  <c:v>3.6187658069427835</c:v>
                </c:pt>
                <c:pt idx="365">
                  <c:v>14.933429444226089</c:v>
                </c:pt>
                <c:pt idx="366">
                  <c:v>12.176886461707223</c:v>
                </c:pt>
                <c:pt idx="367">
                  <c:v>0.5617185951764796</c:v>
                </c:pt>
                <c:pt idx="368">
                  <c:v>9.0402581837302627</c:v>
                </c:pt>
                <c:pt idx="369">
                  <c:v>10.52537395238202</c:v>
                </c:pt>
                <c:pt idx="370">
                  <c:v>2.8975720388514441</c:v>
                </c:pt>
                <c:pt idx="371">
                  <c:v>0.11836057066008809</c:v>
                </c:pt>
                <c:pt idx="372">
                  <c:v>3.0134574969968924</c:v>
                </c:pt>
                <c:pt idx="373">
                  <c:v>2.607758140674961</c:v>
                </c:pt>
                <c:pt idx="374">
                  <c:v>-6.6927658082332888</c:v>
                </c:pt>
                <c:pt idx="375">
                  <c:v>-2.5855542962976177</c:v>
                </c:pt>
                <c:pt idx="376">
                  <c:v>-7.955341703093274</c:v>
                </c:pt>
                <c:pt idx="377">
                  <c:v>-9.0375833468898072</c:v>
                </c:pt>
                <c:pt idx="378">
                  <c:v>0.57631554946716701</c:v>
                </c:pt>
                <c:pt idx="379">
                  <c:v>4.1610059157908612</c:v>
                </c:pt>
                <c:pt idx="380">
                  <c:v>-1.3475656933011551</c:v>
                </c:pt>
                <c:pt idx="381">
                  <c:v>2.3766670965922447</c:v>
                </c:pt>
                <c:pt idx="382">
                  <c:v>0.31332096396137299</c:v>
                </c:pt>
                <c:pt idx="383">
                  <c:v>-0.10643235308456145</c:v>
                </c:pt>
                <c:pt idx="384">
                  <c:v>-3.283682876216877</c:v>
                </c:pt>
                <c:pt idx="385">
                  <c:v>-0.93975532690563535</c:v>
                </c:pt>
                <c:pt idx="386">
                  <c:v>-4.5415254167541681</c:v>
                </c:pt>
                <c:pt idx="387">
                  <c:v>-1.8199453612782872</c:v>
                </c:pt>
                <c:pt idx="388">
                  <c:v>-1.3032488592122233</c:v>
                </c:pt>
                <c:pt idx="389">
                  <c:v>-1.3627956629979066E-2</c:v>
                </c:pt>
                <c:pt idx="390">
                  <c:v>-2.2873965098618703</c:v>
                </c:pt>
                <c:pt idx="391">
                  <c:v>-0.50253549354813787</c:v>
                </c:pt>
                <c:pt idx="392">
                  <c:v>-0.63559197615783425</c:v>
                </c:pt>
                <c:pt idx="393">
                  <c:v>0.46984491420454261</c:v>
                </c:pt>
                <c:pt idx="394">
                  <c:v>-0.64240153811903056</c:v>
                </c:pt>
                <c:pt idx="395">
                  <c:v>-0.49573337159642944</c:v>
                </c:pt>
                <c:pt idx="396">
                  <c:v>0.11412179495312647</c:v>
                </c:pt>
                <c:pt idx="397">
                  <c:v>-0.12380197599240972</c:v>
                </c:pt>
                <c:pt idx="398">
                  <c:v>-0.48713604095095231</c:v>
                </c:pt>
                <c:pt idx="399">
                  <c:v>0.13599178752260521</c:v>
                </c:pt>
                <c:pt idx="400">
                  <c:v>-0.1058406653404671</c:v>
                </c:pt>
                <c:pt idx="401">
                  <c:v>0.63759268194228436</c:v>
                </c:pt>
                <c:pt idx="402">
                  <c:v>-6.5542328540008077E-2</c:v>
                </c:pt>
                <c:pt idx="403">
                  <c:v>0.25497274041926299</c:v>
                </c:pt>
                <c:pt idx="404">
                  <c:v>0.77488781643401738</c:v>
                </c:pt>
                <c:pt idx="405">
                  <c:v>0.22303711004873605</c:v>
                </c:pt>
                <c:pt idx="406">
                  <c:v>0.34231121806944209</c:v>
                </c:pt>
                <c:pt idx="407">
                  <c:v>0.74890781392368888</c:v>
                </c:pt>
                <c:pt idx="408">
                  <c:v>-0.62187743480216839</c:v>
                </c:pt>
                <c:pt idx="409">
                  <c:v>-0.46981863171250737</c:v>
                </c:pt>
                <c:pt idx="410">
                  <c:v>-0.45306326954054732</c:v>
                </c:pt>
                <c:pt idx="411">
                  <c:v>-0.77439182435587239</c:v>
                </c:pt>
                <c:pt idx="412">
                  <c:v>-0.73330529565166769</c:v>
                </c:pt>
                <c:pt idx="413">
                  <c:v>0.31282812569793611</c:v>
                </c:pt>
                <c:pt idx="414">
                  <c:v>-0.79138299663360767</c:v>
                </c:pt>
                <c:pt idx="415">
                  <c:v>0.31688392304130802</c:v>
                </c:pt>
                <c:pt idx="416">
                  <c:v>-9.8107396813353134</c:v>
                </c:pt>
                <c:pt idx="417">
                  <c:v>0.47316871767660729</c:v>
                </c:pt>
                <c:pt idx="418">
                  <c:v>-10.090165875589653</c:v>
                </c:pt>
                <c:pt idx="419">
                  <c:v>0.13961409785200196</c:v>
                </c:pt>
                <c:pt idx="420">
                  <c:v>4.3860333621503482</c:v>
                </c:pt>
                <c:pt idx="421">
                  <c:v>2.2077938630119469</c:v>
                </c:pt>
                <c:pt idx="422">
                  <c:v>1.8874102730208113</c:v>
                </c:pt>
                <c:pt idx="423">
                  <c:v>4.2301947873575489</c:v>
                </c:pt>
                <c:pt idx="424">
                  <c:v>0.58569431791028492</c:v>
                </c:pt>
                <c:pt idx="425">
                  <c:v>1.0277214587440522</c:v>
                </c:pt>
                <c:pt idx="426">
                  <c:v>0.46115485843316062</c:v>
                </c:pt>
                <c:pt idx="427">
                  <c:v>2.428959206215525</c:v>
                </c:pt>
                <c:pt idx="428">
                  <c:v>0.69953692902983344</c:v>
                </c:pt>
                <c:pt idx="429">
                  <c:v>0.3227009071263518</c:v>
                </c:pt>
                <c:pt idx="430">
                  <c:v>-0.83701733507933507</c:v>
                </c:pt>
                <c:pt idx="431">
                  <c:v>-0.19232404471208708</c:v>
                </c:pt>
                <c:pt idx="432">
                  <c:v>-0.26756306953106568</c:v>
                </c:pt>
                <c:pt idx="433">
                  <c:v>-8.4118151145665343E-2</c:v>
                </c:pt>
                <c:pt idx="434">
                  <c:v>-0.50358721299028975</c:v>
                </c:pt>
                <c:pt idx="435">
                  <c:v>-0.35185080229070154</c:v>
                </c:pt>
                <c:pt idx="436">
                  <c:v>-0.37629081703927114</c:v>
                </c:pt>
                <c:pt idx="437">
                  <c:v>0.30154220637721435</c:v>
                </c:pt>
                <c:pt idx="438">
                  <c:v>-0.43658647742987933</c:v>
                </c:pt>
                <c:pt idx="439">
                  <c:v>-3.1208783804359541E-3</c:v>
                </c:pt>
                <c:pt idx="440">
                  <c:v>-4.4869424188079154E-2</c:v>
                </c:pt>
                <c:pt idx="441">
                  <c:v>-0.16273935738707901</c:v>
                </c:pt>
                <c:pt idx="442">
                  <c:v>-1.4862389038890746</c:v>
                </c:pt>
                <c:pt idx="443">
                  <c:v>-0.70761224838733949</c:v>
                </c:pt>
                <c:pt idx="444">
                  <c:v>-2.6486668808434137</c:v>
                </c:pt>
                <c:pt idx="445">
                  <c:v>-0.10024508264757004</c:v>
                </c:pt>
                <c:pt idx="446">
                  <c:v>-0.23830578037063171</c:v>
                </c:pt>
                <c:pt idx="447">
                  <c:v>0.99271178751701716</c:v>
                </c:pt>
                <c:pt idx="448">
                  <c:v>-0.69436298449679079</c:v>
                </c:pt>
                <c:pt idx="449">
                  <c:v>0.8027116295009934</c:v>
                </c:pt>
                <c:pt idx="450">
                  <c:v>1.3553618816128583</c:v>
                </c:pt>
                <c:pt idx="451">
                  <c:v>0.72324209611805812</c:v>
                </c:pt>
                <c:pt idx="452">
                  <c:v>0.70542793172322216</c:v>
                </c:pt>
                <c:pt idx="453">
                  <c:v>0.43792540256365298</c:v>
                </c:pt>
                <c:pt idx="454">
                  <c:v>0.66075179047467292</c:v>
                </c:pt>
                <c:pt idx="455">
                  <c:v>2.7912869879358926E-2</c:v>
                </c:pt>
                <c:pt idx="456">
                  <c:v>0.71728036681706908</c:v>
                </c:pt>
                <c:pt idx="457">
                  <c:v>0.44124858238985798</c:v>
                </c:pt>
                <c:pt idx="458">
                  <c:v>0.25837958787036319</c:v>
                </c:pt>
                <c:pt idx="459">
                  <c:v>0.73200384369860516</c:v>
                </c:pt>
                <c:pt idx="460">
                  <c:v>0.65826627678273919</c:v>
                </c:pt>
                <c:pt idx="461">
                  <c:v>0.71349901011999117</c:v>
                </c:pt>
                <c:pt idx="462">
                  <c:v>1.0914375503477329</c:v>
                </c:pt>
                <c:pt idx="463">
                  <c:v>-0.46496850488224206</c:v>
                </c:pt>
                <c:pt idx="464">
                  <c:v>0.77378648218358492</c:v>
                </c:pt>
                <c:pt idx="465">
                  <c:v>0.63236498765517979</c:v>
                </c:pt>
                <c:pt idx="466">
                  <c:v>-0.49220694854774294</c:v>
                </c:pt>
                <c:pt idx="467">
                  <c:v>-0.60915575871749095</c:v>
                </c:pt>
                <c:pt idx="468">
                  <c:v>0.41068430201465511</c:v>
                </c:pt>
                <c:pt idx="469">
                  <c:v>-0.72275559772991471</c:v>
                </c:pt>
                <c:pt idx="470">
                  <c:v>-0.12859335988762766</c:v>
                </c:pt>
                <c:pt idx="471">
                  <c:v>0.56885798608977911</c:v>
                </c:pt>
                <c:pt idx="472">
                  <c:v>-0.32154765833279697</c:v>
                </c:pt>
                <c:pt idx="473">
                  <c:v>0.6408810234895721</c:v>
                </c:pt>
                <c:pt idx="474">
                  <c:v>-5.1870723493020137</c:v>
                </c:pt>
                <c:pt idx="475">
                  <c:v>1.4182708153157462</c:v>
                </c:pt>
                <c:pt idx="476">
                  <c:v>-5.5233877578965265</c:v>
                </c:pt>
                <c:pt idx="477">
                  <c:v>2.9439454385808403</c:v>
                </c:pt>
                <c:pt idx="478">
                  <c:v>3.8584405374490256</c:v>
                </c:pt>
                <c:pt idx="479">
                  <c:v>2.0469395382772038</c:v>
                </c:pt>
                <c:pt idx="480">
                  <c:v>1.0561243309838426</c:v>
                </c:pt>
                <c:pt idx="481">
                  <c:v>3.6815274398948827</c:v>
                </c:pt>
                <c:pt idx="482">
                  <c:v>1.5403141268462113</c:v>
                </c:pt>
                <c:pt idx="483">
                  <c:v>0.24027154732824307</c:v>
                </c:pt>
                <c:pt idx="484">
                  <c:v>1.3102425391146273</c:v>
                </c:pt>
                <c:pt idx="485">
                  <c:v>1.6179605359437201</c:v>
                </c:pt>
                <c:pt idx="486">
                  <c:v>-1.2332667915025379</c:v>
                </c:pt>
                <c:pt idx="487">
                  <c:v>-1.1646182848044611</c:v>
                </c:pt>
                <c:pt idx="488">
                  <c:v>-2.1529435732412807</c:v>
                </c:pt>
                <c:pt idx="489">
                  <c:v>-2.3856877313900817</c:v>
                </c:pt>
                <c:pt idx="490">
                  <c:v>-3.2333375546518051E-2</c:v>
                </c:pt>
                <c:pt idx="491">
                  <c:v>0.21729749415612565</c:v>
                </c:pt>
                <c:pt idx="492">
                  <c:v>-0.12243536174728198</c:v>
                </c:pt>
                <c:pt idx="493">
                  <c:v>0.2982196320767394</c:v>
                </c:pt>
                <c:pt idx="494">
                  <c:v>0.14125391028230783</c:v>
                </c:pt>
                <c:pt idx="495">
                  <c:v>0.47487728867662904</c:v>
                </c:pt>
                <c:pt idx="496">
                  <c:v>-1.0995542098793263</c:v>
                </c:pt>
                <c:pt idx="497">
                  <c:v>-1.1760026883100392</c:v>
                </c:pt>
                <c:pt idx="498">
                  <c:v>-2.3809908827477235</c:v>
                </c:pt>
                <c:pt idx="499">
                  <c:v>-0.87299909854646618</c:v>
                </c:pt>
                <c:pt idx="500">
                  <c:v>5.5407583701418961E-3</c:v>
                </c:pt>
                <c:pt idx="501">
                  <c:v>0.77491238355863912</c:v>
                </c:pt>
                <c:pt idx="502">
                  <c:v>-1.2437166293694688</c:v>
                </c:pt>
                <c:pt idx="503">
                  <c:v>1.3540941366994292</c:v>
                </c:pt>
                <c:pt idx="504">
                  <c:v>-3.7645971018196667E-2</c:v>
                </c:pt>
                <c:pt idx="505">
                  <c:v>-0.1990372617381222</c:v>
                </c:pt>
                <c:pt idx="506">
                  <c:v>0.17999874759430079</c:v>
                </c:pt>
                <c:pt idx="507">
                  <c:v>-0.50566639608488062</c:v>
                </c:pt>
                <c:pt idx="508">
                  <c:v>0.27908288694357686</c:v>
                </c:pt>
                <c:pt idx="509">
                  <c:v>-0.16405386466369909</c:v>
                </c:pt>
                <c:pt idx="510">
                  <c:v>8.4088127918840794E-2</c:v>
                </c:pt>
                <c:pt idx="511">
                  <c:v>-6.4609841282320168E-2</c:v>
                </c:pt>
                <c:pt idx="512">
                  <c:v>0.32534337819466397</c:v>
                </c:pt>
                <c:pt idx="513">
                  <c:v>1.0550904016198952</c:v>
                </c:pt>
                <c:pt idx="514">
                  <c:v>0.14602905922159692</c:v>
                </c:pt>
                <c:pt idx="515">
                  <c:v>0.5261694887334849</c:v>
                </c:pt>
                <c:pt idx="516">
                  <c:v>2.0165120904442619</c:v>
                </c:pt>
                <c:pt idx="517">
                  <c:v>0.63151210674854008</c:v>
                </c:pt>
                <c:pt idx="518">
                  <c:v>1.5169148839265081</c:v>
                </c:pt>
                <c:pt idx="519">
                  <c:v>1.4222126188508</c:v>
                </c:pt>
                <c:pt idx="520">
                  <c:v>0.84121405179820208</c:v>
                </c:pt>
                <c:pt idx="521">
                  <c:v>0.73645045202355286</c:v>
                </c:pt>
                <c:pt idx="522">
                  <c:v>1.3359790738157751</c:v>
                </c:pt>
                <c:pt idx="523">
                  <c:v>0.56998726219637108</c:v>
                </c:pt>
                <c:pt idx="524">
                  <c:v>0.86923730155660284</c:v>
                </c:pt>
                <c:pt idx="525">
                  <c:v>0.75821702215020981</c:v>
                </c:pt>
                <c:pt idx="526">
                  <c:v>0.67142489045585174</c:v>
                </c:pt>
                <c:pt idx="527">
                  <c:v>1.0362404008479218</c:v>
                </c:pt>
                <c:pt idx="528">
                  <c:v>-10.260788720529403</c:v>
                </c:pt>
                <c:pt idx="529">
                  <c:v>0.72965359060849089</c:v>
                </c:pt>
                <c:pt idx="530">
                  <c:v>-10.276302834282514</c:v>
                </c:pt>
                <c:pt idx="531">
                  <c:v>-1.7957222419949357</c:v>
                </c:pt>
                <c:pt idx="532">
                  <c:v>4.9176366349780842E-2</c:v>
                </c:pt>
                <c:pt idx="533">
                  <c:v>0.86703084261086261</c:v>
                </c:pt>
                <c:pt idx="534">
                  <c:v>-0.40807185936133461</c:v>
                </c:pt>
                <c:pt idx="535">
                  <c:v>1.46572942535055</c:v>
                </c:pt>
                <c:pt idx="536">
                  <c:v>1.4313467273622811</c:v>
                </c:pt>
                <c:pt idx="537">
                  <c:v>0.16648728936240431</c:v>
                </c:pt>
                <c:pt idx="538">
                  <c:v>1.65373321511687</c:v>
                </c:pt>
                <c:pt idx="539">
                  <c:v>0.94714374205589991</c:v>
                </c:pt>
                <c:pt idx="540">
                  <c:v>2.3359588026966547</c:v>
                </c:pt>
                <c:pt idx="541">
                  <c:v>0.82603710498769489</c:v>
                </c:pt>
                <c:pt idx="542">
                  <c:v>0.39242832347734202</c:v>
                </c:pt>
                <c:pt idx="543">
                  <c:v>0.61415875922665375</c:v>
                </c:pt>
                <c:pt idx="544">
                  <c:v>0.877059487557313</c:v>
                </c:pt>
                <c:pt idx="545">
                  <c:v>0.53893400861308405</c:v>
                </c:pt>
                <c:pt idx="546">
                  <c:v>0.43349115215204903</c:v>
                </c:pt>
                <c:pt idx="547">
                  <c:v>0.45622753459714716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67-47D3-B66D-8653E75007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2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  <c:majorUnit val="0.02"/>
      </c:valAx>
      <c:valAx>
        <c:axId val="20"/>
        <c:scaling>
          <c:orientation val="minMax"/>
          <c:max val="25"/>
          <c:min val="-2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  <c:majorUnit val="5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ICT investment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data_ict_share_since2020!$H$2:$H$209</c:f>
              <c:numCache>
                <c:formatCode>General</c:formatCode>
                <c:ptCount val="208"/>
                <c:pt idx="0">
                  <c:v>0.17076349956742379</c:v>
                </c:pt>
                <c:pt idx="1">
                  <c:v>0.17076349956742379</c:v>
                </c:pt>
                <c:pt idx="2">
                  <c:v>0.17076349956742379</c:v>
                </c:pt>
                <c:pt idx="3">
                  <c:v>0.17076349956742379</c:v>
                </c:pt>
                <c:pt idx="4">
                  <c:v>0.1559916018212551</c:v>
                </c:pt>
                <c:pt idx="5">
                  <c:v>0.1559916018212551</c:v>
                </c:pt>
                <c:pt idx="6">
                  <c:v>0.1559916018212551</c:v>
                </c:pt>
                <c:pt idx="7">
                  <c:v>0.1559916018212551</c:v>
                </c:pt>
                <c:pt idx="8">
                  <c:v>0.15603500394963879</c:v>
                </c:pt>
                <c:pt idx="9">
                  <c:v>0.15603500394963879</c:v>
                </c:pt>
                <c:pt idx="10">
                  <c:v>0.15603500394963879</c:v>
                </c:pt>
                <c:pt idx="11">
                  <c:v>0.15603500394963879</c:v>
                </c:pt>
                <c:pt idx="12">
                  <c:v>0.1673103527784183</c:v>
                </c:pt>
                <c:pt idx="13">
                  <c:v>0.1673103527784183</c:v>
                </c:pt>
                <c:pt idx="14">
                  <c:v>0.1673103527784183</c:v>
                </c:pt>
                <c:pt idx="15">
                  <c:v>0.1673103527784183</c:v>
                </c:pt>
                <c:pt idx="16">
                  <c:v>0.17496495406425419</c:v>
                </c:pt>
                <c:pt idx="17">
                  <c:v>0.17496495406425419</c:v>
                </c:pt>
                <c:pt idx="18">
                  <c:v>0.17496495406425419</c:v>
                </c:pt>
                <c:pt idx="19">
                  <c:v>0.17496495406425419</c:v>
                </c:pt>
                <c:pt idx="20">
                  <c:v>0.14451633046915729</c:v>
                </c:pt>
                <c:pt idx="21">
                  <c:v>0.14451633046915729</c:v>
                </c:pt>
                <c:pt idx="22">
                  <c:v>0.14451633046915729</c:v>
                </c:pt>
                <c:pt idx="23">
                  <c:v>0.14451633046915729</c:v>
                </c:pt>
                <c:pt idx="24">
                  <c:v>0.14637497707145941</c:v>
                </c:pt>
                <c:pt idx="25">
                  <c:v>0.14637497707145941</c:v>
                </c:pt>
                <c:pt idx="26">
                  <c:v>0.14637497707145941</c:v>
                </c:pt>
                <c:pt idx="27">
                  <c:v>0.14637497707145941</c:v>
                </c:pt>
                <c:pt idx="28">
                  <c:v>0.14806210436677841</c:v>
                </c:pt>
                <c:pt idx="29">
                  <c:v>0.14806210436677841</c:v>
                </c:pt>
                <c:pt idx="30">
                  <c:v>0.14806210436677841</c:v>
                </c:pt>
                <c:pt idx="31">
                  <c:v>0.14806210436677841</c:v>
                </c:pt>
                <c:pt idx="32">
                  <c:v>0.14690436069296811</c:v>
                </c:pt>
                <c:pt idx="33">
                  <c:v>0.14690436069296811</c:v>
                </c:pt>
                <c:pt idx="34">
                  <c:v>0.14690436069296811</c:v>
                </c:pt>
                <c:pt idx="35">
                  <c:v>0.14690436069296811</c:v>
                </c:pt>
                <c:pt idx="36">
                  <c:v>0.16444982264139649</c:v>
                </c:pt>
                <c:pt idx="37">
                  <c:v>0.16444982264139649</c:v>
                </c:pt>
                <c:pt idx="38">
                  <c:v>0.16444982264139649</c:v>
                </c:pt>
                <c:pt idx="39">
                  <c:v>0.16444982264139649</c:v>
                </c:pt>
                <c:pt idx="40">
                  <c:v>8.1815293370048725E-2</c:v>
                </c:pt>
                <c:pt idx="41">
                  <c:v>8.1815293370048725E-2</c:v>
                </c:pt>
                <c:pt idx="42">
                  <c:v>8.1815293370048725E-2</c:v>
                </c:pt>
                <c:pt idx="43">
                  <c:v>8.1815293370048725E-2</c:v>
                </c:pt>
                <c:pt idx="44">
                  <c:v>8.3727042533414536E-2</c:v>
                </c:pt>
                <c:pt idx="45">
                  <c:v>8.3727042533414536E-2</c:v>
                </c:pt>
                <c:pt idx="46">
                  <c:v>8.3727042533414536E-2</c:v>
                </c:pt>
                <c:pt idx="47">
                  <c:v>8.3727042533414536E-2</c:v>
                </c:pt>
                <c:pt idx="48">
                  <c:v>8.4524514070205975E-2</c:v>
                </c:pt>
                <c:pt idx="49">
                  <c:v>8.4524514070205975E-2</c:v>
                </c:pt>
                <c:pt idx="50">
                  <c:v>8.4524514070205975E-2</c:v>
                </c:pt>
                <c:pt idx="51">
                  <c:v>8.4524514070205975E-2</c:v>
                </c:pt>
                <c:pt idx="52">
                  <c:v>8.1127962753161406E-2</c:v>
                </c:pt>
                <c:pt idx="53">
                  <c:v>8.1127962753161406E-2</c:v>
                </c:pt>
                <c:pt idx="54">
                  <c:v>8.1127962753161406E-2</c:v>
                </c:pt>
                <c:pt idx="55">
                  <c:v>8.1127962753161406E-2</c:v>
                </c:pt>
                <c:pt idx="56">
                  <c:v>8.6916760469719023E-2</c:v>
                </c:pt>
                <c:pt idx="57">
                  <c:v>8.6916760469719023E-2</c:v>
                </c:pt>
                <c:pt idx="58">
                  <c:v>8.6916760469719023E-2</c:v>
                </c:pt>
                <c:pt idx="59">
                  <c:v>8.6916760469719023E-2</c:v>
                </c:pt>
                <c:pt idx="60">
                  <c:v>0.14433972800453609</c:v>
                </c:pt>
                <c:pt idx="61">
                  <c:v>0.14433972800453609</c:v>
                </c:pt>
                <c:pt idx="62">
                  <c:v>0.14433972800453609</c:v>
                </c:pt>
                <c:pt idx="63">
                  <c:v>0.14433972800453609</c:v>
                </c:pt>
                <c:pt idx="64">
                  <c:v>0.15242426670940859</c:v>
                </c:pt>
                <c:pt idx="65">
                  <c:v>0.15242426670940859</c:v>
                </c:pt>
                <c:pt idx="66">
                  <c:v>0.15242426670940859</c:v>
                </c:pt>
                <c:pt idx="67">
                  <c:v>0.15242426670940859</c:v>
                </c:pt>
                <c:pt idx="68">
                  <c:v>0.14409521444535101</c:v>
                </c:pt>
                <c:pt idx="69">
                  <c:v>0.14409521444535101</c:v>
                </c:pt>
                <c:pt idx="70">
                  <c:v>0.14409521444535101</c:v>
                </c:pt>
                <c:pt idx="71">
                  <c:v>0.14409521444535101</c:v>
                </c:pt>
                <c:pt idx="72">
                  <c:v>0.14973134678937389</c:v>
                </c:pt>
                <c:pt idx="73">
                  <c:v>0.14973134678937389</c:v>
                </c:pt>
                <c:pt idx="74">
                  <c:v>0.14973134678937389</c:v>
                </c:pt>
                <c:pt idx="75">
                  <c:v>0.14973134678937389</c:v>
                </c:pt>
                <c:pt idx="76">
                  <c:v>0.1495725835123897</c:v>
                </c:pt>
                <c:pt idx="77">
                  <c:v>0.1495725835123897</c:v>
                </c:pt>
                <c:pt idx="78">
                  <c:v>0.1495725835123897</c:v>
                </c:pt>
                <c:pt idx="79">
                  <c:v>0.1495725835123897</c:v>
                </c:pt>
                <c:pt idx="80">
                  <c:v>0.1073708050236772</c:v>
                </c:pt>
                <c:pt idx="81">
                  <c:v>0.1073708050236772</c:v>
                </c:pt>
                <c:pt idx="82">
                  <c:v>0.1073708050236772</c:v>
                </c:pt>
                <c:pt idx="83">
                  <c:v>0.1073708050236772</c:v>
                </c:pt>
                <c:pt idx="84">
                  <c:v>0.1058271604938272</c:v>
                </c:pt>
                <c:pt idx="85">
                  <c:v>0.1058271604938272</c:v>
                </c:pt>
                <c:pt idx="86">
                  <c:v>0.1058271604938272</c:v>
                </c:pt>
                <c:pt idx="87">
                  <c:v>0.1058271604938272</c:v>
                </c:pt>
                <c:pt idx="88">
                  <c:v>9.9421084704448506E-2</c:v>
                </c:pt>
                <c:pt idx="89">
                  <c:v>9.9421084704448506E-2</c:v>
                </c:pt>
                <c:pt idx="90">
                  <c:v>9.9421084704448506E-2</c:v>
                </c:pt>
                <c:pt idx="91">
                  <c:v>9.9421084704448506E-2</c:v>
                </c:pt>
                <c:pt idx="92">
                  <c:v>0.1132453544983484</c:v>
                </c:pt>
                <c:pt idx="93">
                  <c:v>0.1132453544983484</c:v>
                </c:pt>
                <c:pt idx="94">
                  <c:v>0.1132453544983484</c:v>
                </c:pt>
                <c:pt idx="95">
                  <c:v>0.1132453544983484</c:v>
                </c:pt>
                <c:pt idx="96">
                  <c:v>0.14071954748750329</c:v>
                </c:pt>
                <c:pt idx="97">
                  <c:v>0.14071954748750329</c:v>
                </c:pt>
                <c:pt idx="98">
                  <c:v>0.14071954748750329</c:v>
                </c:pt>
                <c:pt idx="99">
                  <c:v>0.14071954748750329</c:v>
                </c:pt>
                <c:pt idx="100">
                  <c:v>0.14533763099499511</c:v>
                </c:pt>
                <c:pt idx="101">
                  <c:v>0.14533763099499511</c:v>
                </c:pt>
                <c:pt idx="102">
                  <c:v>0.14533763099499511</c:v>
                </c:pt>
                <c:pt idx="103">
                  <c:v>0.14533763099499511</c:v>
                </c:pt>
                <c:pt idx="104">
                  <c:v>0.16587155074328949</c:v>
                </c:pt>
                <c:pt idx="105">
                  <c:v>0.16587155074328949</c:v>
                </c:pt>
                <c:pt idx="106">
                  <c:v>0.16587155074328949</c:v>
                </c:pt>
                <c:pt idx="107">
                  <c:v>0.16587155074328949</c:v>
                </c:pt>
                <c:pt idx="108">
                  <c:v>0.16207230967799771</c:v>
                </c:pt>
                <c:pt idx="109">
                  <c:v>0.16207230967799771</c:v>
                </c:pt>
                <c:pt idx="110">
                  <c:v>0.16207230967799771</c:v>
                </c:pt>
                <c:pt idx="111">
                  <c:v>0.16207230967799771</c:v>
                </c:pt>
                <c:pt idx="112">
                  <c:v>0.1686231784194008</c:v>
                </c:pt>
                <c:pt idx="113">
                  <c:v>0.1686231784194008</c:v>
                </c:pt>
                <c:pt idx="114">
                  <c:v>0.1686231784194008</c:v>
                </c:pt>
                <c:pt idx="115">
                  <c:v>0.1686231784194008</c:v>
                </c:pt>
                <c:pt idx="116">
                  <c:v>0.17349510563338269</c:v>
                </c:pt>
                <c:pt idx="117">
                  <c:v>0.17349510563338269</c:v>
                </c:pt>
                <c:pt idx="118">
                  <c:v>0.17349510563338269</c:v>
                </c:pt>
                <c:pt idx="119">
                  <c:v>0.17349510563338269</c:v>
                </c:pt>
                <c:pt idx="120">
                  <c:v>0.18372354991229151</c:v>
                </c:pt>
                <c:pt idx="121">
                  <c:v>0.18372354991229151</c:v>
                </c:pt>
                <c:pt idx="122">
                  <c:v>0.18372354991229151</c:v>
                </c:pt>
                <c:pt idx="123">
                  <c:v>0.18372354991229151</c:v>
                </c:pt>
                <c:pt idx="124">
                  <c:v>0.3780372329247822</c:v>
                </c:pt>
                <c:pt idx="125">
                  <c:v>0.3780372329247822</c:v>
                </c:pt>
                <c:pt idx="126">
                  <c:v>0.3780372329247822</c:v>
                </c:pt>
                <c:pt idx="127">
                  <c:v>0.3780372329247822</c:v>
                </c:pt>
                <c:pt idx="128">
                  <c:v>0.19515385353486889</c:v>
                </c:pt>
                <c:pt idx="129">
                  <c:v>0.19515385353486889</c:v>
                </c:pt>
                <c:pt idx="130">
                  <c:v>0.19515385353486889</c:v>
                </c:pt>
                <c:pt idx="131">
                  <c:v>0.19515385353486889</c:v>
                </c:pt>
                <c:pt idx="132">
                  <c:v>0.25178245429196833</c:v>
                </c:pt>
                <c:pt idx="133">
                  <c:v>0.25178245429196833</c:v>
                </c:pt>
                <c:pt idx="134">
                  <c:v>0.25178245429196833</c:v>
                </c:pt>
                <c:pt idx="135">
                  <c:v>0.25178245429196833</c:v>
                </c:pt>
                <c:pt idx="136">
                  <c:v>0.19374804262614681</c:v>
                </c:pt>
                <c:pt idx="137">
                  <c:v>0.19374804262614681</c:v>
                </c:pt>
                <c:pt idx="138">
                  <c:v>0.19374804262614681</c:v>
                </c:pt>
                <c:pt idx="139">
                  <c:v>0.19374804262614681</c:v>
                </c:pt>
                <c:pt idx="140">
                  <c:v>9.6012028645875991E-2</c:v>
                </c:pt>
                <c:pt idx="141">
                  <c:v>9.6012028645875991E-2</c:v>
                </c:pt>
                <c:pt idx="142">
                  <c:v>9.6012028645875991E-2</c:v>
                </c:pt>
                <c:pt idx="143">
                  <c:v>9.6012028645875991E-2</c:v>
                </c:pt>
                <c:pt idx="144">
                  <c:v>0.15574566778244739</c:v>
                </c:pt>
                <c:pt idx="145">
                  <c:v>0.15574566778244739</c:v>
                </c:pt>
                <c:pt idx="146">
                  <c:v>0.15574566778244739</c:v>
                </c:pt>
                <c:pt idx="147">
                  <c:v>0.15574566778244739</c:v>
                </c:pt>
                <c:pt idx="148">
                  <c:v>0.12785786405169189</c:v>
                </c:pt>
                <c:pt idx="149">
                  <c:v>0.12785786405169189</c:v>
                </c:pt>
                <c:pt idx="150">
                  <c:v>0.12785786405169189</c:v>
                </c:pt>
                <c:pt idx="151">
                  <c:v>0.12785786405169189</c:v>
                </c:pt>
                <c:pt idx="152">
                  <c:v>0.12232868683850651</c:v>
                </c:pt>
                <c:pt idx="153">
                  <c:v>0.12232868683850651</c:v>
                </c:pt>
                <c:pt idx="154">
                  <c:v>0.12232868683850651</c:v>
                </c:pt>
                <c:pt idx="155">
                  <c:v>0.12232868683850651</c:v>
                </c:pt>
                <c:pt idx="156">
                  <c:v>0.1070949889392518</c:v>
                </c:pt>
                <c:pt idx="157">
                  <c:v>0.1070949889392518</c:v>
                </c:pt>
                <c:pt idx="158">
                  <c:v>0.1070949889392518</c:v>
                </c:pt>
                <c:pt idx="159">
                  <c:v>0.1070949889392518</c:v>
                </c:pt>
                <c:pt idx="160">
                  <c:v>0.1181932096010781</c:v>
                </c:pt>
                <c:pt idx="161">
                  <c:v>0.1181932096010781</c:v>
                </c:pt>
                <c:pt idx="162">
                  <c:v>0.1181932096010781</c:v>
                </c:pt>
                <c:pt idx="163">
                  <c:v>0.1181932096010781</c:v>
                </c:pt>
                <c:pt idx="164">
                  <c:v>0.118071592713761</c:v>
                </c:pt>
                <c:pt idx="165">
                  <c:v>0.118071592713761</c:v>
                </c:pt>
                <c:pt idx="166">
                  <c:v>0.118071592713761</c:v>
                </c:pt>
                <c:pt idx="167">
                  <c:v>0.118071592713761</c:v>
                </c:pt>
                <c:pt idx="168">
                  <c:v>0.18034013840432031</c:v>
                </c:pt>
                <c:pt idx="169">
                  <c:v>0.18034013840432031</c:v>
                </c:pt>
                <c:pt idx="170">
                  <c:v>0.18034013840432031</c:v>
                </c:pt>
                <c:pt idx="171">
                  <c:v>0.18034013840432031</c:v>
                </c:pt>
                <c:pt idx="172">
                  <c:v>0.17060593737291579</c:v>
                </c:pt>
                <c:pt idx="173">
                  <c:v>0.17060593737291579</c:v>
                </c:pt>
                <c:pt idx="174">
                  <c:v>0.17060593737291579</c:v>
                </c:pt>
                <c:pt idx="175">
                  <c:v>0.17060593737291579</c:v>
                </c:pt>
                <c:pt idx="176">
                  <c:v>0.1723953161408304</c:v>
                </c:pt>
                <c:pt idx="177">
                  <c:v>0.1723953161408304</c:v>
                </c:pt>
                <c:pt idx="178">
                  <c:v>0.1723953161408304</c:v>
                </c:pt>
                <c:pt idx="179">
                  <c:v>0.1723953161408304</c:v>
                </c:pt>
                <c:pt idx="180">
                  <c:v>0.16855357686097391</c:v>
                </c:pt>
                <c:pt idx="181">
                  <c:v>0.16855357686097391</c:v>
                </c:pt>
                <c:pt idx="182">
                  <c:v>0.16855357686097391</c:v>
                </c:pt>
                <c:pt idx="183">
                  <c:v>0.16855357686097391</c:v>
                </c:pt>
                <c:pt idx="184">
                  <c:v>0.16819795598684001</c:v>
                </c:pt>
                <c:pt idx="185">
                  <c:v>0.16819795598684001</c:v>
                </c:pt>
                <c:pt idx="186">
                  <c:v>0.16819795598684001</c:v>
                </c:pt>
                <c:pt idx="187">
                  <c:v>0.16819795598684001</c:v>
                </c:pt>
                <c:pt idx="188">
                  <c:v>0.14810212813728671</c:v>
                </c:pt>
                <c:pt idx="189">
                  <c:v>0.14810212813728671</c:v>
                </c:pt>
                <c:pt idx="190">
                  <c:v>0.14810212813728671</c:v>
                </c:pt>
                <c:pt idx="191">
                  <c:v>0.14810212813728671</c:v>
                </c:pt>
                <c:pt idx="192">
                  <c:v>0.15193398171114969</c:v>
                </c:pt>
                <c:pt idx="193">
                  <c:v>0.15193398171114969</c:v>
                </c:pt>
                <c:pt idx="194">
                  <c:v>0.15193398171114969</c:v>
                </c:pt>
                <c:pt idx="195">
                  <c:v>0.15193398171114969</c:v>
                </c:pt>
                <c:pt idx="196">
                  <c:v>0.14461475316746991</c:v>
                </c:pt>
                <c:pt idx="197">
                  <c:v>0.14461475316746991</c:v>
                </c:pt>
                <c:pt idx="198">
                  <c:v>0.14461475316746991</c:v>
                </c:pt>
                <c:pt idx="199">
                  <c:v>0.14461475316746991</c:v>
                </c:pt>
                <c:pt idx="200">
                  <c:v>0.13707314166650111</c:v>
                </c:pt>
                <c:pt idx="201">
                  <c:v>0.13707314166650111</c:v>
                </c:pt>
                <c:pt idx="202">
                  <c:v>0.13707314166650111</c:v>
                </c:pt>
                <c:pt idx="203">
                  <c:v>0.13707314166650111</c:v>
                </c:pt>
                <c:pt idx="204">
                  <c:v>8.6782381012711671E-2</c:v>
                </c:pt>
                <c:pt idx="205">
                  <c:v>8.6782381012711671E-2</c:v>
                </c:pt>
                <c:pt idx="206">
                  <c:v>8.6782381012711671E-2</c:v>
                </c:pt>
                <c:pt idx="207">
                  <c:v>8.6782381012711671E-2</c:v>
                </c:pt>
              </c:numCache>
            </c:numRef>
          </c:xVal>
          <c:yVal>
            <c:numRef>
              <c:f>data_ict_share_since2020!$G$2:$G$209</c:f>
              <c:numCache>
                <c:formatCode>General</c:formatCode>
                <c:ptCount val="208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-5.8720213186906536</c:v>
                </c:pt>
                <c:pt idx="21">
                  <c:v>3.5084821711300487</c:v>
                </c:pt>
                <c:pt idx="22">
                  <c:v>-6.1107535820139915</c:v>
                </c:pt>
                <c:pt idx="23">
                  <c:v>2.2459230282070131</c:v>
                </c:pt>
                <c:pt idx="24">
                  <c:v>1.9428126002794937</c:v>
                </c:pt>
                <c:pt idx="25">
                  <c:v>8.311464590272255E-2</c:v>
                </c:pt>
                <c:pt idx="26">
                  <c:v>-0.62319540430046239</c:v>
                </c:pt>
                <c:pt idx="27">
                  <c:v>1.5244104334755164</c:v>
                </c:pt>
                <c:pt idx="28">
                  <c:v>1.2985802285253398</c:v>
                </c:pt>
                <c:pt idx="29">
                  <c:v>1.1286019302321901</c:v>
                </c:pt>
                <c:pt idx="30">
                  <c:v>0.27459955625362209</c:v>
                </c:pt>
                <c:pt idx="31">
                  <c:v>1.9291371195943738</c:v>
                </c:pt>
                <c:pt idx="32">
                  <c:v>1.3883640898298362</c:v>
                </c:pt>
                <c:pt idx="33">
                  <c:v>0.10822182527690605</c:v>
                </c:pt>
                <c:pt idx="34">
                  <c:v>-0.22744129975502081</c:v>
                </c:pt>
                <c:pt idx="35">
                  <c:v>0.3161099745136402</c:v>
                </c:pt>
                <c:pt idx="36">
                  <c:v>-0.27505597868087905</c:v>
                </c:pt>
                <c:pt idx="37">
                  <c:v>-5.2551522415263063E-2</c:v>
                </c:pt>
                <c:pt idx="38">
                  <c:v>-0.26942607773384397</c:v>
                </c:pt>
                <c:pt idx="39">
                  <c:v>-0.18241471680150112</c:v>
                </c:pt>
                <c:pt idx="40">
                  <c:v>-5.5117432414984107</c:v>
                </c:pt>
                <c:pt idx="41">
                  <c:v>1.0663028045156304</c:v>
                </c:pt>
                <c:pt idx="42">
                  <c:v>-6.0477828073613109</c:v>
                </c:pt>
                <c:pt idx="43">
                  <c:v>1.9676759169072984</c:v>
                </c:pt>
                <c:pt idx="44">
                  <c:v>0.31461082759038206</c:v>
                </c:pt>
                <c:pt idx="45">
                  <c:v>1.097113718613111</c:v>
                </c:pt>
                <c:pt idx="46">
                  <c:v>-2.0409268972643462</c:v>
                </c:pt>
                <c:pt idx="47">
                  <c:v>0.42604586480458417</c:v>
                </c:pt>
                <c:pt idx="48">
                  <c:v>-2.6609443169839953</c:v>
                </c:pt>
                <c:pt idx="49">
                  <c:v>0.37338056935970299</c:v>
                </c:pt>
                <c:pt idx="50">
                  <c:v>-2.1229358469342294</c:v>
                </c:pt>
                <c:pt idx="51">
                  <c:v>0.37386578423211692</c:v>
                </c:pt>
                <c:pt idx="52">
                  <c:v>-0.19093583944082815</c:v>
                </c:pt>
                <c:pt idx="53">
                  <c:v>-0.54354189717324675</c:v>
                </c:pt>
                <c:pt idx="54">
                  <c:v>-3.2259227434105444</c:v>
                </c:pt>
                <c:pt idx="55">
                  <c:v>-1.0064641370532392</c:v>
                </c:pt>
                <c:pt idx="56">
                  <c:v>-0.76398245054191438</c:v>
                </c:pt>
                <c:pt idx="57">
                  <c:v>0.15197449145164205</c:v>
                </c:pt>
                <c:pt idx="58">
                  <c:v>-1.3181654375038181</c:v>
                </c:pt>
                <c:pt idx="59">
                  <c:v>-8.7013171124686664E-2</c:v>
                </c:pt>
                <c:pt idx="60">
                  <c:v>-13.076741440445701</c:v>
                </c:pt>
                <c:pt idx="61">
                  <c:v>0.82436876065597886</c:v>
                </c:pt>
                <c:pt idx="62">
                  <c:v>-13.449524977065238</c:v>
                </c:pt>
                <c:pt idx="63">
                  <c:v>-2.2018192403305132</c:v>
                </c:pt>
                <c:pt idx="64">
                  <c:v>1.1184606927194407</c:v>
                </c:pt>
                <c:pt idx="65">
                  <c:v>1.8458632295773425</c:v>
                </c:pt>
                <c:pt idx="66">
                  <c:v>-0.50686163990971256</c:v>
                </c:pt>
                <c:pt idx="67">
                  <c:v>0.58806104979523433</c:v>
                </c:pt>
                <c:pt idx="68">
                  <c:v>0.64788894209388648</c:v>
                </c:pt>
                <c:pt idx="69">
                  <c:v>1.6280433106379038</c:v>
                </c:pt>
                <c:pt idx="70">
                  <c:v>-0.60227924273788158</c:v>
                </c:pt>
                <c:pt idx="71">
                  <c:v>2.149623075816363</c:v>
                </c:pt>
                <c:pt idx="72">
                  <c:v>1.4759385035830395</c:v>
                </c:pt>
                <c:pt idx="73">
                  <c:v>6.5493966740925114E-2</c:v>
                </c:pt>
                <c:pt idx="74">
                  <c:v>-0.94199003346141597</c:v>
                </c:pt>
                <c:pt idx="75">
                  <c:v>0.49429728762396685</c:v>
                </c:pt>
                <c:pt idx="76">
                  <c:v>1.7363603942146351</c:v>
                </c:pt>
                <c:pt idx="77">
                  <c:v>0.42996620634170712</c:v>
                </c:pt>
                <c:pt idx="78">
                  <c:v>1.432026290013092</c:v>
                </c:pt>
                <c:pt idx="79">
                  <c:v>1.2521726761369569</c:v>
                </c:pt>
                <c:pt idx="80">
                  <c:v>-3.6230506117637438</c:v>
                </c:pt>
                <c:pt idx="81">
                  <c:v>1.7496128021536563</c:v>
                </c:pt>
                <c:pt idx="82">
                  <c:v>-3.6875295267387962</c:v>
                </c:pt>
                <c:pt idx="83">
                  <c:v>3.812344683053138</c:v>
                </c:pt>
                <c:pt idx="84">
                  <c:v>-0.25859743194969287</c:v>
                </c:pt>
                <c:pt idx="85">
                  <c:v>-0.76255561777172076</c:v>
                </c:pt>
                <c:pt idx="86">
                  <c:v>-1.0319888097993339</c:v>
                </c:pt>
                <c:pt idx="87">
                  <c:v>-9.7992979043315831E-2</c:v>
                </c:pt>
                <c:pt idx="88">
                  <c:v>-2.0671616710759921</c:v>
                </c:pt>
                <c:pt idx="89">
                  <c:v>-1.5677906220824354</c:v>
                </c:pt>
                <c:pt idx="90">
                  <c:v>-1.9916383255658392</c:v>
                </c:pt>
                <c:pt idx="91">
                  <c:v>-0.84304938846227129</c:v>
                </c:pt>
                <c:pt idx="92">
                  <c:v>-1.5379932664356266</c:v>
                </c:pt>
                <c:pt idx="93">
                  <c:v>-1.4350651524638591</c:v>
                </c:pt>
                <c:pt idx="94">
                  <c:v>-2.96232576895608</c:v>
                </c:pt>
                <c:pt idx="95">
                  <c:v>-1.4958963214910126</c:v>
                </c:pt>
                <c:pt idx="96">
                  <c:v>5.5454419377964248E-2</c:v>
                </c:pt>
                <c:pt idx="97">
                  <c:v>1.1596069734324581</c:v>
                </c:pt>
                <c:pt idx="98">
                  <c:v>-0.49398677856419337</c:v>
                </c:pt>
                <c:pt idx="99">
                  <c:v>0.84187322906342721</c:v>
                </c:pt>
                <c:pt idx="100">
                  <c:v>-0.74460636681637882</c:v>
                </c:pt>
                <c:pt idx="101">
                  <c:v>0.72418125285179868</c:v>
                </c:pt>
                <c:pt idx="102">
                  <c:v>-0.5607547780382397</c:v>
                </c:pt>
                <c:pt idx="103">
                  <c:v>-0.17606213387669556</c:v>
                </c:pt>
                <c:pt idx="104">
                  <c:v>-9.1974015560336042</c:v>
                </c:pt>
                <c:pt idx="105">
                  <c:v>1.4391287067798215</c:v>
                </c:pt>
                <c:pt idx="106">
                  <c:v>-9.4157638701608679</c:v>
                </c:pt>
                <c:pt idx="107">
                  <c:v>0.33628419121901221</c:v>
                </c:pt>
                <c:pt idx="108">
                  <c:v>0.77492257463683512</c:v>
                </c:pt>
                <c:pt idx="109">
                  <c:v>2.7609048047935403E-2</c:v>
                </c:pt>
                <c:pt idx="110">
                  <c:v>-0.83094601408312574</c:v>
                </c:pt>
                <c:pt idx="111">
                  <c:v>0.85548580385178141</c:v>
                </c:pt>
                <c:pt idx="112">
                  <c:v>-1.0044763978131481</c:v>
                </c:pt>
                <c:pt idx="113">
                  <c:v>0.13221272000764106</c:v>
                </c:pt>
                <c:pt idx="114">
                  <c:v>-1.4498059135976793</c:v>
                </c:pt>
                <c:pt idx="115">
                  <c:v>-0.33728125818969223</c:v>
                </c:pt>
                <c:pt idx="116">
                  <c:v>1.362740568589244</c:v>
                </c:pt>
                <c:pt idx="117">
                  <c:v>0.799970788141108</c:v>
                </c:pt>
                <c:pt idx="118">
                  <c:v>3.3137959113811011E-2</c:v>
                </c:pt>
                <c:pt idx="119">
                  <c:v>1.0779868195341884</c:v>
                </c:pt>
                <c:pt idx="120">
                  <c:v>0.16738745154850099</c:v>
                </c:pt>
                <c:pt idx="121">
                  <c:v>0.27545247469052403</c:v>
                </c:pt>
                <c:pt idx="122">
                  <c:v>-4.1217278471559204E-3</c:v>
                </c:pt>
                <c:pt idx="123">
                  <c:v>0.68596377940700104</c:v>
                </c:pt>
                <c:pt idx="124">
                  <c:v>3.4578095605905887</c:v>
                </c:pt>
                <c:pt idx="125">
                  <c:v>9.3237810475628535</c:v>
                </c:pt>
                <c:pt idx="126">
                  <c:v>3.6187658069427835</c:v>
                </c:pt>
                <c:pt idx="127">
                  <c:v>14.933429444226089</c:v>
                </c:pt>
                <c:pt idx="128">
                  <c:v>12.176886461707223</c:v>
                </c:pt>
                <c:pt idx="129">
                  <c:v>0.5617185951764796</c:v>
                </c:pt>
                <c:pt idx="130">
                  <c:v>9.0402581837302627</c:v>
                </c:pt>
                <c:pt idx="131">
                  <c:v>10.52537395238202</c:v>
                </c:pt>
                <c:pt idx="132">
                  <c:v>2.8975720388514441</c:v>
                </c:pt>
                <c:pt idx="133">
                  <c:v>0.11836057066008809</c:v>
                </c:pt>
                <c:pt idx="134">
                  <c:v>3.0134574969968924</c:v>
                </c:pt>
                <c:pt idx="135">
                  <c:v>2.607758140674961</c:v>
                </c:pt>
                <c:pt idx="136">
                  <c:v>-6.6927658082332888</c:v>
                </c:pt>
                <c:pt idx="137">
                  <c:v>-2.5855542962976177</c:v>
                </c:pt>
                <c:pt idx="138">
                  <c:v>-7.955341703093274</c:v>
                </c:pt>
                <c:pt idx="139">
                  <c:v>-9.0375833468898072</c:v>
                </c:pt>
                <c:pt idx="140">
                  <c:v>0.57631554946716701</c:v>
                </c:pt>
                <c:pt idx="141">
                  <c:v>4.1610059157908612</c:v>
                </c:pt>
                <c:pt idx="142">
                  <c:v>-1.3475656933011551</c:v>
                </c:pt>
                <c:pt idx="143">
                  <c:v>2.3766670965922447</c:v>
                </c:pt>
                <c:pt idx="144">
                  <c:v>-9.8107396813353134</c:v>
                </c:pt>
                <c:pt idx="145">
                  <c:v>0.47316871767660729</c:v>
                </c:pt>
                <c:pt idx="146">
                  <c:v>-10.090165875589653</c:v>
                </c:pt>
                <c:pt idx="147">
                  <c:v>0.13961409785200196</c:v>
                </c:pt>
                <c:pt idx="148">
                  <c:v>4.3860333621503482</c:v>
                </c:pt>
                <c:pt idx="149">
                  <c:v>2.2077938630119469</c:v>
                </c:pt>
                <c:pt idx="150">
                  <c:v>1.8874102730208113</c:v>
                </c:pt>
                <c:pt idx="151">
                  <c:v>4.2301947873575489</c:v>
                </c:pt>
                <c:pt idx="152">
                  <c:v>0.58569431791028492</c:v>
                </c:pt>
                <c:pt idx="153">
                  <c:v>1.0277214587440522</c:v>
                </c:pt>
                <c:pt idx="154">
                  <c:v>0.46115485843316062</c:v>
                </c:pt>
                <c:pt idx="155">
                  <c:v>2.428959206215525</c:v>
                </c:pt>
                <c:pt idx="156">
                  <c:v>0.69953692902983344</c:v>
                </c:pt>
                <c:pt idx="157">
                  <c:v>0.3227009071263518</c:v>
                </c:pt>
                <c:pt idx="158">
                  <c:v>-0.83701733507933507</c:v>
                </c:pt>
                <c:pt idx="159">
                  <c:v>-0.19232404471208708</c:v>
                </c:pt>
                <c:pt idx="160">
                  <c:v>-0.26756306953106568</c:v>
                </c:pt>
                <c:pt idx="161">
                  <c:v>-8.4118151145665343E-2</c:v>
                </c:pt>
                <c:pt idx="162">
                  <c:v>-0.50358721299028975</c:v>
                </c:pt>
                <c:pt idx="163">
                  <c:v>-0.35185080229070154</c:v>
                </c:pt>
                <c:pt idx="164">
                  <c:v>-0.37629081703927114</c:v>
                </c:pt>
                <c:pt idx="165">
                  <c:v>0.30154220637721435</c:v>
                </c:pt>
                <c:pt idx="166">
                  <c:v>-0.43658647742987933</c:v>
                </c:pt>
                <c:pt idx="167">
                  <c:v>-3.1208783804359541E-3</c:v>
                </c:pt>
                <c:pt idx="168">
                  <c:v>-5.1870723493020137</c:v>
                </c:pt>
                <c:pt idx="169">
                  <c:v>1.4182708153157462</c:v>
                </c:pt>
                <c:pt idx="170">
                  <c:v>-5.5233877578965265</c:v>
                </c:pt>
                <c:pt idx="171">
                  <c:v>2.9439454385808403</c:v>
                </c:pt>
                <c:pt idx="172">
                  <c:v>3.8584405374490256</c:v>
                </c:pt>
                <c:pt idx="173">
                  <c:v>2.0469395382772038</c:v>
                </c:pt>
                <c:pt idx="174">
                  <c:v>1.0561243309838426</c:v>
                </c:pt>
                <c:pt idx="175">
                  <c:v>3.6815274398948827</c:v>
                </c:pt>
                <c:pt idx="176">
                  <c:v>1.5403141268462113</c:v>
                </c:pt>
                <c:pt idx="177">
                  <c:v>0.24027154732824307</c:v>
                </c:pt>
                <c:pt idx="178">
                  <c:v>1.3102425391146273</c:v>
                </c:pt>
                <c:pt idx="179">
                  <c:v>1.6179605359437201</c:v>
                </c:pt>
                <c:pt idx="180">
                  <c:v>-1.2332667915025379</c:v>
                </c:pt>
                <c:pt idx="181">
                  <c:v>-1.1646182848044611</c:v>
                </c:pt>
                <c:pt idx="182">
                  <c:v>-2.1529435732412807</c:v>
                </c:pt>
                <c:pt idx="183">
                  <c:v>-2.3856877313900817</c:v>
                </c:pt>
                <c:pt idx="184">
                  <c:v>-3.2333375546518051E-2</c:v>
                </c:pt>
                <c:pt idx="185">
                  <c:v>0.21729749415612565</c:v>
                </c:pt>
                <c:pt idx="186">
                  <c:v>-0.12243536174728198</c:v>
                </c:pt>
                <c:pt idx="187">
                  <c:v>0.2982196320767394</c:v>
                </c:pt>
                <c:pt idx="188">
                  <c:v>-10.260788720529403</c:v>
                </c:pt>
                <c:pt idx="189">
                  <c:v>0.72965359060849089</c:v>
                </c:pt>
                <c:pt idx="190">
                  <c:v>-10.276302834282514</c:v>
                </c:pt>
                <c:pt idx="191">
                  <c:v>-1.7957222419949357</c:v>
                </c:pt>
                <c:pt idx="192">
                  <c:v>4.9176366349780842E-2</c:v>
                </c:pt>
                <c:pt idx="193">
                  <c:v>0.86703084261086261</c:v>
                </c:pt>
                <c:pt idx="194">
                  <c:v>-0.40807185936133461</c:v>
                </c:pt>
                <c:pt idx="195">
                  <c:v>1.46572942535055</c:v>
                </c:pt>
                <c:pt idx="196">
                  <c:v>1.4313467273622811</c:v>
                </c:pt>
                <c:pt idx="197">
                  <c:v>0.16648728936240431</c:v>
                </c:pt>
                <c:pt idx="198">
                  <c:v>1.65373321511687</c:v>
                </c:pt>
                <c:pt idx="199">
                  <c:v>0.94714374205589991</c:v>
                </c:pt>
                <c:pt idx="200">
                  <c:v>2.3359588026966547</c:v>
                </c:pt>
                <c:pt idx="201">
                  <c:v>0.82603710498769489</c:v>
                </c:pt>
                <c:pt idx="202">
                  <c:v>0.39242832347734202</c:v>
                </c:pt>
                <c:pt idx="203">
                  <c:v>0.61415875922665375</c:v>
                </c:pt>
                <c:pt idx="204">
                  <c:v>0.877059487557313</c:v>
                </c:pt>
                <c:pt idx="205">
                  <c:v>0.53893400861308405</c:v>
                </c:pt>
                <c:pt idx="206">
                  <c:v>0.43349115215204903</c:v>
                </c:pt>
                <c:pt idx="207">
                  <c:v>0.45622753459714716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4-4257-A22B-C4FCD3C82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ICT investment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data_ict_share_till2019!$H$2:$H$341</c:f>
              <c:numCache>
                <c:formatCode>General</c:formatCode>
                <c:ptCount val="340"/>
                <c:pt idx="0">
                  <c:v>0.1467147589337007</c:v>
                </c:pt>
                <c:pt idx="1">
                  <c:v>0.1467147589337007</c:v>
                </c:pt>
                <c:pt idx="2">
                  <c:v>0.14263754713345991</c:v>
                </c:pt>
                <c:pt idx="3">
                  <c:v>0.14263754713345991</c:v>
                </c:pt>
                <c:pt idx="4">
                  <c:v>0.14263754713345991</c:v>
                </c:pt>
                <c:pt idx="5">
                  <c:v>0.14263754713345991</c:v>
                </c:pt>
                <c:pt idx="6">
                  <c:v>0.14779517232352959</c:v>
                </c:pt>
                <c:pt idx="7">
                  <c:v>0.14779517232352959</c:v>
                </c:pt>
                <c:pt idx="8">
                  <c:v>0.14779517232352959</c:v>
                </c:pt>
                <c:pt idx="9">
                  <c:v>0.14779517232352959</c:v>
                </c:pt>
                <c:pt idx="10">
                  <c:v>0.1428833334652285</c:v>
                </c:pt>
                <c:pt idx="11">
                  <c:v>0.1428833334652285</c:v>
                </c:pt>
                <c:pt idx="12">
                  <c:v>0.1428833334652285</c:v>
                </c:pt>
                <c:pt idx="13">
                  <c:v>0.1428833334652285</c:v>
                </c:pt>
                <c:pt idx="14">
                  <c:v>0.1551594480824991</c:v>
                </c:pt>
                <c:pt idx="15">
                  <c:v>0.1551594480824991</c:v>
                </c:pt>
                <c:pt idx="16">
                  <c:v>0.1551594480824991</c:v>
                </c:pt>
                <c:pt idx="17">
                  <c:v>0.1551594480824991</c:v>
                </c:pt>
                <c:pt idx="18">
                  <c:v>0.15546366398225389</c:v>
                </c:pt>
                <c:pt idx="19">
                  <c:v>0.15546366398225389</c:v>
                </c:pt>
                <c:pt idx="20">
                  <c:v>0.15546366398225389</c:v>
                </c:pt>
                <c:pt idx="21">
                  <c:v>0.15546366398225389</c:v>
                </c:pt>
                <c:pt idx="22">
                  <c:v>0.1514119442963342</c:v>
                </c:pt>
                <c:pt idx="23">
                  <c:v>0.1514119442963342</c:v>
                </c:pt>
                <c:pt idx="24">
                  <c:v>0.1514119442963342</c:v>
                </c:pt>
                <c:pt idx="25">
                  <c:v>0.1514119442963342</c:v>
                </c:pt>
                <c:pt idx="26">
                  <c:v>0.15970830024254651</c:v>
                </c:pt>
                <c:pt idx="27">
                  <c:v>0.15970830024254651</c:v>
                </c:pt>
                <c:pt idx="28">
                  <c:v>0.15970830024254651</c:v>
                </c:pt>
                <c:pt idx="29">
                  <c:v>0.15970830024254651</c:v>
                </c:pt>
                <c:pt idx="30">
                  <c:v>0.16885807361071789</c:v>
                </c:pt>
                <c:pt idx="31">
                  <c:v>0.16885807361071789</c:v>
                </c:pt>
                <c:pt idx="32">
                  <c:v>0.16885807361071789</c:v>
                </c:pt>
                <c:pt idx="33">
                  <c:v>0.16885807361071789</c:v>
                </c:pt>
                <c:pt idx="34">
                  <c:v>0.1338718964364701</c:v>
                </c:pt>
                <c:pt idx="35">
                  <c:v>0.1338718964364701</c:v>
                </c:pt>
                <c:pt idx="36">
                  <c:v>0.1344566572698688</c:v>
                </c:pt>
                <c:pt idx="37">
                  <c:v>0.1344566572698688</c:v>
                </c:pt>
                <c:pt idx="38">
                  <c:v>0.1344566572698688</c:v>
                </c:pt>
                <c:pt idx="39">
                  <c:v>0.1344566572698688</c:v>
                </c:pt>
                <c:pt idx="40">
                  <c:v>0.14066013500993929</c:v>
                </c:pt>
                <c:pt idx="41">
                  <c:v>0.14066013500993929</c:v>
                </c:pt>
                <c:pt idx="42">
                  <c:v>0.14066013500993929</c:v>
                </c:pt>
                <c:pt idx="43">
                  <c:v>0.14066013500993929</c:v>
                </c:pt>
                <c:pt idx="44">
                  <c:v>0.13813216110499679</c:v>
                </c:pt>
                <c:pt idx="45">
                  <c:v>0.13813216110499679</c:v>
                </c:pt>
                <c:pt idx="46">
                  <c:v>0.13813216110499679</c:v>
                </c:pt>
                <c:pt idx="47">
                  <c:v>0.13813216110499679</c:v>
                </c:pt>
                <c:pt idx="48">
                  <c:v>0.13227337787003421</c:v>
                </c:pt>
                <c:pt idx="49">
                  <c:v>0.13227337787003421</c:v>
                </c:pt>
                <c:pt idx="50">
                  <c:v>0.13227337787003421</c:v>
                </c:pt>
                <c:pt idx="51">
                  <c:v>0.13227337787003421</c:v>
                </c:pt>
                <c:pt idx="52">
                  <c:v>0.13260173436388301</c:v>
                </c:pt>
                <c:pt idx="53">
                  <c:v>0.13260173436388301</c:v>
                </c:pt>
                <c:pt idx="54">
                  <c:v>0.13260173436388301</c:v>
                </c:pt>
                <c:pt idx="55">
                  <c:v>0.13260173436388301</c:v>
                </c:pt>
                <c:pt idx="56">
                  <c:v>0.1392873283304116</c:v>
                </c:pt>
                <c:pt idx="57">
                  <c:v>0.1392873283304116</c:v>
                </c:pt>
                <c:pt idx="58">
                  <c:v>0.1392873283304116</c:v>
                </c:pt>
                <c:pt idx="59">
                  <c:v>0.1392873283304116</c:v>
                </c:pt>
                <c:pt idx="60">
                  <c:v>0.13952240899050841</c:v>
                </c:pt>
                <c:pt idx="61">
                  <c:v>0.13952240899050841</c:v>
                </c:pt>
                <c:pt idx="62">
                  <c:v>0.13952240899050841</c:v>
                </c:pt>
                <c:pt idx="63">
                  <c:v>0.13952240899050841</c:v>
                </c:pt>
                <c:pt idx="64">
                  <c:v>0.14138633599396769</c:v>
                </c:pt>
                <c:pt idx="65">
                  <c:v>0.14138633599396769</c:v>
                </c:pt>
                <c:pt idx="66">
                  <c:v>0.14138633599396769</c:v>
                </c:pt>
                <c:pt idx="67">
                  <c:v>0.14138633599396769</c:v>
                </c:pt>
                <c:pt idx="68">
                  <c:v>8.5987208995551345E-2</c:v>
                </c:pt>
                <c:pt idx="69">
                  <c:v>8.5987208995551345E-2</c:v>
                </c:pt>
                <c:pt idx="70">
                  <c:v>7.9699344978556588E-2</c:v>
                </c:pt>
                <c:pt idx="71">
                  <c:v>7.9699344978556588E-2</c:v>
                </c:pt>
                <c:pt idx="72">
                  <c:v>7.9699344978556588E-2</c:v>
                </c:pt>
                <c:pt idx="73">
                  <c:v>7.9699344978556588E-2</c:v>
                </c:pt>
                <c:pt idx="74">
                  <c:v>7.9472535305386019E-2</c:v>
                </c:pt>
                <c:pt idx="75">
                  <c:v>7.9472535305386019E-2</c:v>
                </c:pt>
                <c:pt idx="76">
                  <c:v>7.9472535305386019E-2</c:v>
                </c:pt>
                <c:pt idx="77">
                  <c:v>7.9472535305386019E-2</c:v>
                </c:pt>
                <c:pt idx="78">
                  <c:v>8.0341460522861424E-2</c:v>
                </c:pt>
                <c:pt idx="79">
                  <c:v>8.0341460522861424E-2</c:v>
                </c:pt>
                <c:pt idx="80">
                  <c:v>8.0341460522861424E-2</c:v>
                </c:pt>
                <c:pt idx="81">
                  <c:v>8.0341460522861424E-2</c:v>
                </c:pt>
                <c:pt idx="82">
                  <c:v>8.4820190971738083E-2</c:v>
                </c:pt>
                <c:pt idx="83">
                  <c:v>8.4820190971738083E-2</c:v>
                </c:pt>
                <c:pt idx="84">
                  <c:v>8.4820190971738083E-2</c:v>
                </c:pt>
                <c:pt idx="85">
                  <c:v>8.4820190971738083E-2</c:v>
                </c:pt>
                <c:pt idx="86">
                  <c:v>8.3646788238765979E-2</c:v>
                </c:pt>
                <c:pt idx="87">
                  <c:v>8.3646788238765979E-2</c:v>
                </c:pt>
                <c:pt idx="88">
                  <c:v>8.3646788238765979E-2</c:v>
                </c:pt>
                <c:pt idx="89">
                  <c:v>8.3646788238765979E-2</c:v>
                </c:pt>
                <c:pt idx="90">
                  <c:v>8.1342778719866005E-2</c:v>
                </c:pt>
                <c:pt idx="91">
                  <c:v>8.1342778719866005E-2</c:v>
                </c:pt>
                <c:pt idx="92">
                  <c:v>8.1342778719866005E-2</c:v>
                </c:pt>
                <c:pt idx="93">
                  <c:v>8.1342778719866005E-2</c:v>
                </c:pt>
                <c:pt idx="94">
                  <c:v>8.1720008952551479E-2</c:v>
                </c:pt>
                <c:pt idx="95">
                  <c:v>8.1720008952551479E-2</c:v>
                </c:pt>
                <c:pt idx="96">
                  <c:v>8.1720008952551479E-2</c:v>
                </c:pt>
                <c:pt idx="97">
                  <c:v>8.1720008952551479E-2</c:v>
                </c:pt>
                <c:pt idx="98">
                  <c:v>8.2855752884193876E-2</c:v>
                </c:pt>
                <c:pt idx="99">
                  <c:v>8.2855752884193876E-2</c:v>
                </c:pt>
                <c:pt idx="100">
                  <c:v>8.2855752884193876E-2</c:v>
                </c:pt>
                <c:pt idx="101">
                  <c:v>8.2855752884193876E-2</c:v>
                </c:pt>
                <c:pt idx="102">
                  <c:v>0.1212304176787779</c:v>
                </c:pt>
                <c:pt idx="103">
                  <c:v>0.1212304176787779</c:v>
                </c:pt>
                <c:pt idx="104">
                  <c:v>0.13847860293548639</c:v>
                </c:pt>
                <c:pt idx="105">
                  <c:v>0.13847860293548639</c:v>
                </c:pt>
                <c:pt idx="106">
                  <c:v>0.13847860293548639</c:v>
                </c:pt>
                <c:pt idx="107">
                  <c:v>0.13847860293548639</c:v>
                </c:pt>
                <c:pt idx="108">
                  <c:v>0.13966913760817301</c:v>
                </c:pt>
                <c:pt idx="109">
                  <c:v>0.13966913760817301</c:v>
                </c:pt>
                <c:pt idx="110">
                  <c:v>0.13966913760817301</c:v>
                </c:pt>
                <c:pt idx="111">
                  <c:v>0.13966913760817301</c:v>
                </c:pt>
                <c:pt idx="112">
                  <c:v>0.1453806813935363</c:v>
                </c:pt>
                <c:pt idx="113">
                  <c:v>0.1453806813935363</c:v>
                </c:pt>
                <c:pt idx="114">
                  <c:v>0.1453806813935363</c:v>
                </c:pt>
                <c:pt idx="115">
                  <c:v>0.1453806813935363</c:v>
                </c:pt>
                <c:pt idx="116">
                  <c:v>0.15730156336399739</c:v>
                </c:pt>
                <c:pt idx="117">
                  <c:v>0.15730156336399739</c:v>
                </c:pt>
                <c:pt idx="118">
                  <c:v>0.15730156336399739</c:v>
                </c:pt>
                <c:pt idx="119">
                  <c:v>0.15730156336399739</c:v>
                </c:pt>
                <c:pt idx="120">
                  <c:v>0.15809620778610481</c:v>
                </c:pt>
                <c:pt idx="121">
                  <c:v>0.15809620778610481</c:v>
                </c:pt>
                <c:pt idx="122">
                  <c:v>0.15809620778610481</c:v>
                </c:pt>
                <c:pt idx="123">
                  <c:v>0.15809620778610481</c:v>
                </c:pt>
                <c:pt idx="124">
                  <c:v>0.1502122446396362</c:v>
                </c:pt>
                <c:pt idx="125">
                  <c:v>0.1502122446396362</c:v>
                </c:pt>
                <c:pt idx="126">
                  <c:v>0.1502122446396362</c:v>
                </c:pt>
                <c:pt idx="127">
                  <c:v>0.1502122446396362</c:v>
                </c:pt>
                <c:pt idx="128">
                  <c:v>0.1479568305506872</c:v>
                </c:pt>
                <c:pt idx="129">
                  <c:v>0.1479568305506872</c:v>
                </c:pt>
                <c:pt idx="130">
                  <c:v>0.1479568305506872</c:v>
                </c:pt>
                <c:pt idx="131">
                  <c:v>0.1479568305506872</c:v>
                </c:pt>
                <c:pt idx="132">
                  <c:v>0.14029367629612749</c:v>
                </c:pt>
                <c:pt idx="133">
                  <c:v>0.14029367629612749</c:v>
                </c:pt>
                <c:pt idx="134">
                  <c:v>0.14029367629612749</c:v>
                </c:pt>
                <c:pt idx="135">
                  <c:v>0.14029367629612749</c:v>
                </c:pt>
                <c:pt idx="136">
                  <c:v>9.7791519434628979E-2</c:v>
                </c:pt>
                <c:pt idx="137">
                  <c:v>9.7791519434628979E-2</c:v>
                </c:pt>
                <c:pt idx="138">
                  <c:v>9.6600881887067086E-2</c:v>
                </c:pt>
                <c:pt idx="139">
                  <c:v>9.6600881887067086E-2</c:v>
                </c:pt>
                <c:pt idx="140">
                  <c:v>9.6600881887067086E-2</c:v>
                </c:pt>
                <c:pt idx="141">
                  <c:v>9.6600881887067086E-2</c:v>
                </c:pt>
                <c:pt idx="142">
                  <c:v>0.10214769826599771</c:v>
                </c:pt>
                <c:pt idx="143">
                  <c:v>0.10214769826599771</c:v>
                </c:pt>
                <c:pt idx="144">
                  <c:v>0.10214769826599771</c:v>
                </c:pt>
                <c:pt idx="145">
                  <c:v>0.10214769826599771</c:v>
                </c:pt>
                <c:pt idx="146">
                  <c:v>0.11499832233530929</c:v>
                </c:pt>
                <c:pt idx="147">
                  <c:v>0.11499832233530929</c:v>
                </c:pt>
                <c:pt idx="148">
                  <c:v>0.11499832233530929</c:v>
                </c:pt>
                <c:pt idx="149">
                  <c:v>0.11499832233530929</c:v>
                </c:pt>
                <c:pt idx="150">
                  <c:v>0.1143193478888568</c:v>
                </c:pt>
                <c:pt idx="151">
                  <c:v>0.1143193478888568</c:v>
                </c:pt>
                <c:pt idx="152">
                  <c:v>0.1143193478888568</c:v>
                </c:pt>
                <c:pt idx="153">
                  <c:v>0.1143193478888568</c:v>
                </c:pt>
                <c:pt idx="154">
                  <c:v>0.1042068854568855</c:v>
                </c:pt>
                <c:pt idx="155">
                  <c:v>0.1042068854568855</c:v>
                </c:pt>
                <c:pt idx="156">
                  <c:v>0.1042068854568855</c:v>
                </c:pt>
                <c:pt idx="157">
                  <c:v>0.1042068854568855</c:v>
                </c:pt>
                <c:pt idx="158">
                  <c:v>0.1061975164847551</c:v>
                </c:pt>
                <c:pt idx="159">
                  <c:v>0.1061975164847551</c:v>
                </c:pt>
                <c:pt idx="160">
                  <c:v>0.1061975164847551</c:v>
                </c:pt>
                <c:pt idx="161">
                  <c:v>0.1061975164847551</c:v>
                </c:pt>
                <c:pt idx="162">
                  <c:v>0.1099188189293918</c:v>
                </c:pt>
                <c:pt idx="163">
                  <c:v>0.1099188189293918</c:v>
                </c:pt>
                <c:pt idx="164">
                  <c:v>0.1099188189293918</c:v>
                </c:pt>
                <c:pt idx="165">
                  <c:v>0.1099188189293918</c:v>
                </c:pt>
                <c:pt idx="166">
                  <c:v>0.105634528224145</c:v>
                </c:pt>
                <c:pt idx="167">
                  <c:v>0.105634528224145</c:v>
                </c:pt>
                <c:pt idx="168">
                  <c:v>0.105634528224145</c:v>
                </c:pt>
                <c:pt idx="169">
                  <c:v>0.105634528224145</c:v>
                </c:pt>
                <c:pt idx="170">
                  <c:v>0.1193789261003138</c:v>
                </c:pt>
                <c:pt idx="171">
                  <c:v>0.1193789261003138</c:v>
                </c:pt>
                <c:pt idx="172">
                  <c:v>0.12509834427816521</c:v>
                </c:pt>
                <c:pt idx="173">
                  <c:v>0.12509834427816521</c:v>
                </c:pt>
                <c:pt idx="174">
                  <c:v>0.12509834427816521</c:v>
                </c:pt>
                <c:pt idx="175">
                  <c:v>0.12509834427816521</c:v>
                </c:pt>
                <c:pt idx="176">
                  <c:v>0.1267423905118876</c:v>
                </c:pt>
                <c:pt idx="177">
                  <c:v>0.1267423905118876</c:v>
                </c:pt>
                <c:pt idx="178">
                  <c:v>0.1267423905118876</c:v>
                </c:pt>
                <c:pt idx="179">
                  <c:v>0.1267423905118876</c:v>
                </c:pt>
                <c:pt idx="180">
                  <c:v>0.1315312756639137</c:v>
                </c:pt>
                <c:pt idx="181">
                  <c:v>0.1315312756639137</c:v>
                </c:pt>
                <c:pt idx="182">
                  <c:v>0.1315312756639137</c:v>
                </c:pt>
                <c:pt idx="183">
                  <c:v>0.1315312756639137</c:v>
                </c:pt>
                <c:pt idx="184">
                  <c:v>0.13764973587361881</c:v>
                </c:pt>
                <c:pt idx="185">
                  <c:v>0.13764973587361881</c:v>
                </c:pt>
                <c:pt idx="186">
                  <c:v>0.13764973587361881</c:v>
                </c:pt>
                <c:pt idx="187">
                  <c:v>0.13764973587361881</c:v>
                </c:pt>
                <c:pt idx="188">
                  <c:v>0.14114053079650751</c:v>
                </c:pt>
                <c:pt idx="189">
                  <c:v>0.14114053079650751</c:v>
                </c:pt>
                <c:pt idx="190">
                  <c:v>0.14114053079650751</c:v>
                </c:pt>
                <c:pt idx="191">
                  <c:v>0.14114053079650751</c:v>
                </c:pt>
                <c:pt idx="192">
                  <c:v>0.1467074254631251</c:v>
                </c:pt>
                <c:pt idx="193">
                  <c:v>0.1467074254631251</c:v>
                </c:pt>
                <c:pt idx="194">
                  <c:v>0.1467074254631251</c:v>
                </c:pt>
                <c:pt idx="195">
                  <c:v>0.1467074254631251</c:v>
                </c:pt>
                <c:pt idx="196">
                  <c:v>0.15168226831207221</c:v>
                </c:pt>
                <c:pt idx="197">
                  <c:v>0.15168226831207221</c:v>
                </c:pt>
                <c:pt idx="198">
                  <c:v>0.15168226831207221</c:v>
                </c:pt>
                <c:pt idx="199">
                  <c:v>0.15168226831207221</c:v>
                </c:pt>
                <c:pt idx="200">
                  <c:v>0.15379843721398409</c:v>
                </c:pt>
                <c:pt idx="201">
                  <c:v>0.15379843721398409</c:v>
                </c:pt>
                <c:pt idx="202">
                  <c:v>0.15379843721398409</c:v>
                </c:pt>
                <c:pt idx="203">
                  <c:v>0.15379843721398409</c:v>
                </c:pt>
                <c:pt idx="204">
                  <c:v>0.21290558800453321</c:v>
                </c:pt>
                <c:pt idx="205">
                  <c:v>0.21290558800453321</c:v>
                </c:pt>
                <c:pt idx="206">
                  <c:v>0.23477584339955121</c:v>
                </c:pt>
                <c:pt idx="207">
                  <c:v>0.23477584339955121</c:v>
                </c:pt>
                <c:pt idx="208">
                  <c:v>0.23477584339955121</c:v>
                </c:pt>
                <c:pt idx="209">
                  <c:v>0.23477584339955121</c:v>
                </c:pt>
                <c:pt idx="210">
                  <c:v>0.20688592659957639</c:v>
                </c:pt>
                <c:pt idx="211">
                  <c:v>0.20688592659957639</c:v>
                </c:pt>
                <c:pt idx="212">
                  <c:v>0.20688592659957639</c:v>
                </c:pt>
                <c:pt idx="213">
                  <c:v>0.20688592659957639</c:v>
                </c:pt>
                <c:pt idx="214">
                  <c:v>0.20919179823965831</c:v>
                </c:pt>
                <c:pt idx="215">
                  <c:v>0.20919179823965831</c:v>
                </c:pt>
                <c:pt idx="216">
                  <c:v>0.20919179823965831</c:v>
                </c:pt>
                <c:pt idx="217">
                  <c:v>0.20919179823965831</c:v>
                </c:pt>
                <c:pt idx="218">
                  <c:v>0.19049801405438441</c:v>
                </c:pt>
                <c:pt idx="219">
                  <c:v>0.19049801405438441</c:v>
                </c:pt>
                <c:pt idx="220">
                  <c:v>0.19049801405438441</c:v>
                </c:pt>
                <c:pt idx="221">
                  <c:v>0.19049801405438441</c:v>
                </c:pt>
                <c:pt idx="222">
                  <c:v>0.1566974843662681</c:v>
                </c:pt>
                <c:pt idx="223">
                  <c:v>0.1566974843662681</c:v>
                </c:pt>
                <c:pt idx="224">
                  <c:v>0.1566974843662681</c:v>
                </c:pt>
                <c:pt idx="225">
                  <c:v>0.1566974843662681</c:v>
                </c:pt>
                <c:pt idx="226">
                  <c:v>0.40580189169109832</c:v>
                </c:pt>
                <c:pt idx="227">
                  <c:v>0.40580189169109832</c:v>
                </c:pt>
                <c:pt idx="228">
                  <c:v>0.40580189169109832</c:v>
                </c:pt>
                <c:pt idx="229">
                  <c:v>0.40580189169109832</c:v>
                </c:pt>
                <c:pt idx="230">
                  <c:v>0.19086473467152659</c:v>
                </c:pt>
                <c:pt idx="231">
                  <c:v>0.19086473467152659</c:v>
                </c:pt>
                <c:pt idx="232">
                  <c:v>0.19086473467152659</c:v>
                </c:pt>
                <c:pt idx="233">
                  <c:v>0.19086473467152659</c:v>
                </c:pt>
                <c:pt idx="234">
                  <c:v>0.26662936464636439</c:v>
                </c:pt>
                <c:pt idx="235">
                  <c:v>0.26662936464636439</c:v>
                </c:pt>
                <c:pt idx="236">
                  <c:v>0.26662936464636439</c:v>
                </c:pt>
                <c:pt idx="237">
                  <c:v>0.26662936464636439</c:v>
                </c:pt>
                <c:pt idx="238">
                  <c:v>0.112869766400161</c:v>
                </c:pt>
                <c:pt idx="239">
                  <c:v>0.112869766400161</c:v>
                </c:pt>
                <c:pt idx="240">
                  <c:v>0.12475169707490461</c:v>
                </c:pt>
                <c:pt idx="241">
                  <c:v>0.12475169707490461</c:v>
                </c:pt>
                <c:pt idx="242">
                  <c:v>0.12475169707490461</c:v>
                </c:pt>
                <c:pt idx="243">
                  <c:v>0.12475169707490461</c:v>
                </c:pt>
                <c:pt idx="244">
                  <c:v>0.13192991082085431</c:v>
                </c:pt>
                <c:pt idx="245">
                  <c:v>0.13192991082085431</c:v>
                </c:pt>
                <c:pt idx="246">
                  <c:v>0.13192991082085431</c:v>
                </c:pt>
                <c:pt idx="247">
                  <c:v>0.13192991082085431</c:v>
                </c:pt>
                <c:pt idx="248">
                  <c:v>0.14276659834860511</c:v>
                </c:pt>
                <c:pt idx="249">
                  <c:v>0.14276659834860511</c:v>
                </c:pt>
                <c:pt idx="250">
                  <c:v>0.14276659834860511</c:v>
                </c:pt>
                <c:pt idx="251">
                  <c:v>0.14276659834860511</c:v>
                </c:pt>
                <c:pt idx="252">
                  <c:v>0.14846969286853959</c:v>
                </c:pt>
                <c:pt idx="253">
                  <c:v>0.14846969286853959</c:v>
                </c:pt>
                <c:pt idx="254">
                  <c:v>0.14846969286853959</c:v>
                </c:pt>
                <c:pt idx="255">
                  <c:v>0.14846969286853959</c:v>
                </c:pt>
                <c:pt idx="256">
                  <c:v>0.150135604120086</c:v>
                </c:pt>
                <c:pt idx="257">
                  <c:v>0.150135604120086</c:v>
                </c:pt>
                <c:pt idx="258">
                  <c:v>0.150135604120086</c:v>
                </c:pt>
                <c:pt idx="259">
                  <c:v>0.150135604120086</c:v>
                </c:pt>
                <c:pt idx="260">
                  <c:v>0.14949041730184481</c:v>
                </c:pt>
                <c:pt idx="261">
                  <c:v>0.14949041730184481</c:v>
                </c:pt>
                <c:pt idx="262">
                  <c:v>0.14949041730184481</c:v>
                </c:pt>
                <c:pt idx="263">
                  <c:v>0.14949041730184481</c:v>
                </c:pt>
                <c:pt idx="264">
                  <c:v>0.1458968049432269</c:v>
                </c:pt>
                <c:pt idx="265">
                  <c:v>0.1458968049432269</c:v>
                </c:pt>
                <c:pt idx="266">
                  <c:v>0.1458968049432269</c:v>
                </c:pt>
                <c:pt idx="267">
                  <c:v>0.1458968049432269</c:v>
                </c:pt>
                <c:pt idx="268">
                  <c:v>0.14739048347028469</c:v>
                </c:pt>
                <c:pt idx="269">
                  <c:v>0.14739048347028469</c:v>
                </c:pt>
                <c:pt idx="270">
                  <c:v>0.14739048347028469</c:v>
                </c:pt>
                <c:pt idx="271">
                  <c:v>0.14739048347028469</c:v>
                </c:pt>
                <c:pt idx="272">
                  <c:v>0.1715983572078652</c:v>
                </c:pt>
                <c:pt idx="273">
                  <c:v>0.1715983572078652</c:v>
                </c:pt>
                <c:pt idx="274">
                  <c:v>0.18669096495815901</c:v>
                </c:pt>
                <c:pt idx="275">
                  <c:v>0.18669096495815901</c:v>
                </c:pt>
                <c:pt idx="276">
                  <c:v>0.18669096495815901</c:v>
                </c:pt>
                <c:pt idx="277">
                  <c:v>0.18669096495815901</c:v>
                </c:pt>
                <c:pt idx="278">
                  <c:v>0.20925797503467411</c:v>
                </c:pt>
                <c:pt idx="279">
                  <c:v>0.20925797503467411</c:v>
                </c:pt>
                <c:pt idx="280">
                  <c:v>0.20925797503467411</c:v>
                </c:pt>
                <c:pt idx="281">
                  <c:v>0.20925797503467411</c:v>
                </c:pt>
                <c:pt idx="282">
                  <c:v>0.20401315120496219</c:v>
                </c:pt>
                <c:pt idx="283">
                  <c:v>0.20401315120496219</c:v>
                </c:pt>
                <c:pt idx="284">
                  <c:v>0.20401315120496219</c:v>
                </c:pt>
                <c:pt idx="285">
                  <c:v>0.20401315120496219</c:v>
                </c:pt>
                <c:pt idx="286">
                  <c:v>0.19984521342183281</c:v>
                </c:pt>
                <c:pt idx="287">
                  <c:v>0.19984521342183281</c:v>
                </c:pt>
                <c:pt idx="288">
                  <c:v>0.19984521342183281</c:v>
                </c:pt>
                <c:pt idx="289">
                  <c:v>0.19984521342183281</c:v>
                </c:pt>
                <c:pt idx="290">
                  <c:v>0.19060538891127871</c:v>
                </c:pt>
                <c:pt idx="291">
                  <c:v>0.19060538891127871</c:v>
                </c:pt>
                <c:pt idx="292">
                  <c:v>0.19060538891127871</c:v>
                </c:pt>
                <c:pt idx="293">
                  <c:v>0.19060538891127871</c:v>
                </c:pt>
                <c:pt idx="294">
                  <c:v>0.18168337186651121</c:v>
                </c:pt>
                <c:pt idx="295">
                  <c:v>0.18168337186651121</c:v>
                </c:pt>
                <c:pt idx="296">
                  <c:v>0.18168337186651121</c:v>
                </c:pt>
                <c:pt idx="297">
                  <c:v>0.18168337186651121</c:v>
                </c:pt>
                <c:pt idx="298">
                  <c:v>0.17426099357607169</c:v>
                </c:pt>
                <c:pt idx="299">
                  <c:v>0.17426099357607169</c:v>
                </c:pt>
                <c:pt idx="300">
                  <c:v>0.17426099357607169</c:v>
                </c:pt>
                <c:pt idx="301">
                  <c:v>0.17426099357607169</c:v>
                </c:pt>
                <c:pt idx="302">
                  <c:v>0.17313412187867469</c:v>
                </c:pt>
                <c:pt idx="303">
                  <c:v>0.17313412187867469</c:v>
                </c:pt>
                <c:pt idx="304">
                  <c:v>0.17313412187867469</c:v>
                </c:pt>
                <c:pt idx="305">
                  <c:v>0.17313412187867469</c:v>
                </c:pt>
                <c:pt idx="306">
                  <c:v>0.1324422843256379</c:v>
                </c:pt>
                <c:pt idx="307">
                  <c:v>0.1324422843256379</c:v>
                </c:pt>
                <c:pt idx="308">
                  <c:v>0.15448284624209199</c:v>
                </c:pt>
                <c:pt idx="309">
                  <c:v>0.15448284624209199</c:v>
                </c:pt>
                <c:pt idx="310">
                  <c:v>0.15448284624209199</c:v>
                </c:pt>
                <c:pt idx="311">
                  <c:v>0.15448284624209199</c:v>
                </c:pt>
                <c:pt idx="312">
                  <c:v>0.15875367403053001</c:v>
                </c:pt>
                <c:pt idx="313">
                  <c:v>0.15875367403053001</c:v>
                </c:pt>
                <c:pt idx="314">
                  <c:v>0.15875367403053001</c:v>
                </c:pt>
                <c:pt idx="315">
                  <c:v>0.15875367403053001</c:v>
                </c:pt>
                <c:pt idx="316">
                  <c:v>0.16205320636764509</c:v>
                </c:pt>
                <c:pt idx="317">
                  <c:v>0.16205320636764509</c:v>
                </c:pt>
                <c:pt idx="318">
                  <c:v>0.16205320636764509</c:v>
                </c:pt>
                <c:pt idx="319">
                  <c:v>0.16205320636764509</c:v>
                </c:pt>
                <c:pt idx="320">
                  <c:v>0.15554637618713571</c:v>
                </c:pt>
                <c:pt idx="321">
                  <c:v>0.15554637618713571</c:v>
                </c:pt>
                <c:pt idx="322">
                  <c:v>0.15554637618713571</c:v>
                </c:pt>
                <c:pt idx="323">
                  <c:v>0.15554637618713571</c:v>
                </c:pt>
                <c:pt idx="324">
                  <c:v>0.14130583113852541</c:v>
                </c:pt>
                <c:pt idx="325">
                  <c:v>0.14130583113852541</c:v>
                </c:pt>
                <c:pt idx="326">
                  <c:v>0.14130583113852541</c:v>
                </c:pt>
                <c:pt idx="327">
                  <c:v>0.14130583113852541</c:v>
                </c:pt>
                <c:pt idx="328">
                  <c:v>0.1419919770087415</c:v>
                </c:pt>
                <c:pt idx="329">
                  <c:v>0.1419919770087415</c:v>
                </c:pt>
                <c:pt idx="330">
                  <c:v>0.1419919770087415</c:v>
                </c:pt>
                <c:pt idx="331">
                  <c:v>0.1419919770087415</c:v>
                </c:pt>
                <c:pt idx="332">
                  <c:v>0.13948003480297469</c:v>
                </c:pt>
                <c:pt idx="333">
                  <c:v>0.13948003480297469</c:v>
                </c:pt>
                <c:pt idx="334">
                  <c:v>0.13948003480297469</c:v>
                </c:pt>
                <c:pt idx="335">
                  <c:v>0.13948003480297469</c:v>
                </c:pt>
                <c:pt idx="336">
                  <c:v>0.1380850606401679</c:v>
                </c:pt>
                <c:pt idx="337">
                  <c:v>0.1380850606401679</c:v>
                </c:pt>
                <c:pt idx="338">
                  <c:v>0.1380850606401679</c:v>
                </c:pt>
                <c:pt idx="339">
                  <c:v>0.1380850606401679</c:v>
                </c:pt>
              </c:numCache>
            </c:numRef>
          </c:xVal>
          <c:yVal>
            <c:numRef>
              <c:f>data_ict_share_till2019!$G$2:$G$341</c:f>
              <c:numCache>
                <c:formatCode>General</c:formatCode>
                <c:ptCount val="34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-0.72097823586978693</c:v>
                </c:pt>
                <c:pt idx="137">
                  <c:v>-1.3490233924862403</c:v>
                </c:pt>
                <c:pt idx="138">
                  <c:v>-2.8967088940255072</c:v>
                </c:pt>
                <c:pt idx="139">
                  <c:v>-1.6205593666224374</c:v>
                </c:pt>
                <c:pt idx="140">
                  <c:v>-4.1054013535411551</c:v>
                </c:pt>
                <c:pt idx="141">
                  <c:v>-2.2925956788913462</c:v>
                </c:pt>
                <c:pt idx="142">
                  <c:v>-1.8026810025172653</c:v>
                </c:pt>
                <c:pt idx="143">
                  <c:v>-0.33824602126275083</c:v>
                </c:pt>
                <c:pt idx="144">
                  <c:v>-2.5825808509828021</c:v>
                </c:pt>
                <c:pt idx="145">
                  <c:v>-1.2701347576567219</c:v>
                </c:pt>
                <c:pt idx="146">
                  <c:v>-1.0598446835814783</c:v>
                </c:pt>
                <c:pt idx="147">
                  <c:v>-3.7170636542870672E-2</c:v>
                </c:pt>
                <c:pt idx="148">
                  <c:v>-1.4839669415266257</c:v>
                </c:pt>
                <c:pt idx="149">
                  <c:v>-0.65495754471519485</c:v>
                </c:pt>
                <c:pt idx="150">
                  <c:v>-0.14620954323508523</c:v>
                </c:pt>
                <c:pt idx="151">
                  <c:v>0.1253373978109007</c:v>
                </c:pt>
                <c:pt idx="152">
                  <c:v>-0.57280300136018747</c:v>
                </c:pt>
                <c:pt idx="153">
                  <c:v>0.12311761734483889</c:v>
                </c:pt>
                <c:pt idx="154">
                  <c:v>1.8786753011990158</c:v>
                </c:pt>
                <c:pt idx="155">
                  <c:v>1.7183218536184302</c:v>
                </c:pt>
                <c:pt idx="156">
                  <c:v>1.510323809035472</c:v>
                </c:pt>
                <c:pt idx="157">
                  <c:v>1.8590512359207483</c:v>
                </c:pt>
                <c:pt idx="158">
                  <c:v>2.4720940007392684</c:v>
                </c:pt>
                <c:pt idx="159">
                  <c:v>-4.9051166356071096E-2</c:v>
                </c:pt>
                <c:pt idx="160">
                  <c:v>2.5243960048727772</c:v>
                </c:pt>
                <c:pt idx="161">
                  <c:v>1.9527316757675739</c:v>
                </c:pt>
                <c:pt idx="162">
                  <c:v>-1.4684876877358761</c:v>
                </c:pt>
                <c:pt idx="163">
                  <c:v>-1.7034961062862728</c:v>
                </c:pt>
                <c:pt idx="164">
                  <c:v>-0.55948823596464492</c:v>
                </c:pt>
                <c:pt idx="165">
                  <c:v>-1.3340082792667409</c:v>
                </c:pt>
                <c:pt idx="166">
                  <c:v>-0.8335748506428422</c:v>
                </c:pt>
                <c:pt idx="167">
                  <c:v>-1.4110869060006026E-2</c:v>
                </c:pt>
                <c:pt idx="168">
                  <c:v>-0.9295559719103379</c:v>
                </c:pt>
                <c:pt idx="169">
                  <c:v>-0.29784066310397006</c:v>
                </c:pt>
                <c:pt idx="170">
                  <c:v>0.83612488664531526</c:v>
                </c:pt>
                <c:pt idx="171">
                  <c:v>0.67997235008080126</c:v>
                </c:pt>
                <c:pt idx="172">
                  <c:v>-0.32472647373697416</c:v>
                </c:pt>
                <c:pt idx="173">
                  <c:v>3.5343935314330999E-2</c:v>
                </c:pt>
                <c:pt idx="174">
                  <c:v>-1.8139364015399</c:v>
                </c:pt>
                <c:pt idx="175">
                  <c:v>-0.24613356157585023</c:v>
                </c:pt>
                <c:pt idx="176">
                  <c:v>0.54586999163456773</c:v>
                </c:pt>
                <c:pt idx="177">
                  <c:v>0.70642650900507031</c:v>
                </c:pt>
                <c:pt idx="178">
                  <c:v>-0.41064631977665855</c:v>
                </c:pt>
                <c:pt idx="179">
                  <c:v>1.0226418522737479</c:v>
                </c:pt>
                <c:pt idx="180">
                  <c:v>8.2625762713080086E-2</c:v>
                </c:pt>
                <c:pt idx="181">
                  <c:v>0.67469908808817769</c:v>
                </c:pt>
                <c:pt idx="182">
                  <c:v>-0.10261972066728997</c:v>
                </c:pt>
                <c:pt idx="183">
                  <c:v>1.7194448601227763E-2</c:v>
                </c:pt>
                <c:pt idx="184">
                  <c:v>0.29855354285163038</c:v>
                </c:pt>
                <c:pt idx="185">
                  <c:v>-8.9414898423502587E-2</c:v>
                </c:pt>
                <c:pt idx="186">
                  <c:v>-0.47972768132192978</c:v>
                </c:pt>
                <c:pt idx="187">
                  <c:v>-8.8439121019513678E-2</c:v>
                </c:pt>
                <c:pt idx="188">
                  <c:v>-0.6951946375147382</c:v>
                </c:pt>
                <c:pt idx="189">
                  <c:v>-0.52027408063893632</c:v>
                </c:pt>
                <c:pt idx="190">
                  <c:v>-0.9474050098037794</c:v>
                </c:pt>
                <c:pt idx="191">
                  <c:v>-0.59721808051947733</c:v>
                </c:pt>
                <c:pt idx="192">
                  <c:v>0.88730828907390391</c:v>
                </c:pt>
                <c:pt idx="193">
                  <c:v>0.63331091710201193</c:v>
                </c:pt>
                <c:pt idx="194">
                  <c:v>0.55799583927453589</c:v>
                </c:pt>
                <c:pt idx="195">
                  <c:v>0.89053149409434584</c:v>
                </c:pt>
                <c:pt idx="196">
                  <c:v>-0.17374369252594701</c:v>
                </c:pt>
                <c:pt idx="197">
                  <c:v>-9.4418697622485004E-2</c:v>
                </c:pt>
                <c:pt idx="198">
                  <c:v>-0.15383585632429808</c:v>
                </c:pt>
                <c:pt idx="199">
                  <c:v>-0.41758951411248901</c:v>
                </c:pt>
                <c:pt idx="200">
                  <c:v>0.4384166790122872</c:v>
                </c:pt>
                <c:pt idx="201">
                  <c:v>0.79261069491608427</c:v>
                </c:pt>
                <c:pt idx="202">
                  <c:v>0.24168578243425221</c:v>
                </c:pt>
                <c:pt idx="203">
                  <c:v>0.74602981041785821</c:v>
                </c:pt>
                <c:pt idx="204">
                  <c:v>0.50049004709387601</c:v>
                </c:pt>
                <c:pt idx="205">
                  <c:v>0.9413258690012245</c:v>
                </c:pt>
                <c:pt idx="206">
                  <c:v>-1.6280635865737629</c:v>
                </c:pt>
                <c:pt idx="207">
                  <c:v>-0.96922525562108064</c:v>
                </c:pt>
                <c:pt idx="208">
                  <c:v>-2.453635222613276</c:v>
                </c:pt>
                <c:pt idx="209">
                  <c:v>-1.0724333951104441</c:v>
                </c:pt>
                <c:pt idx="210">
                  <c:v>1.205057100905597</c:v>
                </c:pt>
                <c:pt idx="211">
                  <c:v>1.9567787515864445</c:v>
                </c:pt>
                <c:pt idx="212">
                  <c:v>0.35473491447531091</c:v>
                </c:pt>
                <c:pt idx="213">
                  <c:v>1.190812142791823</c:v>
                </c:pt>
                <c:pt idx="214">
                  <c:v>7.3473765864294371</c:v>
                </c:pt>
                <c:pt idx="215">
                  <c:v>4.4352299730116496</c:v>
                </c:pt>
                <c:pt idx="216">
                  <c:v>6.8741599328546545</c:v>
                </c:pt>
                <c:pt idx="217">
                  <c:v>7.3099334555518691</c:v>
                </c:pt>
                <c:pt idx="218">
                  <c:v>18.328578063419037</c:v>
                </c:pt>
                <c:pt idx="219">
                  <c:v>15.905810160190644</c:v>
                </c:pt>
                <c:pt idx="220">
                  <c:v>18.955022320797561</c:v>
                </c:pt>
                <c:pt idx="221">
                  <c:v>18.343702761513786</c:v>
                </c:pt>
                <c:pt idx="222">
                  <c:v>-3.3115780556468373</c:v>
                </c:pt>
                <c:pt idx="223">
                  <c:v>-2.9158948376772491</c:v>
                </c:pt>
                <c:pt idx="224">
                  <c:v>-2.3039111882363645</c:v>
                </c:pt>
                <c:pt idx="225">
                  <c:v>-3.6961635285906365</c:v>
                </c:pt>
                <c:pt idx="226">
                  <c:v>6.0228740309448732</c:v>
                </c:pt>
                <c:pt idx="227">
                  <c:v>4.7979924738822781</c:v>
                </c:pt>
                <c:pt idx="228">
                  <c:v>5.9524962396982399</c:v>
                </c:pt>
                <c:pt idx="229">
                  <c:v>5.6733497511086632</c:v>
                </c:pt>
                <c:pt idx="230">
                  <c:v>3.5391422005323694</c:v>
                </c:pt>
                <c:pt idx="231">
                  <c:v>-0.36708855616052638</c:v>
                </c:pt>
                <c:pt idx="232">
                  <c:v>3.8014603254516723</c:v>
                </c:pt>
                <c:pt idx="233">
                  <c:v>1.7637946495625059</c:v>
                </c:pt>
                <c:pt idx="234">
                  <c:v>0.2937881326285563</c:v>
                </c:pt>
                <c:pt idx="235">
                  <c:v>-0.81182975289263659</c:v>
                </c:pt>
                <c:pt idx="236">
                  <c:v>0.76508940488487553</c:v>
                </c:pt>
                <c:pt idx="237">
                  <c:v>1.0641944495974975</c:v>
                </c:pt>
                <c:pt idx="238">
                  <c:v>0.31332096396137299</c:v>
                </c:pt>
                <c:pt idx="239">
                  <c:v>-0.10643235308456145</c:v>
                </c:pt>
                <c:pt idx="240">
                  <c:v>-3.283682876216877</c:v>
                </c:pt>
                <c:pt idx="241">
                  <c:v>-0.93975532690563535</c:v>
                </c:pt>
                <c:pt idx="242">
                  <c:v>-4.5415254167541681</c:v>
                </c:pt>
                <c:pt idx="243">
                  <c:v>-1.8199453612782872</c:v>
                </c:pt>
                <c:pt idx="244">
                  <c:v>-1.3032488592122233</c:v>
                </c:pt>
                <c:pt idx="245">
                  <c:v>-1.3627956629979066E-2</c:v>
                </c:pt>
                <c:pt idx="246">
                  <c:v>-2.2873965098618703</c:v>
                </c:pt>
                <c:pt idx="247">
                  <c:v>-0.50253549354813787</c:v>
                </c:pt>
                <c:pt idx="248">
                  <c:v>-0.63559197615783425</c:v>
                </c:pt>
                <c:pt idx="249">
                  <c:v>0.46984491420454261</c:v>
                </c:pt>
                <c:pt idx="250">
                  <c:v>-0.64240153811903056</c:v>
                </c:pt>
                <c:pt idx="251">
                  <c:v>-0.49573337159642944</c:v>
                </c:pt>
                <c:pt idx="252">
                  <c:v>0.11412179495312647</c:v>
                </c:pt>
                <c:pt idx="253">
                  <c:v>-0.12380197599240972</c:v>
                </c:pt>
                <c:pt idx="254">
                  <c:v>-0.48713604095095231</c:v>
                </c:pt>
                <c:pt idx="255">
                  <c:v>0.13599178752260521</c:v>
                </c:pt>
                <c:pt idx="256">
                  <c:v>-0.1058406653404671</c:v>
                </c:pt>
                <c:pt idx="257">
                  <c:v>0.63759268194228436</c:v>
                </c:pt>
                <c:pt idx="258">
                  <c:v>-6.5542328540008077E-2</c:v>
                </c:pt>
                <c:pt idx="259">
                  <c:v>0.25497274041926299</c:v>
                </c:pt>
                <c:pt idx="260">
                  <c:v>0.77488781643401738</c:v>
                </c:pt>
                <c:pt idx="261">
                  <c:v>0.22303711004873605</c:v>
                </c:pt>
                <c:pt idx="262">
                  <c:v>0.34231121806944209</c:v>
                </c:pt>
                <c:pt idx="263">
                  <c:v>0.74890781392368888</c:v>
                </c:pt>
                <c:pt idx="264">
                  <c:v>-0.62187743480216839</c:v>
                </c:pt>
                <c:pt idx="265">
                  <c:v>-0.46981863171250737</c:v>
                </c:pt>
                <c:pt idx="266">
                  <c:v>-0.45306326954054732</c:v>
                </c:pt>
                <c:pt idx="267">
                  <c:v>-0.77439182435587239</c:v>
                </c:pt>
                <c:pt idx="268">
                  <c:v>-0.73330529565166769</c:v>
                </c:pt>
                <c:pt idx="269">
                  <c:v>0.31282812569793611</c:v>
                </c:pt>
                <c:pt idx="270">
                  <c:v>-0.79138299663360767</c:v>
                </c:pt>
                <c:pt idx="271">
                  <c:v>0.31688392304130802</c:v>
                </c:pt>
                <c:pt idx="272">
                  <c:v>-4.4869424188079154E-2</c:v>
                </c:pt>
                <c:pt idx="273">
                  <c:v>-0.16273935738707901</c:v>
                </c:pt>
                <c:pt idx="274">
                  <c:v>-1.4862389038890746</c:v>
                </c:pt>
                <c:pt idx="275">
                  <c:v>-0.70761224838733949</c:v>
                </c:pt>
                <c:pt idx="276">
                  <c:v>-2.6486668808434137</c:v>
                </c:pt>
                <c:pt idx="277">
                  <c:v>-0.10024508264757004</c:v>
                </c:pt>
                <c:pt idx="278">
                  <c:v>-0.23830578037063171</c:v>
                </c:pt>
                <c:pt idx="279">
                  <c:v>0.99271178751701716</c:v>
                </c:pt>
                <c:pt idx="280">
                  <c:v>-0.69436298449679079</c:v>
                </c:pt>
                <c:pt idx="281">
                  <c:v>0.8027116295009934</c:v>
                </c:pt>
                <c:pt idx="282">
                  <c:v>1.3553618816128583</c:v>
                </c:pt>
                <c:pt idx="283">
                  <c:v>0.72324209611805812</c:v>
                </c:pt>
                <c:pt idx="284">
                  <c:v>0.70542793172322216</c:v>
                </c:pt>
                <c:pt idx="285">
                  <c:v>0.43792540256365298</c:v>
                </c:pt>
                <c:pt idx="286">
                  <c:v>0.66075179047467292</c:v>
                </c:pt>
                <c:pt idx="287">
                  <c:v>2.7912869879358926E-2</c:v>
                </c:pt>
                <c:pt idx="288">
                  <c:v>0.71728036681706908</c:v>
                </c:pt>
                <c:pt idx="289">
                  <c:v>0.44124858238985798</c:v>
                </c:pt>
                <c:pt idx="290">
                  <c:v>0.25837958787036319</c:v>
                </c:pt>
                <c:pt idx="291">
                  <c:v>0.73200384369860516</c:v>
                </c:pt>
                <c:pt idx="292">
                  <c:v>0.65826627678273919</c:v>
                </c:pt>
                <c:pt idx="293">
                  <c:v>0.71349901011999117</c:v>
                </c:pt>
                <c:pt idx="294">
                  <c:v>1.0914375503477329</c:v>
                </c:pt>
                <c:pt idx="295">
                  <c:v>-0.46496850488224206</c:v>
                </c:pt>
                <c:pt idx="296">
                  <c:v>0.77378648218358492</c:v>
                </c:pt>
                <c:pt idx="297">
                  <c:v>0.63236498765517979</c:v>
                </c:pt>
                <c:pt idx="298">
                  <c:v>-0.49220694854774294</c:v>
                </c:pt>
                <c:pt idx="299">
                  <c:v>-0.60915575871749095</c:v>
                </c:pt>
                <c:pt idx="300">
                  <c:v>0.41068430201465511</c:v>
                </c:pt>
                <c:pt idx="301">
                  <c:v>-0.72275559772991471</c:v>
                </c:pt>
                <c:pt idx="302">
                  <c:v>-0.12859335988762766</c:v>
                </c:pt>
                <c:pt idx="303">
                  <c:v>0.56885798608977911</c:v>
                </c:pt>
                <c:pt idx="304">
                  <c:v>-0.32154765833279697</c:v>
                </c:pt>
                <c:pt idx="305">
                  <c:v>0.6408810234895721</c:v>
                </c:pt>
                <c:pt idx="306">
                  <c:v>0.14125391028230783</c:v>
                </c:pt>
                <c:pt idx="307">
                  <c:v>0.47487728867662904</c:v>
                </c:pt>
                <c:pt idx="308">
                  <c:v>-1.0995542098793263</c:v>
                </c:pt>
                <c:pt idx="309">
                  <c:v>-1.1760026883100392</c:v>
                </c:pt>
                <c:pt idx="310">
                  <c:v>-2.3809908827477235</c:v>
                </c:pt>
                <c:pt idx="311">
                  <c:v>-0.87299909854646618</c:v>
                </c:pt>
                <c:pt idx="312">
                  <c:v>5.5407583701418961E-3</c:v>
                </c:pt>
                <c:pt idx="313">
                  <c:v>0.77491238355863912</c:v>
                </c:pt>
                <c:pt idx="314">
                  <c:v>-1.2437166293694688</c:v>
                </c:pt>
                <c:pt idx="315">
                  <c:v>1.3540941366994292</c:v>
                </c:pt>
                <c:pt idx="316">
                  <c:v>-3.7645971018196667E-2</c:v>
                </c:pt>
                <c:pt idx="317">
                  <c:v>-0.1990372617381222</c:v>
                </c:pt>
                <c:pt idx="318">
                  <c:v>0.17999874759430079</c:v>
                </c:pt>
                <c:pt idx="319">
                  <c:v>-0.50566639608488062</c:v>
                </c:pt>
                <c:pt idx="320">
                  <c:v>0.27908288694357686</c:v>
                </c:pt>
                <c:pt idx="321">
                  <c:v>-0.16405386466369909</c:v>
                </c:pt>
                <c:pt idx="322">
                  <c:v>8.4088127918840794E-2</c:v>
                </c:pt>
                <c:pt idx="323">
                  <c:v>-6.4609841282320168E-2</c:v>
                </c:pt>
                <c:pt idx="324">
                  <c:v>0.32534337819466397</c:v>
                </c:pt>
                <c:pt idx="325">
                  <c:v>1.0550904016198952</c:v>
                </c:pt>
                <c:pt idx="326">
                  <c:v>0.14602905922159692</c:v>
                </c:pt>
                <c:pt idx="327">
                  <c:v>0.5261694887334849</c:v>
                </c:pt>
                <c:pt idx="328">
                  <c:v>2.0165120904442619</c:v>
                </c:pt>
                <c:pt idx="329">
                  <c:v>0.63151210674854008</c:v>
                </c:pt>
                <c:pt idx="330">
                  <c:v>1.5169148839265081</c:v>
                </c:pt>
                <c:pt idx="331">
                  <c:v>1.4222126188508</c:v>
                </c:pt>
                <c:pt idx="332">
                  <c:v>0.84121405179820208</c:v>
                </c:pt>
                <c:pt idx="333">
                  <c:v>0.73645045202355286</c:v>
                </c:pt>
                <c:pt idx="334">
                  <c:v>1.3359790738157751</c:v>
                </c:pt>
                <c:pt idx="335">
                  <c:v>0.56998726219637108</c:v>
                </c:pt>
                <c:pt idx="336">
                  <c:v>0.86923730155660284</c:v>
                </c:pt>
                <c:pt idx="337">
                  <c:v>0.75821702215020981</c:v>
                </c:pt>
                <c:pt idx="338">
                  <c:v>0.67142489045585174</c:v>
                </c:pt>
                <c:pt idx="33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33E-4884-BBEA-846220D44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AI/ICT-related HS export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data_hs_export_share_full!$H$2:$H$581</c:f>
              <c:numCache>
                <c:formatCode>General</c:formatCode>
                <c:ptCount val="580"/>
                <c:pt idx="0">
                  <c:v>6.0810296667168041E-3</c:v>
                </c:pt>
                <c:pt idx="1">
                  <c:v>6.0810296667168041E-3</c:v>
                </c:pt>
                <c:pt idx="2">
                  <c:v>5.1501038457717457E-3</c:v>
                </c:pt>
                <c:pt idx="3">
                  <c:v>5.1501038457717457E-3</c:v>
                </c:pt>
                <c:pt idx="4">
                  <c:v>5.1501038457717457E-3</c:v>
                </c:pt>
                <c:pt idx="5">
                  <c:v>5.1501038457717457E-3</c:v>
                </c:pt>
                <c:pt idx="6">
                  <c:v>4.9104806969426009E-3</c:v>
                </c:pt>
                <c:pt idx="7">
                  <c:v>4.9104806969426009E-3</c:v>
                </c:pt>
                <c:pt idx="8">
                  <c:v>4.9104806969426009E-3</c:v>
                </c:pt>
                <c:pt idx="9">
                  <c:v>4.9104806969426009E-3</c:v>
                </c:pt>
                <c:pt idx="10">
                  <c:v>5.2414028038574598E-3</c:v>
                </c:pt>
                <c:pt idx="11">
                  <c:v>5.2414028038574598E-3</c:v>
                </c:pt>
                <c:pt idx="12">
                  <c:v>5.2414028038574598E-3</c:v>
                </c:pt>
                <c:pt idx="13">
                  <c:v>5.2414028038574598E-3</c:v>
                </c:pt>
                <c:pt idx="14">
                  <c:v>5.6174915482511594E-3</c:v>
                </c:pt>
                <c:pt idx="15">
                  <c:v>5.6174915482511594E-3</c:v>
                </c:pt>
                <c:pt idx="16">
                  <c:v>5.6174915482511594E-3</c:v>
                </c:pt>
                <c:pt idx="17">
                  <c:v>5.6174915482511594E-3</c:v>
                </c:pt>
                <c:pt idx="18">
                  <c:v>5.5009113707549639E-3</c:v>
                </c:pt>
                <c:pt idx="19">
                  <c:v>5.5009113707549639E-3</c:v>
                </c:pt>
                <c:pt idx="20">
                  <c:v>5.5009113707549639E-3</c:v>
                </c:pt>
                <c:pt idx="21">
                  <c:v>5.5009113707549639E-3</c:v>
                </c:pt>
                <c:pt idx="22">
                  <c:v>5.3416232953854264E-3</c:v>
                </c:pt>
                <c:pt idx="23">
                  <c:v>5.3416232953854264E-3</c:v>
                </c:pt>
                <c:pt idx="24">
                  <c:v>5.3416232953854264E-3</c:v>
                </c:pt>
                <c:pt idx="25">
                  <c:v>5.3416232953854264E-3</c:v>
                </c:pt>
                <c:pt idx="26">
                  <c:v>6.1210722167909584E-3</c:v>
                </c:pt>
                <c:pt idx="27">
                  <c:v>6.1210722167909584E-3</c:v>
                </c:pt>
                <c:pt idx="28">
                  <c:v>6.1210722167909584E-3</c:v>
                </c:pt>
                <c:pt idx="29">
                  <c:v>6.1210722167909584E-3</c:v>
                </c:pt>
                <c:pt idx="30">
                  <c:v>6.350496657154401E-3</c:v>
                </c:pt>
                <c:pt idx="31">
                  <c:v>6.350496657154401E-3</c:v>
                </c:pt>
                <c:pt idx="32">
                  <c:v>6.350496657154401E-3</c:v>
                </c:pt>
                <c:pt idx="33">
                  <c:v>6.350496657154401E-3</c:v>
                </c:pt>
                <c:pt idx="34">
                  <c:v>8.5662439392624936E-3</c:v>
                </c:pt>
                <c:pt idx="35">
                  <c:v>8.5662439392624936E-3</c:v>
                </c:pt>
                <c:pt idx="36">
                  <c:v>8.5662439392624936E-3</c:v>
                </c:pt>
                <c:pt idx="37">
                  <c:v>8.5662439392624936E-3</c:v>
                </c:pt>
                <c:pt idx="38">
                  <c:v>8.943056702231925E-3</c:v>
                </c:pt>
                <c:pt idx="39">
                  <c:v>8.943056702231925E-3</c:v>
                </c:pt>
                <c:pt idx="40">
                  <c:v>8.943056702231925E-3</c:v>
                </c:pt>
                <c:pt idx="41">
                  <c:v>8.943056702231925E-3</c:v>
                </c:pt>
                <c:pt idx="42">
                  <c:v>8.9996521427787666E-3</c:v>
                </c:pt>
                <c:pt idx="43">
                  <c:v>8.9996521427787666E-3</c:v>
                </c:pt>
                <c:pt idx="44">
                  <c:v>8.9996521427787666E-3</c:v>
                </c:pt>
                <c:pt idx="45">
                  <c:v>8.9996521427787666E-3</c:v>
                </c:pt>
                <c:pt idx="46">
                  <c:v>1.018602861865241E-2</c:v>
                </c:pt>
                <c:pt idx="47">
                  <c:v>1.018602861865241E-2</c:v>
                </c:pt>
                <c:pt idx="48">
                  <c:v>1.018602861865241E-2</c:v>
                </c:pt>
                <c:pt idx="49">
                  <c:v>1.018602861865241E-2</c:v>
                </c:pt>
                <c:pt idx="50">
                  <c:v>1.1274054550446029E-2</c:v>
                </c:pt>
                <c:pt idx="51">
                  <c:v>1.1274054550446029E-2</c:v>
                </c:pt>
                <c:pt idx="52">
                  <c:v>1.1274054550446029E-2</c:v>
                </c:pt>
                <c:pt idx="53">
                  <c:v>1.1274054550446029E-2</c:v>
                </c:pt>
                <c:pt idx="54">
                  <c:v>1.1274054550446029E-2</c:v>
                </c:pt>
                <c:pt idx="55">
                  <c:v>1.1274054550446029E-2</c:v>
                </c:pt>
                <c:pt idx="56">
                  <c:v>1.1274054550446029E-2</c:v>
                </c:pt>
                <c:pt idx="57">
                  <c:v>1.1274054550446029E-2</c:v>
                </c:pt>
                <c:pt idx="58">
                  <c:v>1.785334474075977E-3</c:v>
                </c:pt>
                <c:pt idx="59">
                  <c:v>1.785334474075977E-3</c:v>
                </c:pt>
                <c:pt idx="60">
                  <c:v>1.5063974111351539E-3</c:v>
                </c:pt>
                <c:pt idx="61">
                  <c:v>1.5063974111351539E-3</c:v>
                </c:pt>
                <c:pt idx="62">
                  <c:v>1.5063974111351539E-3</c:v>
                </c:pt>
                <c:pt idx="63">
                  <c:v>1.5063974111351539E-3</c:v>
                </c:pt>
                <c:pt idx="64">
                  <c:v>1.586033074688545E-3</c:v>
                </c:pt>
                <c:pt idx="65">
                  <c:v>1.586033074688545E-3</c:v>
                </c:pt>
                <c:pt idx="66">
                  <c:v>1.586033074688545E-3</c:v>
                </c:pt>
                <c:pt idx="67">
                  <c:v>1.586033074688545E-3</c:v>
                </c:pt>
                <c:pt idx="68">
                  <c:v>1.832777504202993E-3</c:v>
                </c:pt>
                <c:pt idx="69">
                  <c:v>1.832777504202993E-3</c:v>
                </c:pt>
                <c:pt idx="70">
                  <c:v>1.832777504202993E-3</c:v>
                </c:pt>
                <c:pt idx="71">
                  <c:v>1.832777504202993E-3</c:v>
                </c:pt>
                <c:pt idx="72">
                  <c:v>2.3021800043303512E-3</c:v>
                </c:pt>
                <c:pt idx="73">
                  <c:v>2.3021800043303512E-3</c:v>
                </c:pt>
                <c:pt idx="74">
                  <c:v>2.3021800043303512E-3</c:v>
                </c:pt>
                <c:pt idx="75">
                  <c:v>2.3021800043303512E-3</c:v>
                </c:pt>
                <c:pt idx="76">
                  <c:v>2.496557133405468E-3</c:v>
                </c:pt>
                <c:pt idx="77">
                  <c:v>2.496557133405468E-3</c:v>
                </c:pt>
                <c:pt idx="78">
                  <c:v>2.496557133405468E-3</c:v>
                </c:pt>
                <c:pt idx="79">
                  <c:v>2.496557133405468E-3</c:v>
                </c:pt>
                <c:pt idx="80">
                  <c:v>2.8564511679683561E-3</c:v>
                </c:pt>
                <c:pt idx="81">
                  <c:v>2.8564511679683561E-3</c:v>
                </c:pt>
                <c:pt idx="82">
                  <c:v>2.8564511679683561E-3</c:v>
                </c:pt>
                <c:pt idx="83">
                  <c:v>2.8564511679683561E-3</c:v>
                </c:pt>
                <c:pt idx="84">
                  <c:v>1.907211497318204E-3</c:v>
                </c:pt>
                <c:pt idx="85">
                  <c:v>1.907211497318204E-3</c:v>
                </c:pt>
                <c:pt idx="86">
                  <c:v>1.907211497318204E-3</c:v>
                </c:pt>
                <c:pt idx="87">
                  <c:v>1.907211497318204E-3</c:v>
                </c:pt>
                <c:pt idx="88">
                  <c:v>1.483770068217442E-3</c:v>
                </c:pt>
                <c:pt idx="89">
                  <c:v>1.483770068217442E-3</c:v>
                </c:pt>
                <c:pt idx="90">
                  <c:v>1.483770068217442E-3</c:v>
                </c:pt>
                <c:pt idx="91">
                  <c:v>1.483770068217442E-3</c:v>
                </c:pt>
                <c:pt idx="92">
                  <c:v>1.2802209101079819E-3</c:v>
                </c:pt>
                <c:pt idx="93">
                  <c:v>1.2802209101079819E-3</c:v>
                </c:pt>
                <c:pt idx="94">
                  <c:v>1.2802209101079819E-3</c:v>
                </c:pt>
                <c:pt idx="95">
                  <c:v>1.2802209101079819E-3</c:v>
                </c:pt>
                <c:pt idx="96">
                  <c:v>1.1517525996332381E-3</c:v>
                </c:pt>
                <c:pt idx="97">
                  <c:v>1.1517525996332381E-3</c:v>
                </c:pt>
                <c:pt idx="98">
                  <c:v>1.1517525996332381E-3</c:v>
                </c:pt>
                <c:pt idx="99">
                  <c:v>1.1517525996332381E-3</c:v>
                </c:pt>
                <c:pt idx="100">
                  <c:v>1.014469878411819E-3</c:v>
                </c:pt>
                <c:pt idx="101">
                  <c:v>1.014469878411819E-3</c:v>
                </c:pt>
                <c:pt idx="102">
                  <c:v>1.014469878411819E-3</c:v>
                </c:pt>
                <c:pt idx="103">
                  <c:v>1.014469878411819E-3</c:v>
                </c:pt>
                <c:pt idx="104">
                  <c:v>1.324636913672042E-3</c:v>
                </c:pt>
                <c:pt idx="105">
                  <c:v>1.324636913672042E-3</c:v>
                </c:pt>
                <c:pt idx="106">
                  <c:v>1.324636913672042E-3</c:v>
                </c:pt>
                <c:pt idx="107">
                  <c:v>1.324636913672042E-3</c:v>
                </c:pt>
                <c:pt idx="108">
                  <c:v>1.372182399148419E-3</c:v>
                </c:pt>
                <c:pt idx="109">
                  <c:v>1.372182399148419E-3</c:v>
                </c:pt>
                <c:pt idx="110">
                  <c:v>1.372182399148419E-3</c:v>
                </c:pt>
                <c:pt idx="111">
                  <c:v>1.372182399148419E-3</c:v>
                </c:pt>
                <c:pt idx="112">
                  <c:v>1.372182399148419E-3</c:v>
                </c:pt>
                <c:pt idx="113">
                  <c:v>1.372182399148419E-3</c:v>
                </c:pt>
                <c:pt idx="114">
                  <c:v>1.372182399148419E-3</c:v>
                </c:pt>
                <c:pt idx="115">
                  <c:v>1.372182399148419E-3</c:v>
                </c:pt>
                <c:pt idx="116">
                  <c:v>6.6895895733449784E-3</c:v>
                </c:pt>
                <c:pt idx="117">
                  <c:v>6.6895895733449784E-3</c:v>
                </c:pt>
                <c:pt idx="118">
                  <c:v>4.8249554887439478E-3</c:v>
                </c:pt>
                <c:pt idx="119">
                  <c:v>4.8249554887439478E-3</c:v>
                </c:pt>
                <c:pt idx="120">
                  <c:v>4.8249554887439478E-3</c:v>
                </c:pt>
                <c:pt idx="121">
                  <c:v>4.8249554887439478E-3</c:v>
                </c:pt>
                <c:pt idx="122">
                  <c:v>4.7224478417125654E-3</c:v>
                </c:pt>
                <c:pt idx="123">
                  <c:v>4.7224478417125654E-3</c:v>
                </c:pt>
                <c:pt idx="124">
                  <c:v>4.7224478417125654E-3</c:v>
                </c:pt>
                <c:pt idx="125">
                  <c:v>4.7224478417125654E-3</c:v>
                </c:pt>
                <c:pt idx="126">
                  <c:v>5.3357040941452126E-3</c:v>
                </c:pt>
                <c:pt idx="127">
                  <c:v>5.3357040941452126E-3</c:v>
                </c:pt>
                <c:pt idx="128">
                  <c:v>5.3357040941452126E-3</c:v>
                </c:pt>
                <c:pt idx="129">
                  <c:v>5.3357040941452126E-3</c:v>
                </c:pt>
                <c:pt idx="130">
                  <c:v>5.4147439174576876E-3</c:v>
                </c:pt>
                <c:pt idx="131">
                  <c:v>5.4147439174576876E-3</c:v>
                </c:pt>
                <c:pt idx="132">
                  <c:v>5.4147439174576876E-3</c:v>
                </c:pt>
                <c:pt idx="133">
                  <c:v>5.4147439174576876E-3</c:v>
                </c:pt>
                <c:pt idx="134">
                  <c:v>5.3806800427406544E-3</c:v>
                </c:pt>
                <c:pt idx="135">
                  <c:v>5.3806800427406544E-3</c:v>
                </c:pt>
                <c:pt idx="136">
                  <c:v>5.3806800427406544E-3</c:v>
                </c:pt>
                <c:pt idx="137">
                  <c:v>5.3806800427406544E-3</c:v>
                </c:pt>
                <c:pt idx="138">
                  <c:v>6.2433576307011837E-3</c:v>
                </c:pt>
                <c:pt idx="139">
                  <c:v>6.2433576307011837E-3</c:v>
                </c:pt>
                <c:pt idx="140">
                  <c:v>6.2433576307011837E-3</c:v>
                </c:pt>
                <c:pt idx="141">
                  <c:v>6.2433576307011837E-3</c:v>
                </c:pt>
                <c:pt idx="142">
                  <c:v>6.8209627085312934E-3</c:v>
                </c:pt>
                <c:pt idx="143">
                  <c:v>6.8209627085312934E-3</c:v>
                </c:pt>
                <c:pt idx="144">
                  <c:v>6.8209627085312934E-3</c:v>
                </c:pt>
                <c:pt idx="145">
                  <c:v>6.8209627085312934E-3</c:v>
                </c:pt>
                <c:pt idx="146">
                  <c:v>7.0803682370956548E-3</c:v>
                </c:pt>
                <c:pt idx="147">
                  <c:v>7.0803682370956548E-3</c:v>
                </c:pt>
                <c:pt idx="148">
                  <c:v>7.0803682370956548E-3</c:v>
                </c:pt>
                <c:pt idx="149">
                  <c:v>7.0803682370956548E-3</c:v>
                </c:pt>
                <c:pt idx="150">
                  <c:v>7.8392311441250039E-3</c:v>
                </c:pt>
                <c:pt idx="151">
                  <c:v>7.8392311441250039E-3</c:v>
                </c:pt>
                <c:pt idx="152">
                  <c:v>7.8392311441250039E-3</c:v>
                </c:pt>
                <c:pt idx="153">
                  <c:v>7.8392311441250039E-3</c:v>
                </c:pt>
                <c:pt idx="154">
                  <c:v>7.7356755077016047E-3</c:v>
                </c:pt>
                <c:pt idx="155">
                  <c:v>7.7356755077016047E-3</c:v>
                </c:pt>
                <c:pt idx="156">
                  <c:v>7.7356755077016047E-3</c:v>
                </c:pt>
                <c:pt idx="157">
                  <c:v>7.7356755077016047E-3</c:v>
                </c:pt>
                <c:pt idx="158">
                  <c:v>7.6054945428721031E-3</c:v>
                </c:pt>
                <c:pt idx="159">
                  <c:v>7.6054945428721031E-3</c:v>
                </c:pt>
                <c:pt idx="160">
                  <c:v>7.6054945428721031E-3</c:v>
                </c:pt>
                <c:pt idx="161">
                  <c:v>7.6054945428721031E-3</c:v>
                </c:pt>
                <c:pt idx="162">
                  <c:v>8.2683809672599654E-3</c:v>
                </c:pt>
                <c:pt idx="163">
                  <c:v>8.2683809672599654E-3</c:v>
                </c:pt>
                <c:pt idx="164">
                  <c:v>8.2683809672599654E-3</c:v>
                </c:pt>
                <c:pt idx="165">
                  <c:v>8.2683809672599654E-3</c:v>
                </c:pt>
                <c:pt idx="166">
                  <c:v>9.0522441223979538E-3</c:v>
                </c:pt>
                <c:pt idx="167">
                  <c:v>9.0522441223979538E-3</c:v>
                </c:pt>
                <c:pt idx="168">
                  <c:v>9.0522441223979538E-3</c:v>
                </c:pt>
                <c:pt idx="169">
                  <c:v>9.0522441223979538E-3</c:v>
                </c:pt>
                <c:pt idx="170">
                  <c:v>9.0522441223979538E-3</c:v>
                </c:pt>
                <c:pt idx="171">
                  <c:v>9.0522441223979538E-3</c:v>
                </c:pt>
                <c:pt idx="172">
                  <c:v>9.0522441223979538E-3</c:v>
                </c:pt>
                <c:pt idx="173">
                  <c:v>9.0522441223979538E-3</c:v>
                </c:pt>
                <c:pt idx="174">
                  <c:v>9.8602791112884273E-4</c:v>
                </c:pt>
                <c:pt idx="175">
                  <c:v>9.8602791112884273E-4</c:v>
                </c:pt>
                <c:pt idx="176">
                  <c:v>8.5916088536536466E-4</c:v>
                </c:pt>
                <c:pt idx="177">
                  <c:v>8.5916088536536466E-4</c:v>
                </c:pt>
                <c:pt idx="178">
                  <c:v>8.5916088536536466E-4</c:v>
                </c:pt>
                <c:pt idx="179">
                  <c:v>8.5916088536536466E-4</c:v>
                </c:pt>
                <c:pt idx="180">
                  <c:v>9.4029754192236721E-4</c:v>
                </c:pt>
                <c:pt idx="181">
                  <c:v>9.4029754192236721E-4</c:v>
                </c:pt>
                <c:pt idx="182">
                  <c:v>9.4029754192236721E-4</c:v>
                </c:pt>
                <c:pt idx="183">
                  <c:v>9.4029754192236721E-4</c:v>
                </c:pt>
                <c:pt idx="184">
                  <c:v>9.163700818761272E-4</c:v>
                </c:pt>
                <c:pt idx="185">
                  <c:v>9.163700818761272E-4</c:v>
                </c:pt>
                <c:pt idx="186">
                  <c:v>9.163700818761272E-4</c:v>
                </c:pt>
                <c:pt idx="187">
                  <c:v>9.163700818761272E-4</c:v>
                </c:pt>
                <c:pt idx="188">
                  <c:v>9.2679802456791676E-4</c:v>
                </c:pt>
                <c:pt idx="189">
                  <c:v>9.2679802456791676E-4</c:v>
                </c:pt>
                <c:pt idx="190">
                  <c:v>9.2679802456791676E-4</c:v>
                </c:pt>
                <c:pt idx="191">
                  <c:v>9.2679802456791676E-4</c:v>
                </c:pt>
                <c:pt idx="192">
                  <c:v>8.8495785408932489E-4</c:v>
                </c:pt>
                <c:pt idx="193">
                  <c:v>8.8495785408932489E-4</c:v>
                </c:pt>
                <c:pt idx="194">
                  <c:v>8.8495785408932489E-4</c:v>
                </c:pt>
                <c:pt idx="195">
                  <c:v>8.8495785408932489E-4</c:v>
                </c:pt>
                <c:pt idx="196">
                  <c:v>1.055465061505679E-3</c:v>
                </c:pt>
                <c:pt idx="197">
                  <c:v>1.055465061505679E-3</c:v>
                </c:pt>
                <c:pt idx="198">
                  <c:v>1.055465061505679E-3</c:v>
                </c:pt>
                <c:pt idx="199">
                  <c:v>1.055465061505679E-3</c:v>
                </c:pt>
                <c:pt idx="200">
                  <c:v>1.0194633256850379E-3</c:v>
                </c:pt>
                <c:pt idx="201">
                  <c:v>1.0194633256850379E-3</c:v>
                </c:pt>
                <c:pt idx="202">
                  <c:v>1.0194633256850379E-3</c:v>
                </c:pt>
                <c:pt idx="203">
                  <c:v>1.0194633256850379E-3</c:v>
                </c:pt>
                <c:pt idx="204">
                  <c:v>1.030961216508944E-3</c:v>
                </c:pt>
                <c:pt idx="205">
                  <c:v>1.030961216508944E-3</c:v>
                </c:pt>
                <c:pt idx="206">
                  <c:v>1.030961216508944E-3</c:v>
                </c:pt>
                <c:pt idx="207">
                  <c:v>1.030961216508944E-3</c:v>
                </c:pt>
                <c:pt idx="208">
                  <c:v>1.089781682979109E-3</c:v>
                </c:pt>
                <c:pt idx="209">
                  <c:v>1.089781682979109E-3</c:v>
                </c:pt>
                <c:pt idx="210">
                  <c:v>1.089781682979109E-3</c:v>
                </c:pt>
                <c:pt idx="211">
                  <c:v>1.089781682979109E-3</c:v>
                </c:pt>
                <c:pt idx="212">
                  <c:v>9.4978125409007018E-4</c:v>
                </c:pt>
                <c:pt idx="213">
                  <c:v>9.4978125409007018E-4</c:v>
                </c:pt>
                <c:pt idx="214">
                  <c:v>9.4978125409007018E-4</c:v>
                </c:pt>
                <c:pt idx="215">
                  <c:v>9.4978125409007018E-4</c:v>
                </c:pt>
                <c:pt idx="216">
                  <c:v>7.4930942000427699E-4</c:v>
                </c:pt>
                <c:pt idx="217">
                  <c:v>7.4930942000427699E-4</c:v>
                </c:pt>
                <c:pt idx="218">
                  <c:v>7.4930942000427699E-4</c:v>
                </c:pt>
                <c:pt idx="219">
                  <c:v>7.4930942000427699E-4</c:v>
                </c:pt>
                <c:pt idx="220">
                  <c:v>8.3245038969018029E-4</c:v>
                </c:pt>
                <c:pt idx="221">
                  <c:v>8.3245038969018029E-4</c:v>
                </c:pt>
                <c:pt idx="222">
                  <c:v>8.3245038969018029E-4</c:v>
                </c:pt>
                <c:pt idx="223">
                  <c:v>8.3245038969018029E-4</c:v>
                </c:pt>
                <c:pt idx="224">
                  <c:v>8.3940839252033268E-4</c:v>
                </c:pt>
                <c:pt idx="225">
                  <c:v>8.3940839252033268E-4</c:v>
                </c:pt>
                <c:pt idx="226">
                  <c:v>8.3940839252033268E-4</c:v>
                </c:pt>
                <c:pt idx="227">
                  <c:v>8.3940839252033268E-4</c:v>
                </c:pt>
                <c:pt idx="228">
                  <c:v>8.3940839252033268E-4</c:v>
                </c:pt>
                <c:pt idx="229">
                  <c:v>8.3940839252033268E-4</c:v>
                </c:pt>
                <c:pt idx="230">
                  <c:v>8.3940839252033268E-4</c:v>
                </c:pt>
                <c:pt idx="231">
                  <c:v>8.3940839252033268E-4</c:v>
                </c:pt>
                <c:pt idx="232">
                  <c:v>2.246638775038663E-3</c:v>
                </c:pt>
                <c:pt idx="233">
                  <c:v>2.246638775038663E-3</c:v>
                </c:pt>
                <c:pt idx="234">
                  <c:v>2.221772318620354E-3</c:v>
                </c:pt>
                <c:pt idx="235">
                  <c:v>2.221772318620354E-3</c:v>
                </c:pt>
                <c:pt idx="236">
                  <c:v>2.221772318620354E-3</c:v>
                </c:pt>
                <c:pt idx="237">
                  <c:v>2.221772318620354E-3</c:v>
                </c:pt>
                <c:pt idx="238">
                  <c:v>2.2729743091563109E-3</c:v>
                </c:pt>
                <c:pt idx="239">
                  <c:v>2.2729743091563109E-3</c:v>
                </c:pt>
                <c:pt idx="240">
                  <c:v>2.2729743091563109E-3</c:v>
                </c:pt>
                <c:pt idx="241">
                  <c:v>2.2729743091563109E-3</c:v>
                </c:pt>
                <c:pt idx="242">
                  <c:v>2.2995608675575492E-3</c:v>
                </c:pt>
                <c:pt idx="243">
                  <c:v>2.2995608675575492E-3</c:v>
                </c:pt>
                <c:pt idx="244">
                  <c:v>2.2995608675575492E-3</c:v>
                </c:pt>
                <c:pt idx="245">
                  <c:v>2.2995608675575492E-3</c:v>
                </c:pt>
                <c:pt idx="246">
                  <c:v>2.3842383404991431E-3</c:v>
                </c:pt>
                <c:pt idx="247">
                  <c:v>2.3842383404991431E-3</c:v>
                </c:pt>
                <c:pt idx="248">
                  <c:v>2.3842383404991431E-3</c:v>
                </c:pt>
                <c:pt idx="249">
                  <c:v>2.3842383404991431E-3</c:v>
                </c:pt>
                <c:pt idx="250">
                  <c:v>2.119508085382079E-3</c:v>
                </c:pt>
                <c:pt idx="251">
                  <c:v>2.119508085382079E-3</c:v>
                </c:pt>
                <c:pt idx="252">
                  <c:v>2.119508085382079E-3</c:v>
                </c:pt>
                <c:pt idx="253">
                  <c:v>2.119508085382079E-3</c:v>
                </c:pt>
                <c:pt idx="254">
                  <c:v>2.32800040837888E-3</c:v>
                </c:pt>
                <c:pt idx="255">
                  <c:v>2.32800040837888E-3</c:v>
                </c:pt>
                <c:pt idx="256">
                  <c:v>2.32800040837888E-3</c:v>
                </c:pt>
                <c:pt idx="257">
                  <c:v>2.32800040837888E-3</c:v>
                </c:pt>
                <c:pt idx="258">
                  <c:v>2.5051102543123412E-3</c:v>
                </c:pt>
                <c:pt idx="259">
                  <c:v>2.5051102543123412E-3</c:v>
                </c:pt>
                <c:pt idx="260">
                  <c:v>2.5051102543123412E-3</c:v>
                </c:pt>
                <c:pt idx="261">
                  <c:v>2.5051102543123412E-3</c:v>
                </c:pt>
                <c:pt idx="262">
                  <c:v>2.3865214906629842E-3</c:v>
                </c:pt>
                <c:pt idx="263">
                  <c:v>2.3865214906629842E-3</c:v>
                </c:pt>
                <c:pt idx="264">
                  <c:v>2.3865214906629842E-3</c:v>
                </c:pt>
                <c:pt idx="265">
                  <c:v>2.3865214906629842E-3</c:v>
                </c:pt>
                <c:pt idx="266">
                  <c:v>1.9365478320968409E-3</c:v>
                </c:pt>
                <c:pt idx="267">
                  <c:v>1.9365478320968409E-3</c:v>
                </c:pt>
                <c:pt idx="268">
                  <c:v>1.9365478320968409E-3</c:v>
                </c:pt>
                <c:pt idx="269">
                  <c:v>1.9365478320968409E-3</c:v>
                </c:pt>
                <c:pt idx="270">
                  <c:v>2.6224663629109508E-3</c:v>
                </c:pt>
                <c:pt idx="271">
                  <c:v>2.6224663629109508E-3</c:v>
                </c:pt>
                <c:pt idx="272">
                  <c:v>2.6224663629109508E-3</c:v>
                </c:pt>
                <c:pt idx="273">
                  <c:v>2.6224663629109508E-3</c:v>
                </c:pt>
                <c:pt idx="274">
                  <c:v>1.923663900762973E-3</c:v>
                </c:pt>
                <c:pt idx="275">
                  <c:v>1.923663900762973E-3</c:v>
                </c:pt>
                <c:pt idx="276">
                  <c:v>1.923663900762973E-3</c:v>
                </c:pt>
                <c:pt idx="277">
                  <c:v>1.923663900762973E-3</c:v>
                </c:pt>
                <c:pt idx="278">
                  <c:v>2.503328687020895E-3</c:v>
                </c:pt>
                <c:pt idx="279">
                  <c:v>2.503328687020895E-3</c:v>
                </c:pt>
                <c:pt idx="280">
                  <c:v>2.503328687020895E-3</c:v>
                </c:pt>
                <c:pt idx="281">
                  <c:v>2.503328687020895E-3</c:v>
                </c:pt>
                <c:pt idx="282">
                  <c:v>2.4884109011011962E-3</c:v>
                </c:pt>
                <c:pt idx="283">
                  <c:v>2.4884109011011962E-3</c:v>
                </c:pt>
                <c:pt idx="284">
                  <c:v>2.4884109011011962E-3</c:v>
                </c:pt>
                <c:pt idx="285">
                  <c:v>2.4884109011011962E-3</c:v>
                </c:pt>
                <c:pt idx="286">
                  <c:v>2.4884109011011962E-3</c:v>
                </c:pt>
                <c:pt idx="287">
                  <c:v>2.4884109011011962E-3</c:v>
                </c:pt>
                <c:pt idx="288">
                  <c:v>2.4884109011011962E-3</c:v>
                </c:pt>
                <c:pt idx="289">
                  <c:v>2.4884109011011962E-3</c:v>
                </c:pt>
                <c:pt idx="290">
                  <c:v>4.1600953365570287E-3</c:v>
                </c:pt>
                <c:pt idx="291">
                  <c:v>4.1600953365570287E-3</c:v>
                </c:pt>
                <c:pt idx="292">
                  <c:v>3.0575260075342962E-3</c:v>
                </c:pt>
                <c:pt idx="293">
                  <c:v>3.0575260075342962E-3</c:v>
                </c:pt>
                <c:pt idx="294">
                  <c:v>3.0575260075342962E-3</c:v>
                </c:pt>
                <c:pt idx="295">
                  <c:v>3.0575260075342962E-3</c:v>
                </c:pt>
                <c:pt idx="296">
                  <c:v>2.824804133814965E-3</c:v>
                </c:pt>
                <c:pt idx="297">
                  <c:v>2.824804133814965E-3</c:v>
                </c:pt>
                <c:pt idx="298">
                  <c:v>2.824804133814965E-3</c:v>
                </c:pt>
                <c:pt idx="299">
                  <c:v>2.824804133814965E-3</c:v>
                </c:pt>
                <c:pt idx="300">
                  <c:v>2.676056613142241E-3</c:v>
                </c:pt>
                <c:pt idx="301">
                  <c:v>2.676056613142241E-3</c:v>
                </c:pt>
                <c:pt idx="302">
                  <c:v>2.676056613142241E-3</c:v>
                </c:pt>
                <c:pt idx="303">
                  <c:v>2.676056613142241E-3</c:v>
                </c:pt>
                <c:pt idx="304">
                  <c:v>2.8317362322561861E-3</c:v>
                </c:pt>
                <c:pt idx="305">
                  <c:v>2.8317362322561861E-3</c:v>
                </c:pt>
                <c:pt idx="306">
                  <c:v>2.8317362322561861E-3</c:v>
                </c:pt>
                <c:pt idx="307">
                  <c:v>2.8317362322561861E-3</c:v>
                </c:pt>
                <c:pt idx="308">
                  <c:v>2.7643537690768671E-3</c:v>
                </c:pt>
                <c:pt idx="309">
                  <c:v>2.7643537690768671E-3</c:v>
                </c:pt>
                <c:pt idx="310">
                  <c:v>2.7643537690768671E-3</c:v>
                </c:pt>
                <c:pt idx="311">
                  <c:v>2.7643537690768671E-3</c:v>
                </c:pt>
                <c:pt idx="312">
                  <c:v>2.9273748927723382E-3</c:v>
                </c:pt>
                <c:pt idx="313">
                  <c:v>2.9273748927723382E-3</c:v>
                </c:pt>
                <c:pt idx="314">
                  <c:v>2.9273748927723382E-3</c:v>
                </c:pt>
                <c:pt idx="315">
                  <c:v>2.9273748927723382E-3</c:v>
                </c:pt>
                <c:pt idx="316">
                  <c:v>3.2495723826400568E-3</c:v>
                </c:pt>
                <c:pt idx="317">
                  <c:v>3.2495723826400568E-3</c:v>
                </c:pt>
                <c:pt idx="318">
                  <c:v>3.2495723826400568E-3</c:v>
                </c:pt>
                <c:pt idx="319">
                  <c:v>3.2495723826400568E-3</c:v>
                </c:pt>
                <c:pt idx="320">
                  <c:v>2.742059689911831E-3</c:v>
                </c:pt>
                <c:pt idx="321">
                  <c:v>2.742059689911831E-3</c:v>
                </c:pt>
                <c:pt idx="322">
                  <c:v>2.742059689911831E-3</c:v>
                </c:pt>
                <c:pt idx="323">
                  <c:v>2.742059689911831E-3</c:v>
                </c:pt>
                <c:pt idx="324">
                  <c:v>3.0499904166596229E-3</c:v>
                </c:pt>
                <c:pt idx="325">
                  <c:v>3.0499904166596229E-3</c:v>
                </c:pt>
                <c:pt idx="326">
                  <c:v>3.0499904166596229E-3</c:v>
                </c:pt>
                <c:pt idx="327">
                  <c:v>3.0499904166596229E-3</c:v>
                </c:pt>
                <c:pt idx="328">
                  <c:v>3.231172514807625E-3</c:v>
                </c:pt>
                <c:pt idx="329">
                  <c:v>3.231172514807625E-3</c:v>
                </c:pt>
                <c:pt idx="330">
                  <c:v>3.231172514807625E-3</c:v>
                </c:pt>
                <c:pt idx="331">
                  <c:v>3.231172514807625E-3</c:v>
                </c:pt>
                <c:pt idx="332">
                  <c:v>3.2520324935252378E-3</c:v>
                </c:pt>
                <c:pt idx="333">
                  <c:v>3.2520324935252378E-3</c:v>
                </c:pt>
                <c:pt idx="334">
                  <c:v>3.2520324935252378E-3</c:v>
                </c:pt>
                <c:pt idx="335">
                  <c:v>3.2520324935252378E-3</c:v>
                </c:pt>
                <c:pt idx="336">
                  <c:v>2.5946260117071041E-3</c:v>
                </c:pt>
                <c:pt idx="337">
                  <c:v>2.5946260117071041E-3</c:v>
                </c:pt>
                <c:pt idx="338">
                  <c:v>2.5946260117071041E-3</c:v>
                </c:pt>
                <c:pt idx="339">
                  <c:v>2.5946260117071041E-3</c:v>
                </c:pt>
                <c:pt idx="340">
                  <c:v>2.7698144991347719E-3</c:v>
                </c:pt>
                <c:pt idx="341">
                  <c:v>2.7698144991347719E-3</c:v>
                </c:pt>
                <c:pt idx="342">
                  <c:v>2.7698144991347719E-3</c:v>
                </c:pt>
                <c:pt idx="343">
                  <c:v>2.7698144991347719E-3</c:v>
                </c:pt>
                <c:pt idx="344">
                  <c:v>2.7698144991347719E-3</c:v>
                </c:pt>
                <c:pt idx="345">
                  <c:v>2.7698144991347719E-3</c:v>
                </c:pt>
                <c:pt idx="346">
                  <c:v>2.7698144991347719E-3</c:v>
                </c:pt>
                <c:pt idx="347">
                  <c:v>2.7698144991347719E-3</c:v>
                </c:pt>
                <c:pt idx="348">
                  <c:v>1.532593479956511E-2</c:v>
                </c:pt>
                <c:pt idx="349">
                  <c:v>1.532593479956511E-2</c:v>
                </c:pt>
                <c:pt idx="350">
                  <c:v>1.2458618885918409E-2</c:v>
                </c:pt>
                <c:pt idx="351">
                  <c:v>1.2458618885918409E-2</c:v>
                </c:pt>
                <c:pt idx="352">
                  <c:v>1.2458618885918409E-2</c:v>
                </c:pt>
                <c:pt idx="353">
                  <c:v>1.2458618885918409E-2</c:v>
                </c:pt>
                <c:pt idx="354">
                  <c:v>1.455907609421961E-2</c:v>
                </c:pt>
                <c:pt idx="355">
                  <c:v>1.455907609421961E-2</c:v>
                </c:pt>
                <c:pt idx="356">
                  <c:v>1.455907609421961E-2</c:v>
                </c:pt>
                <c:pt idx="357">
                  <c:v>1.455907609421961E-2</c:v>
                </c:pt>
                <c:pt idx="358">
                  <c:v>1.379857452669039E-2</c:v>
                </c:pt>
                <c:pt idx="359">
                  <c:v>1.379857452669039E-2</c:v>
                </c:pt>
                <c:pt idx="360">
                  <c:v>1.379857452669039E-2</c:v>
                </c:pt>
                <c:pt idx="361">
                  <c:v>1.379857452669039E-2</c:v>
                </c:pt>
                <c:pt idx="362">
                  <c:v>1.2536821512101341E-2</c:v>
                </c:pt>
                <c:pt idx="363">
                  <c:v>1.2536821512101341E-2</c:v>
                </c:pt>
                <c:pt idx="364">
                  <c:v>1.2536821512101341E-2</c:v>
                </c:pt>
                <c:pt idx="365">
                  <c:v>1.2536821512101341E-2</c:v>
                </c:pt>
                <c:pt idx="366">
                  <c:v>1.039757696796211E-2</c:v>
                </c:pt>
                <c:pt idx="367">
                  <c:v>1.039757696796211E-2</c:v>
                </c:pt>
                <c:pt idx="368">
                  <c:v>1.039757696796211E-2</c:v>
                </c:pt>
                <c:pt idx="369">
                  <c:v>1.039757696796211E-2</c:v>
                </c:pt>
                <c:pt idx="370">
                  <c:v>9.9008587730576251E-3</c:v>
                </c:pt>
                <c:pt idx="371">
                  <c:v>9.9008587730576251E-3</c:v>
                </c:pt>
                <c:pt idx="372">
                  <c:v>9.9008587730576251E-3</c:v>
                </c:pt>
                <c:pt idx="373">
                  <c:v>9.9008587730576251E-3</c:v>
                </c:pt>
                <c:pt idx="374">
                  <c:v>1.0654359951493971E-2</c:v>
                </c:pt>
                <c:pt idx="375">
                  <c:v>1.0654359951493971E-2</c:v>
                </c:pt>
                <c:pt idx="376">
                  <c:v>1.0654359951493971E-2</c:v>
                </c:pt>
                <c:pt idx="377">
                  <c:v>1.0654359951493971E-2</c:v>
                </c:pt>
                <c:pt idx="378">
                  <c:v>1.1273356968778309E-2</c:v>
                </c:pt>
                <c:pt idx="379">
                  <c:v>1.1273356968778309E-2</c:v>
                </c:pt>
                <c:pt idx="380">
                  <c:v>1.1273356968778309E-2</c:v>
                </c:pt>
                <c:pt idx="381">
                  <c:v>1.1273356968778309E-2</c:v>
                </c:pt>
                <c:pt idx="382">
                  <c:v>9.2278925085046721E-3</c:v>
                </c:pt>
                <c:pt idx="383">
                  <c:v>9.2278925085046721E-3</c:v>
                </c:pt>
                <c:pt idx="384">
                  <c:v>9.2278925085046721E-3</c:v>
                </c:pt>
                <c:pt idx="385">
                  <c:v>9.2278925085046721E-3</c:v>
                </c:pt>
                <c:pt idx="386">
                  <c:v>7.4467517837094243E-3</c:v>
                </c:pt>
                <c:pt idx="387">
                  <c:v>7.4467517837094243E-3</c:v>
                </c:pt>
                <c:pt idx="388">
                  <c:v>7.4467517837094243E-3</c:v>
                </c:pt>
                <c:pt idx="389">
                  <c:v>7.4467517837094243E-3</c:v>
                </c:pt>
                <c:pt idx="390">
                  <c:v>7.2438945945355968E-3</c:v>
                </c:pt>
                <c:pt idx="391">
                  <c:v>7.2438945945355968E-3</c:v>
                </c:pt>
                <c:pt idx="392">
                  <c:v>7.2438945945355968E-3</c:v>
                </c:pt>
                <c:pt idx="393">
                  <c:v>7.2438945945355968E-3</c:v>
                </c:pt>
                <c:pt idx="394">
                  <c:v>7.0481552886537402E-3</c:v>
                </c:pt>
                <c:pt idx="395">
                  <c:v>7.0481552886537402E-3</c:v>
                </c:pt>
                <c:pt idx="396">
                  <c:v>7.0481552886537402E-3</c:v>
                </c:pt>
                <c:pt idx="397">
                  <c:v>7.0481552886537402E-3</c:v>
                </c:pt>
                <c:pt idx="398">
                  <c:v>8.9861308352750593E-3</c:v>
                </c:pt>
                <c:pt idx="399">
                  <c:v>8.9861308352750593E-3</c:v>
                </c:pt>
                <c:pt idx="400">
                  <c:v>8.9861308352750593E-3</c:v>
                </c:pt>
                <c:pt idx="401">
                  <c:v>8.9861308352750593E-3</c:v>
                </c:pt>
                <c:pt idx="402">
                  <c:v>8.9861308352750593E-3</c:v>
                </c:pt>
                <c:pt idx="403">
                  <c:v>8.9861308352750593E-3</c:v>
                </c:pt>
                <c:pt idx="404">
                  <c:v>8.9861308352750593E-3</c:v>
                </c:pt>
                <c:pt idx="405">
                  <c:v>8.9861308352750593E-3</c:v>
                </c:pt>
                <c:pt idx="406">
                  <c:v>3.1268873181164339E-3</c:v>
                </c:pt>
                <c:pt idx="407">
                  <c:v>3.1268873181164339E-3</c:v>
                </c:pt>
                <c:pt idx="408">
                  <c:v>1.2453556099924551E-3</c:v>
                </c:pt>
                <c:pt idx="409">
                  <c:v>1.2453556099924551E-3</c:v>
                </c:pt>
                <c:pt idx="410">
                  <c:v>1.2453556099924551E-3</c:v>
                </c:pt>
                <c:pt idx="411">
                  <c:v>1.2453556099924551E-3</c:v>
                </c:pt>
                <c:pt idx="412">
                  <c:v>1.258842609190792E-3</c:v>
                </c:pt>
                <c:pt idx="413">
                  <c:v>1.258842609190792E-3</c:v>
                </c:pt>
                <c:pt idx="414">
                  <c:v>1.258842609190792E-3</c:v>
                </c:pt>
                <c:pt idx="415">
                  <c:v>1.258842609190792E-3</c:v>
                </c:pt>
                <c:pt idx="416">
                  <c:v>1.1676188031476179E-3</c:v>
                </c:pt>
                <c:pt idx="417">
                  <c:v>1.1676188031476179E-3</c:v>
                </c:pt>
                <c:pt idx="418">
                  <c:v>1.1676188031476179E-3</c:v>
                </c:pt>
                <c:pt idx="419">
                  <c:v>1.1676188031476179E-3</c:v>
                </c:pt>
                <c:pt idx="420">
                  <c:v>1.2071161543213071E-3</c:v>
                </c:pt>
                <c:pt idx="421">
                  <c:v>1.2071161543213071E-3</c:v>
                </c:pt>
                <c:pt idx="422">
                  <c:v>1.2071161543213071E-3</c:v>
                </c:pt>
                <c:pt idx="423">
                  <c:v>1.2071161543213071E-3</c:v>
                </c:pt>
                <c:pt idx="424">
                  <c:v>1.450426181018382E-3</c:v>
                </c:pt>
                <c:pt idx="425">
                  <c:v>1.450426181018382E-3</c:v>
                </c:pt>
                <c:pt idx="426">
                  <c:v>1.450426181018382E-3</c:v>
                </c:pt>
                <c:pt idx="427">
                  <c:v>1.450426181018382E-3</c:v>
                </c:pt>
                <c:pt idx="428">
                  <c:v>1.415613987051515E-3</c:v>
                </c:pt>
                <c:pt idx="429">
                  <c:v>1.415613987051515E-3</c:v>
                </c:pt>
                <c:pt idx="430">
                  <c:v>1.415613987051515E-3</c:v>
                </c:pt>
                <c:pt idx="431">
                  <c:v>1.415613987051515E-3</c:v>
                </c:pt>
                <c:pt idx="432">
                  <c:v>1.455735459670306E-3</c:v>
                </c:pt>
                <c:pt idx="433">
                  <c:v>1.455735459670306E-3</c:v>
                </c:pt>
                <c:pt idx="434">
                  <c:v>1.455735459670306E-3</c:v>
                </c:pt>
                <c:pt idx="435">
                  <c:v>1.455735459670306E-3</c:v>
                </c:pt>
                <c:pt idx="436">
                  <c:v>1.468206874459418E-3</c:v>
                </c:pt>
                <c:pt idx="437">
                  <c:v>1.468206874459418E-3</c:v>
                </c:pt>
                <c:pt idx="438">
                  <c:v>1.468206874459418E-3</c:v>
                </c:pt>
                <c:pt idx="439">
                  <c:v>1.468206874459418E-3</c:v>
                </c:pt>
                <c:pt idx="440">
                  <c:v>1.62386443036395E-3</c:v>
                </c:pt>
                <c:pt idx="441">
                  <c:v>1.62386443036395E-3</c:v>
                </c:pt>
                <c:pt idx="442">
                  <c:v>1.62386443036395E-3</c:v>
                </c:pt>
                <c:pt idx="443">
                  <c:v>1.62386443036395E-3</c:v>
                </c:pt>
                <c:pt idx="444">
                  <c:v>1.3550145653097681E-3</c:v>
                </c:pt>
                <c:pt idx="445">
                  <c:v>1.3550145653097681E-3</c:v>
                </c:pt>
                <c:pt idx="446">
                  <c:v>1.3550145653097681E-3</c:v>
                </c:pt>
                <c:pt idx="447">
                  <c:v>1.3550145653097681E-3</c:v>
                </c:pt>
                <c:pt idx="448">
                  <c:v>1.312969725716661E-3</c:v>
                </c:pt>
                <c:pt idx="449">
                  <c:v>1.312969725716661E-3</c:v>
                </c:pt>
                <c:pt idx="450">
                  <c:v>1.312969725716661E-3</c:v>
                </c:pt>
                <c:pt idx="451">
                  <c:v>1.312969725716661E-3</c:v>
                </c:pt>
                <c:pt idx="452">
                  <c:v>1.28816868967217E-3</c:v>
                </c:pt>
                <c:pt idx="453">
                  <c:v>1.28816868967217E-3</c:v>
                </c:pt>
                <c:pt idx="454">
                  <c:v>1.28816868967217E-3</c:v>
                </c:pt>
                <c:pt idx="455">
                  <c:v>1.28816868967217E-3</c:v>
                </c:pt>
                <c:pt idx="456">
                  <c:v>1.194863073206081E-3</c:v>
                </c:pt>
                <c:pt idx="457">
                  <c:v>1.194863073206081E-3</c:v>
                </c:pt>
                <c:pt idx="458">
                  <c:v>1.194863073206081E-3</c:v>
                </c:pt>
                <c:pt idx="459">
                  <c:v>1.194863073206081E-3</c:v>
                </c:pt>
                <c:pt idx="460">
                  <c:v>1.194863073206081E-3</c:v>
                </c:pt>
                <c:pt idx="461">
                  <c:v>1.194863073206081E-3</c:v>
                </c:pt>
                <c:pt idx="462">
                  <c:v>1.194863073206081E-3</c:v>
                </c:pt>
                <c:pt idx="463">
                  <c:v>1.194863073206081E-3</c:v>
                </c:pt>
                <c:pt idx="464">
                  <c:v>3.5221808169296091E-2</c:v>
                </c:pt>
                <c:pt idx="465">
                  <c:v>3.5221808169296091E-2</c:v>
                </c:pt>
                <c:pt idx="466">
                  <c:v>2.7962413886549891E-2</c:v>
                </c:pt>
                <c:pt idx="467">
                  <c:v>2.7962413886549891E-2</c:v>
                </c:pt>
                <c:pt idx="468">
                  <c:v>2.7962413886549891E-2</c:v>
                </c:pt>
                <c:pt idx="469">
                  <c:v>2.7962413886549891E-2</c:v>
                </c:pt>
                <c:pt idx="470">
                  <c:v>2.9090525421548951E-2</c:v>
                </c:pt>
                <c:pt idx="471">
                  <c:v>2.9090525421548951E-2</c:v>
                </c:pt>
                <c:pt idx="472">
                  <c:v>2.9090525421548951E-2</c:v>
                </c:pt>
                <c:pt idx="473">
                  <c:v>2.9090525421548951E-2</c:v>
                </c:pt>
                <c:pt idx="474">
                  <c:v>3.2188351395378782E-2</c:v>
                </c:pt>
                <c:pt idx="475">
                  <c:v>3.2188351395378782E-2</c:v>
                </c:pt>
                <c:pt idx="476">
                  <c:v>3.2188351395378782E-2</c:v>
                </c:pt>
                <c:pt idx="477">
                  <c:v>3.2188351395378782E-2</c:v>
                </c:pt>
                <c:pt idx="478">
                  <c:v>3.2685922756560681E-2</c:v>
                </c:pt>
                <c:pt idx="479">
                  <c:v>3.2685922756560681E-2</c:v>
                </c:pt>
                <c:pt idx="480">
                  <c:v>3.2685922756560681E-2</c:v>
                </c:pt>
                <c:pt idx="481">
                  <c:v>3.2685922756560681E-2</c:v>
                </c:pt>
                <c:pt idx="482">
                  <c:v>3.3329279039429373E-2</c:v>
                </c:pt>
                <c:pt idx="483">
                  <c:v>3.3329279039429373E-2</c:v>
                </c:pt>
                <c:pt idx="484">
                  <c:v>3.3329279039429373E-2</c:v>
                </c:pt>
                <c:pt idx="485">
                  <c:v>3.3329279039429373E-2</c:v>
                </c:pt>
                <c:pt idx="486">
                  <c:v>3.1898869597727753E-2</c:v>
                </c:pt>
                <c:pt idx="487">
                  <c:v>3.1898869597727753E-2</c:v>
                </c:pt>
                <c:pt idx="488">
                  <c:v>3.1898869597727753E-2</c:v>
                </c:pt>
                <c:pt idx="489">
                  <c:v>3.1898869597727753E-2</c:v>
                </c:pt>
                <c:pt idx="490">
                  <c:v>3.6017884371874691E-2</c:v>
                </c:pt>
                <c:pt idx="491">
                  <c:v>3.6017884371874691E-2</c:v>
                </c:pt>
                <c:pt idx="492">
                  <c:v>3.6017884371874691E-2</c:v>
                </c:pt>
                <c:pt idx="493">
                  <c:v>3.6017884371874691E-2</c:v>
                </c:pt>
                <c:pt idx="494">
                  <c:v>3.7054754499917721E-2</c:v>
                </c:pt>
                <c:pt idx="495">
                  <c:v>3.7054754499917721E-2</c:v>
                </c:pt>
                <c:pt idx="496">
                  <c:v>3.7054754499917721E-2</c:v>
                </c:pt>
                <c:pt idx="497">
                  <c:v>3.7054754499917721E-2</c:v>
                </c:pt>
                <c:pt idx="498">
                  <c:v>4.2581579870975293E-2</c:v>
                </c:pt>
                <c:pt idx="499">
                  <c:v>4.2581579870975293E-2</c:v>
                </c:pt>
                <c:pt idx="500">
                  <c:v>4.2581579870975293E-2</c:v>
                </c:pt>
                <c:pt idx="501">
                  <c:v>4.2581579870975293E-2</c:v>
                </c:pt>
                <c:pt idx="502">
                  <c:v>4.2229620878678473E-2</c:v>
                </c:pt>
                <c:pt idx="503">
                  <c:v>4.2229620878678473E-2</c:v>
                </c:pt>
                <c:pt idx="504">
                  <c:v>4.2229620878678473E-2</c:v>
                </c:pt>
                <c:pt idx="505">
                  <c:v>4.2229620878678473E-2</c:v>
                </c:pt>
                <c:pt idx="506">
                  <c:v>3.9751937262975177E-2</c:v>
                </c:pt>
                <c:pt idx="507">
                  <c:v>3.9751937262975177E-2</c:v>
                </c:pt>
                <c:pt idx="508">
                  <c:v>3.9751937262975177E-2</c:v>
                </c:pt>
                <c:pt idx="509">
                  <c:v>3.9751937262975177E-2</c:v>
                </c:pt>
                <c:pt idx="510">
                  <c:v>4.7209783201579453E-2</c:v>
                </c:pt>
                <c:pt idx="511">
                  <c:v>4.7209783201579453E-2</c:v>
                </c:pt>
                <c:pt idx="512">
                  <c:v>4.7209783201579453E-2</c:v>
                </c:pt>
                <c:pt idx="513">
                  <c:v>4.7209783201579453E-2</c:v>
                </c:pt>
                <c:pt idx="514">
                  <c:v>5.4550377494533613E-2</c:v>
                </c:pt>
                <c:pt idx="515">
                  <c:v>5.4550377494533613E-2</c:v>
                </c:pt>
                <c:pt idx="516">
                  <c:v>5.4550377494533613E-2</c:v>
                </c:pt>
                <c:pt idx="517">
                  <c:v>5.4550377494533613E-2</c:v>
                </c:pt>
                <c:pt idx="518">
                  <c:v>5.4550377494533613E-2</c:v>
                </c:pt>
                <c:pt idx="519">
                  <c:v>5.4550377494533613E-2</c:v>
                </c:pt>
                <c:pt idx="520">
                  <c:v>5.4550377494533613E-2</c:v>
                </c:pt>
                <c:pt idx="521">
                  <c:v>5.4550377494533613E-2</c:v>
                </c:pt>
                <c:pt idx="522">
                  <c:v>6.8274633981906245E-4</c:v>
                </c:pt>
                <c:pt idx="523">
                  <c:v>6.8274633981906245E-4</c:v>
                </c:pt>
                <c:pt idx="524">
                  <c:v>7.2226219902314333E-4</c:v>
                </c:pt>
                <c:pt idx="525">
                  <c:v>7.2226219902314333E-4</c:v>
                </c:pt>
                <c:pt idx="526">
                  <c:v>7.2226219902314333E-4</c:v>
                </c:pt>
                <c:pt idx="527">
                  <c:v>7.2226219902314333E-4</c:v>
                </c:pt>
                <c:pt idx="528">
                  <c:v>6.1268765363656371E-4</c:v>
                </c:pt>
                <c:pt idx="529">
                  <c:v>6.1268765363656371E-4</c:v>
                </c:pt>
                <c:pt idx="530">
                  <c:v>6.1268765363656371E-4</c:v>
                </c:pt>
                <c:pt idx="531">
                  <c:v>6.1268765363656371E-4</c:v>
                </c:pt>
                <c:pt idx="532">
                  <c:v>6.6711717123574797E-4</c:v>
                </c:pt>
                <c:pt idx="533">
                  <c:v>6.6711717123574797E-4</c:v>
                </c:pt>
                <c:pt idx="534">
                  <c:v>6.6711717123574797E-4</c:v>
                </c:pt>
                <c:pt idx="535">
                  <c:v>6.6711717123574797E-4</c:v>
                </c:pt>
                <c:pt idx="536">
                  <c:v>5.3958445557318298E-4</c:v>
                </c:pt>
                <c:pt idx="537">
                  <c:v>5.3958445557318298E-4</c:v>
                </c:pt>
                <c:pt idx="538">
                  <c:v>5.3958445557318298E-4</c:v>
                </c:pt>
                <c:pt idx="539">
                  <c:v>5.3958445557318298E-4</c:v>
                </c:pt>
                <c:pt idx="540">
                  <c:v>5.3362021622097597E-4</c:v>
                </c:pt>
                <c:pt idx="541">
                  <c:v>5.3362021622097597E-4</c:v>
                </c:pt>
                <c:pt idx="542">
                  <c:v>5.3362021622097597E-4</c:v>
                </c:pt>
                <c:pt idx="543">
                  <c:v>5.3362021622097597E-4</c:v>
                </c:pt>
                <c:pt idx="544">
                  <c:v>4.9589602037646669E-4</c:v>
                </c:pt>
                <c:pt idx="545">
                  <c:v>4.9589602037646669E-4</c:v>
                </c:pt>
                <c:pt idx="546">
                  <c:v>4.9589602037646669E-4</c:v>
                </c:pt>
                <c:pt idx="547">
                  <c:v>4.9589602037646669E-4</c:v>
                </c:pt>
                <c:pt idx="548">
                  <c:v>4.5162297504167961E-4</c:v>
                </c:pt>
                <c:pt idx="549">
                  <c:v>4.5162297504167961E-4</c:v>
                </c:pt>
                <c:pt idx="550">
                  <c:v>4.5162297504167961E-4</c:v>
                </c:pt>
                <c:pt idx="551">
                  <c:v>4.5162297504167961E-4</c:v>
                </c:pt>
                <c:pt idx="552">
                  <c:v>8.1250644809519068E-4</c:v>
                </c:pt>
                <c:pt idx="553">
                  <c:v>8.1250644809519068E-4</c:v>
                </c:pt>
                <c:pt idx="554">
                  <c:v>8.1250644809519068E-4</c:v>
                </c:pt>
                <c:pt idx="555">
                  <c:v>8.1250644809519068E-4</c:v>
                </c:pt>
                <c:pt idx="556">
                  <c:v>1.1314571143666431E-3</c:v>
                </c:pt>
                <c:pt idx="557">
                  <c:v>1.1314571143666431E-3</c:v>
                </c:pt>
                <c:pt idx="558">
                  <c:v>1.1314571143666431E-3</c:v>
                </c:pt>
                <c:pt idx="559">
                  <c:v>1.1314571143666431E-3</c:v>
                </c:pt>
                <c:pt idx="560">
                  <c:v>1.543056079090352E-3</c:v>
                </c:pt>
                <c:pt idx="561">
                  <c:v>1.543056079090352E-3</c:v>
                </c:pt>
                <c:pt idx="562">
                  <c:v>1.543056079090352E-3</c:v>
                </c:pt>
                <c:pt idx="563">
                  <c:v>1.543056079090352E-3</c:v>
                </c:pt>
                <c:pt idx="564">
                  <c:v>1.0726805330251909E-3</c:v>
                </c:pt>
                <c:pt idx="565">
                  <c:v>1.0726805330251909E-3</c:v>
                </c:pt>
                <c:pt idx="566">
                  <c:v>1.0726805330251909E-3</c:v>
                </c:pt>
                <c:pt idx="567">
                  <c:v>1.0726805330251909E-3</c:v>
                </c:pt>
                <c:pt idx="568">
                  <c:v>9.9804011718640203E-4</c:v>
                </c:pt>
                <c:pt idx="569">
                  <c:v>9.9804011718640203E-4</c:v>
                </c:pt>
                <c:pt idx="570">
                  <c:v>9.9804011718640203E-4</c:v>
                </c:pt>
                <c:pt idx="571">
                  <c:v>9.9804011718640203E-4</c:v>
                </c:pt>
                <c:pt idx="572">
                  <c:v>9.9939188696901698E-4</c:v>
                </c:pt>
                <c:pt idx="573">
                  <c:v>9.9939188696901698E-4</c:v>
                </c:pt>
                <c:pt idx="574">
                  <c:v>9.9939188696901698E-4</c:v>
                </c:pt>
                <c:pt idx="575">
                  <c:v>9.9939188696901698E-4</c:v>
                </c:pt>
                <c:pt idx="576">
                  <c:v>9.9939188696901698E-4</c:v>
                </c:pt>
                <c:pt idx="577">
                  <c:v>9.9939188696901698E-4</c:v>
                </c:pt>
                <c:pt idx="578">
                  <c:v>9.9939188696901698E-4</c:v>
                </c:pt>
                <c:pt idx="579">
                  <c:v>9.9939188696901698E-4</c:v>
                </c:pt>
              </c:numCache>
            </c:numRef>
          </c:xVal>
          <c:yVal>
            <c:numRef>
              <c:f>data_hs_export_share_full!$G$2:$G$581</c:f>
              <c:numCache>
                <c:formatCode>General</c:formatCode>
                <c:ptCount val="58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-0.26564230957886825</c:v>
                </c:pt>
                <c:pt idx="59">
                  <c:v>-0.44393497951385608</c:v>
                </c:pt>
                <c:pt idx="60">
                  <c:v>-0.73190998834913579</c:v>
                </c:pt>
                <c:pt idx="61">
                  <c:v>0.41662877211910709</c:v>
                </c:pt>
                <c:pt idx="62">
                  <c:v>-1.9946331412953566</c:v>
                </c:pt>
                <c:pt idx="63">
                  <c:v>0.23384031312051204</c:v>
                </c:pt>
                <c:pt idx="64">
                  <c:v>-0.43518371560798574</c:v>
                </c:pt>
                <c:pt idx="65">
                  <c:v>0.1631824151071698</c:v>
                </c:pt>
                <c:pt idx="66">
                  <c:v>-0.93831791482202453</c:v>
                </c:pt>
                <c:pt idx="67">
                  <c:v>0.26279764266585015</c:v>
                </c:pt>
                <c:pt idx="68">
                  <c:v>0.60804524034366203</c:v>
                </c:pt>
                <c:pt idx="69">
                  <c:v>0.82726288526369518</c:v>
                </c:pt>
                <c:pt idx="70">
                  <c:v>0.55985462173544898</c:v>
                </c:pt>
                <c:pt idx="71">
                  <c:v>0.30703964316712207</c:v>
                </c:pt>
                <c:pt idx="72">
                  <c:v>0.60184371182729057</c:v>
                </c:pt>
                <c:pt idx="73">
                  <c:v>0.20095810349653198</c:v>
                </c:pt>
                <c:pt idx="74">
                  <c:v>-9.5872444645270116E-2</c:v>
                </c:pt>
                <c:pt idx="75">
                  <c:v>0.37602266897304393</c:v>
                </c:pt>
                <c:pt idx="76">
                  <c:v>-0.11861033767558893</c:v>
                </c:pt>
                <c:pt idx="77">
                  <c:v>-4.7304590003143909E-2</c:v>
                </c:pt>
                <c:pt idx="78">
                  <c:v>-0.28042817709720791</c:v>
                </c:pt>
                <c:pt idx="79">
                  <c:v>-1.0856298219501959E-2</c:v>
                </c:pt>
                <c:pt idx="80">
                  <c:v>0.1507797162184652</c:v>
                </c:pt>
                <c:pt idx="81">
                  <c:v>-0.26884506369373296</c:v>
                </c:pt>
                <c:pt idx="82">
                  <c:v>-0.10249939779924788</c:v>
                </c:pt>
                <c:pt idx="83">
                  <c:v>-7.9783867035730927E-2</c:v>
                </c:pt>
                <c:pt idx="84">
                  <c:v>5.8211280770205098E-2</c:v>
                </c:pt>
                <c:pt idx="85">
                  <c:v>0.32816631924187512</c:v>
                </c:pt>
                <c:pt idx="86">
                  <c:v>0.17749745265910399</c:v>
                </c:pt>
                <c:pt idx="87">
                  <c:v>5.2215939373469133E-2</c:v>
                </c:pt>
                <c:pt idx="88">
                  <c:v>0.8982846201541661</c:v>
                </c:pt>
                <c:pt idx="89">
                  <c:v>1.2770204459163441</c:v>
                </c:pt>
                <c:pt idx="90">
                  <c:v>0.68058495597650426</c:v>
                </c:pt>
                <c:pt idx="91">
                  <c:v>1.1871434535654872</c:v>
                </c:pt>
                <c:pt idx="92">
                  <c:v>-5.8720213186906536</c:v>
                </c:pt>
                <c:pt idx="93">
                  <c:v>3.5084821711300487</c:v>
                </c:pt>
                <c:pt idx="94">
                  <c:v>-6.1107535820139915</c:v>
                </c:pt>
                <c:pt idx="95">
                  <c:v>2.2459230282070131</c:v>
                </c:pt>
                <c:pt idx="96">
                  <c:v>1.9428126002794937</c:v>
                </c:pt>
                <c:pt idx="97">
                  <c:v>8.311464590272255E-2</c:v>
                </c:pt>
                <c:pt idx="98">
                  <c:v>-0.62319540430046239</c:v>
                </c:pt>
                <c:pt idx="99">
                  <c:v>1.5244104334755164</c:v>
                </c:pt>
                <c:pt idx="100">
                  <c:v>1.2985802285253398</c:v>
                </c:pt>
                <c:pt idx="101">
                  <c:v>1.1286019302321901</c:v>
                </c:pt>
                <c:pt idx="102">
                  <c:v>0.27459955625362209</c:v>
                </c:pt>
                <c:pt idx="103">
                  <c:v>1.9291371195943738</c:v>
                </c:pt>
                <c:pt idx="104">
                  <c:v>1.3883640898298362</c:v>
                </c:pt>
                <c:pt idx="105">
                  <c:v>0.10822182527690605</c:v>
                </c:pt>
                <c:pt idx="106">
                  <c:v>-0.22744129975502081</c:v>
                </c:pt>
                <c:pt idx="107">
                  <c:v>0.3161099745136402</c:v>
                </c:pt>
                <c:pt idx="108">
                  <c:v>-0.27505597868087905</c:v>
                </c:pt>
                <c:pt idx="109">
                  <c:v>-5.2551522415263063E-2</c:v>
                </c:pt>
                <c:pt idx="110">
                  <c:v>-0.26942607773384397</c:v>
                </c:pt>
                <c:pt idx="111">
                  <c:v>-0.18241471680150112</c:v>
                </c:pt>
                <c:pt idx="112">
                  <c:v>-0.26624808616432227</c:v>
                </c:pt>
                <c:pt idx="113">
                  <c:v>-1.9512226852114511E-2</c:v>
                </c:pt>
                <c:pt idx="114">
                  <c:v>-0.3989585451423473</c:v>
                </c:pt>
                <c:pt idx="115">
                  <c:v>0.20939697133562885</c:v>
                </c:pt>
                <c:pt idx="116">
                  <c:v>0.89939483995655589</c:v>
                </c:pt>
                <c:pt idx="117">
                  <c:v>1.1808560325801118</c:v>
                </c:pt>
                <c:pt idx="118">
                  <c:v>-5.4029254337575217E-2</c:v>
                </c:pt>
                <c:pt idx="119">
                  <c:v>-0.12697692728141019</c:v>
                </c:pt>
                <c:pt idx="120">
                  <c:v>-1.2429766151063308</c:v>
                </c:pt>
                <c:pt idx="121">
                  <c:v>2.1276684188162975E-2</c:v>
                </c:pt>
                <c:pt idx="122">
                  <c:v>-0.2668114338305837</c:v>
                </c:pt>
                <c:pt idx="123">
                  <c:v>0.10607414917842456</c:v>
                </c:pt>
                <c:pt idx="124">
                  <c:v>-1.1036026474346108</c:v>
                </c:pt>
                <c:pt idx="125">
                  <c:v>0.19098522298304116</c:v>
                </c:pt>
                <c:pt idx="126">
                  <c:v>0.50391511063603911</c:v>
                </c:pt>
                <c:pt idx="127">
                  <c:v>0.93895915127589302</c:v>
                </c:pt>
                <c:pt idx="128">
                  <c:v>0.38489933569674806</c:v>
                </c:pt>
                <c:pt idx="129">
                  <c:v>0.3604753690907021</c:v>
                </c:pt>
                <c:pt idx="130">
                  <c:v>0.41668627246598899</c:v>
                </c:pt>
                <c:pt idx="131">
                  <c:v>-0.19885935702409907</c:v>
                </c:pt>
                <c:pt idx="132">
                  <c:v>-0.47235285542918604</c:v>
                </c:pt>
                <c:pt idx="133">
                  <c:v>-0.3600890531802059</c:v>
                </c:pt>
                <c:pt idx="134">
                  <c:v>0.27860513231977801</c:v>
                </c:pt>
                <c:pt idx="135">
                  <c:v>0.24619510094493702</c:v>
                </c:pt>
                <c:pt idx="136">
                  <c:v>0.16032115441809891</c:v>
                </c:pt>
                <c:pt idx="137">
                  <c:v>0.56021580938968807</c:v>
                </c:pt>
                <c:pt idx="138">
                  <c:v>1.6647192282288961</c:v>
                </c:pt>
                <c:pt idx="139">
                  <c:v>0.98726553765954383</c:v>
                </c:pt>
                <c:pt idx="140">
                  <c:v>1.5726056100512928</c:v>
                </c:pt>
                <c:pt idx="141">
                  <c:v>1.4979471361736059</c:v>
                </c:pt>
                <c:pt idx="142">
                  <c:v>-0.85346390397992189</c:v>
                </c:pt>
                <c:pt idx="143">
                  <c:v>-0.45083812998151118</c:v>
                </c:pt>
                <c:pt idx="144">
                  <c:v>-0.58665416924442604</c:v>
                </c:pt>
                <c:pt idx="145">
                  <c:v>-1.0388815708978532</c:v>
                </c:pt>
                <c:pt idx="146">
                  <c:v>-0.72683828897076608</c:v>
                </c:pt>
                <c:pt idx="147">
                  <c:v>0.67371743677701046</c:v>
                </c:pt>
                <c:pt idx="148">
                  <c:v>-0.93999679709258999</c:v>
                </c:pt>
                <c:pt idx="149">
                  <c:v>0.56661972983481634</c:v>
                </c:pt>
                <c:pt idx="150">
                  <c:v>-5.5117432414984107</c:v>
                </c:pt>
                <c:pt idx="151">
                  <c:v>1.0663028045156304</c:v>
                </c:pt>
                <c:pt idx="152">
                  <c:v>-6.0477828073613109</c:v>
                </c:pt>
                <c:pt idx="153">
                  <c:v>1.9676759169072984</c:v>
                </c:pt>
                <c:pt idx="154">
                  <c:v>0.31461082759038206</c:v>
                </c:pt>
                <c:pt idx="155">
                  <c:v>1.097113718613111</c:v>
                </c:pt>
                <c:pt idx="156">
                  <c:v>-2.0409268972643462</c:v>
                </c:pt>
                <c:pt idx="157">
                  <c:v>0.42604586480458417</c:v>
                </c:pt>
                <c:pt idx="158">
                  <c:v>-2.6609443169839953</c:v>
                </c:pt>
                <c:pt idx="159">
                  <c:v>0.37338056935970299</c:v>
                </c:pt>
                <c:pt idx="160">
                  <c:v>-2.1229358469342294</c:v>
                </c:pt>
                <c:pt idx="161">
                  <c:v>0.37386578423211692</c:v>
                </c:pt>
                <c:pt idx="162">
                  <c:v>-0.19093583944082815</c:v>
                </c:pt>
                <c:pt idx="163">
                  <c:v>-0.54354189717324675</c:v>
                </c:pt>
                <c:pt idx="164">
                  <c:v>-3.2259227434105444</c:v>
                </c:pt>
                <c:pt idx="165">
                  <c:v>-1.0064641370532392</c:v>
                </c:pt>
                <c:pt idx="166">
                  <c:v>-0.76398245054191438</c:v>
                </c:pt>
                <c:pt idx="167">
                  <c:v>0.15197449145164205</c:v>
                </c:pt>
                <c:pt idx="168">
                  <c:v>-1.3181654375038181</c:v>
                </c:pt>
                <c:pt idx="169">
                  <c:v>-8.7013171124686664E-2</c:v>
                </c:pt>
                <c:pt idx="170">
                  <c:v>-0.35308220120580563</c:v>
                </c:pt>
                <c:pt idx="171">
                  <c:v>0.16956839292984849</c:v>
                </c:pt>
                <c:pt idx="172">
                  <c:v>-0.67387334670426191</c:v>
                </c:pt>
                <c:pt idx="173">
                  <c:v>0.37008740234464971</c:v>
                </c:pt>
                <c:pt idx="174">
                  <c:v>-1.3813318500744096</c:v>
                </c:pt>
                <c:pt idx="175">
                  <c:v>-1.4042156255031488</c:v>
                </c:pt>
                <c:pt idx="176">
                  <c:v>-3.5578433110301635</c:v>
                </c:pt>
                <c:pt idx="177">
                  <c:v>-1.468084985895092</c:v>
                </c:pt>
                <c:pt idx="178">
                  <c:v>-4.4179928139605931</c:v>
                </c:pt>
                <c:pt idx="179">
                  <c:v>-1.1441842892946601</c:v>
                </c:pt>
                <c:pt idx="180">
                  <c:v>6.4806094269020953E-3</c:v>
                </c:pt>
                <c:pt idx="181">
                  <c:v>-0.13080820497289203</c:v>
                </c:pt>
                <c:pt idx="182">
                  <c:v>-1.1063931545070063</c:v>
                </c:pt>
                <c:pt idx="183">
                  <c:v>3.6557650467966996E-2</c:v>
                </c:pt>
                <c:pt idx="184">
                  <c:v>0.97444544008665979</c:v>
                </c:pt>
                <c:pt idx="185">
                  <c:v>0.25951375517513608</c:v>
                </c:pt>
                <c:pt idx="186">
                  <c:v>0.5731581210036385</c:v>
                </c:pt>
                <c:pt idx="187">
                  <c:v>0.36104980792893904</c:v>
                </c:pt>
                <c:pt idx="188">
                  <c:v>2.2507531290568341</c:v>
                </c:pt>
                <c:pt idx="189">
                  <c:v>0.84755226971891684</c:v>
                </c:pt>
                <c:pt idx="190">
                  <c:v>1.9227190146805588</c:v>
                </c:pt>
                <c:pt idx="191">
                  <c:v>1.1642716744238411</c:v>
                </c:pt>
                <c:pt idx="192">
                  <c:v>0.20691362640356292</c:v>
                </c:pt>
                <c:pt idx="193">
                  <c:v>-0.32437575106588312</c:v>
                </c:pt>
                <c:pt idx="194">
                  <c:v>0.29294469454354299</c:v>
                </c:pt>
                <c:pt idx="195">
                  <c:v>0.27990361283777565</c:v>
                </c:pt>
                <c:pt idx="196">
                  <c:v>0.59955818573028896</c:v>
                </c:pt>
                <c:pt idx="197">
                  <c:v>-0.21335805850076506</c:v>
                </c:pt>
                <c:pt idx="198">
                  <c:v>0.35000728826492189</c:v>
                </c:pt>
                <c:pt idx="199">
                  <c:v>9.1706447057128937E-2</c:v>
                </c:pt>
                <c:pt idx="200">
                  <c:v>-0.17009025968066194</c:v>
                </c:pt>
                <c:pt idx="201">
                  <c:v>-0.19081445099353322</c:v>
                </c:pt>
                <c:pt idx="202">
                  <c:v>2.9647560491548042E-3</c:v>
                </c:pt>
                <c:pt idx="203">
                  <c:v>-0.48414216228142726</c:v>
                </c:pt>
                <c:pt idx="204">
                  <c:v>-0.21306976831362023</c:v>
                </c:pt>
                <c:pt idx="205">
                  <c:v>7.2237730363746921E-2</c:v>
                </c:pt>
                <c:pt idx="206">
                  <c:v>-0.41366958696250311</c:v>
                </c:pt>
                <c:pt idx="207">
                  <c:v>-0.15364893942900526</c:v>
                </c:pt>
                <c:pt idx="208">
                  <c:v>-13.076741440445701</c:v>
                </c:pt>
                <c:pt idx="209">
                  <c:v>0.82436876065597886</c:v>
                </c:pt>
                <c:pt idx="210">
                  <c:v>-13.449524977065238</c:v>
                </c:pt>
                <c:pt idx="211">
                  <c:v>-2.2018192403305132</c:v>
                </c:pt>
                <c:pt idx="212">
                  <c:v>1.1184606927194407</c:v>
                </c:pt>
                <c:pt idx="213">
                  <c:v>1.8458632295773425</c:v>
                </c:pt>
                <c:pt idx="214">
                  <c:v>-0.50686163990971256</c:v>
                </c:pt>
                <c:pt idx="215">
                  <c:v>0.58806104979523433</c:v>
                </c:pt>
                <c:pt idx="216">
                  <c:v>0.64788894209388648</c:v>
                </c:pt>
                <c:pt idx="217">
                  <c:v>1.6280433106379038</c:v>
                </c:pt>
                <c:pt idx="218">
                  <c:v>-0.60227924273788158</c:v>
                </c:pt>
                <c:pt idx="219">
                  <c:v>2.149623075816363</c:v>
                </c:pt>
                <c:pt idx="220">
                  <c:v>1.4759385035830395</c:v>
                </c:pt>
                <c:pt idx="221">
                  <c:v>6.5493966740925114E-2</c:v>
                </c:pt>
                <c:pt idx="222">
                  <c:v>-0.94199003346141597</c:v>
                </c:pt>
                <c:pt idx="223">
                  <c:v>0.49429728762396685</c:v>
                </c:pt>
                <c:pt idx="224">
                  <c:v>1.7363603942146351</c:v>
                </c:pt>
                <c:pt idx="225">
                  <c:v>0.42996620634170712</c:v>
                </c:pt>
                <c:pt idx="226">
                  <c:v>1.432026290013092</c:v>
                </c:pt>
                <c:pt idx="227">
                  <c:v>1.2521726761369569</c:v>
                </c:pt>
                <c:pt idx="228">
                  <c:v>0.4397199192889798</c:v>
                </c:pt>
                <c:pt idx="229">
                  <c:v>-8.2255734956584892E-2</c:v>
                </c:pt>
                <c:pt idx="230">
                  <c:v>0.83836493177998594</c:v>
                </c:pt>
                <c:pt idx="231">
                  <c:v>0.23477837424939674</c:v>
                </c:pt>
                <c:pt idx="232">
                  <c:v>-0.72097823586978693</c:v>
                </c:pt>
                <c:pt idx="233">
                  <c:v>-1.3490233924862403</c:v>
                </c:pt>
                <c:pt idx="234">
                  <c:v>-2.8967088940255072</c:v>
                </c:pt>
                <c:pt idx="235">
                  <c:v>-1.6205593666224374</c:v>
                </c:pt>
                <c:pt idx="236">
                  <c:v>-4.1054013535411551</c:v>
                </c:pt>
                <c:pt idx="237">
                  <c:v>-2.2925956788913462</c:v>
                </c:pt>
                <c:pt idx="238">
                  <c:v>-1.8026810025172653</c:v>
                </c:pt>
                <c:pt idx="239">
                  <c:v>-0.33824602126275083</c:v>
                </c:pt>
                <c:pt idx="240">
                  <c:v>-2.5825808509828021</c:v>
                </c:pt>
                <c:pt idx="241">
                  <c:v>-1.2701347576567219</c:v>
                </c:pt>
                <c:pt idx="242">
                  <c:v>-1.0598446835814783</c:v>
                </c:pt>
                <c:pt idx="243">
                  <c:v>-3.7170636542870672E-2</c:v>
                </c:pt>
                <c:pt idx="244">
                  <c:v>-1.4839669415266257</c:v>
                </c:pt>
                <c:pt idx="245">
                  <c:v>-0.65495754471519485</c:v>
                </c:pt>
                <c:pt idx="246">
                  <c:v>-0.14620954323508523</c:v>
                </c:pt>
                <c:pt idx="247">
                  <c:v>0.1253373978109007</c:v>
                </c:pt>
                <c:pt idx="248">
                  <c:v>-0.57280300136018747</c:v>
                </c:pt>
                <c:pt idx="249">
                  <c:v>0.12311761734483889</c:v>
                </c:pt>
                <c:pt idx="250">
                  <c:v>1.8786753011990158</c:v>
                </c:pt>
                <c:pt idx="251">
                  <c:v>1.7183218536184302</c:v>
                </c:pt>
                <c:pt idx="252">
                  <c:v>1.510323809035472</c:v>
                </c:pt>
                <c:pt idx="253">
                  <c:v>1.8590512359207483</c:v>
                </c:pt>
                <c:pt idx="254">
                  <c:v>2.4720940007392684</c:v>
                </c:pt>
                <c:pt idx="255">
                  <c:v>-4.9051166356071096E-2</c:v>
                </c:pt>
                <c:pt idx="256">
                  <c:v>2.5243960048727772</c:v>
                </c:pt>
                <c:pt idx="257">
                  <c:v>1.9527316757675739</c:v>
                </c:pt>
                <c:pt idx="258">
                  <c:v>-1.4684876877358761</c:v>
                </c:pt>
                <c:pt idx="259">
                  <c:v>-1.7034961062862728</c:v>
                </c:pt>
                <c:pt idx="260">
                  <c:v>-0.55948823596464492</c:v>
                </c:pt>
                <c:pt idx="261">
                  <c:v>-1.3340082792667409</c:v>
                </c:pt>
                <c:pt idx="262">
                  <c:v>-0.8335748506428422</c:v>
                </c:pt>
                <c:pt idx="263">
                  <c:v>-1.4110869060006026E-2</c:v>
                </c:pt>
                <c:pt idx="264">
                  <c:v>-0.9295559719103379</c:v>
                </c:pt>
                <c:pt idx="265">
                  <c:v>-0.29784066310397006</c:v>
                </c:pt>
                <c:pt idx="266">
                  <c:v>-3.6230506117637438</c:v>
                </c:pt>
                <c:pt idx="267">
                  <c:v>1.7496128021536563</c:v>
                </c:pt>
                <c:pt idx="268">
                  <c:v>-3.6875295267387962</c:v>
                </c:pt>
                <c:pt idx="269">
                  <c:v>3.812344683053138</c:v>
                </c:pt>
                <c:pt idx="270">
                  <c:v>-0.25859743194969287</c:v>
                </c:pt>
                <c:pt idx="271">
                  <c:v>-0.76255561777172076</c:v>
                </c:pt>
                <c:pt idx="272">
                  <c:v>-1.0319888097993339</c:v>
                </c:pt>
                <c:pt idx="273">
                  <c:v>-9.7992979043315831E-2</c:v>
                </c:pt>
                <c:pt idx="274">
                  <c:v>-2.0671616710759921</c:v>
                </c:pt>
                <c:pt idx="275">
                  <c:v>-1.5677906220824354</c:v>
                </c:pt>
                <c:pt idx="276">
                  <c:v>-1.9916383255658392</c:v>
                </c:pt>
                <c:pt idx="277">
                  <c:v>-0.84304938846227129</c:v>
                </c:pt>
                <c:pt idx="278">
                  <c:v>-1.5379932664356266</c:v>
                </c:pt>
                <c:pt idx="279">
                  <c:v>-1.4350651524638591</c:v>
                </c:pt>
                <c:pt idx="280">
                  <c:v>-2.96232576895608</c:v>
                </c:pt>
                <c:pt idx="281">
                  <c:v>-1.4958963214910126</c:v>
                </c:pt>
                <c:pt idx="282">
                  <c:v>5.5454419377964248E-2</c:v>
                </c:pt>
                <c:pt idx="283">
                  <c:v>1.1596069734324581</c:v>
                </c:pt>
                <c:pt idx="284">
                  <c:v>-0.49398677856419337</c:v>
                </c:pt>
                <c:pt idx="285">
                  <c:v>0.84187322906342721</c:v>
                </c:pt>
                <c:pt idx="286">
                  <c:v>-0.74460636681637882</c:v>
                </c:pt>
                <c:pt idx="287">
                  <c:v>0.72418125285179868</c:v>
                </c:pt>
                <c:pt idx="288">
                  <c:v>-0.5607547780382397</c:v>
                </c:pt>
                <c:pt idx="289">
                  <c:v>-0.17606213387669556</c:v>
                </c:pt>
                <c:pt idx="290">
                  <c:v>0.83612488664531526</c:v>
                </c:pt>
                <c:pt idx="291">
                  <c:v>0.67997235008080126</c:v>
                </c:pt>
                <c:pt idx="292">
                  <c:v>-0.32472647373697416</c:v>
                </c:pt>
                <c:pt idx="293">
                  <c:v>3.5343935314330999E-2</c:v>
                </c:pt>
                <c:pt idx="294">
                  <c:v>-1.8139364015399</c:v>
                </c:pt>
                <c:pt idx="295">
                  <c:v>-0.24613356157585023</c:v>
                </c:pt>
                <c:pt idx="296">
                  <c:v>0.54586999163456773</c:v>
                </c:pt>
                <c:pt idx="297">
                  <c:v>0.70642650900507031</c:v>
                </c:pt>
                <c:pt idx="298">
                  <c:v>-0.41064631977665855</c:v>
                </c:pt>
                <c:pt idx="299">
                  <c:v>1.0226418522737479</c:v>
                </c:pt>
                <c:pt idx="300">
                  <c:v>8.2625762713080086E-2</c:v>
                </c:pt>
                <c:pt idx="301">
                  <c:v>0.67469908808817769</c:v>
                </c:pt>
                <c:pt idx="302">
                  <c:v>-0.10261972066728997</c:v>
                </c:pt>
                <c:pt idx="303">
                  <c:v>1.7194448601227763E-2</c:v>
                </c:pt>
                <c:pt idx="304">
                  <c:v>0.29855354285163038</c:v>
                </c:pt>
                <c:pt idx="305">
                  <c:v>-8.9414898423502587E-2</c:v>
                </c:pt>
                <c:pt idx="306">
                  <c:v>-0.47972768132192978</c:v>
                </c:pt>
                <c:pt idx="307">
                  <c:v>-8.8439121019513678E-2</c:v>
                </c:pt>
                <c:pt idx="308">
                  <c:v>-0.6951946375147382</c:v>
                </c:pt>
                <c:pt idx="309">
                  <c:v>-0.52027408063893632</c:v>
                </c:pt>
                <c:pt idx="310">
                  <c:v>-0.9474050098037794</c:v>
                </c:pt>
                <c:pt idx="311">
                  <c:v>-0.59721808051947733</c:v>
                </c:pt>
                <c:pt idx="312">
                  <c:v>0.88730828907390391</c:v>
                </c:pt>
                <c:pt idx="313">
                  <c:v>0.63331091710201193</c:v>
                </c:pt>
                <c:pt idx="314">
                  <c:v>0.55799583927453589</c:v>
                </c:pt>
                <c:pt idx="315">
                  <c:v>0.89053149409434584</c:v>
                </c:pt>
                <c:pt idx="316">
                  <c:v>-0.17374369252594701</c:v>
                </c:pt>
                <c:pt idx="317">
                  <c:v>-9.4418697622485004E-2</c:v>
                </c:pt>
                <c:pt idx="318">
                  <c:v>-0.15383585632429808</c:v>
                </c:pt>
                <c:pt idx="319">
                  <c:v>-0.41758951411248901</c:v>
                </c:pt>
                <c:pt idx="320">
                  <c:v>0.4384166790122872</c:v>
                </c:pt>
                <c:pt idx="321">
                  <c:v>0.79261069491608427</c:v>
                </c:pt>
                <c:pt idx="322">
                  <c:v>0.24168578243425221</c:v>
                </c:pt>
                <c:pt idx="323">
                  <c:v>0.74602981041785821</c:v>
                </c:pt>
                <c:pt idx="324">
                  <c:v>-9.1974015560336042</c:v>
                </c:pt>
                <c:pt idx="325">
                  <c:v>1.4391287067798215</c:v>
                </c:pt>
                <c:pt idx="326">
                  <c:v>-9.4157638701608679</c:v>
                </c:pt>
                <c:pt idx="327">
                  <c:v>0.33628419121901221</c:v>
                </c:pt>
                <c:pt idx="328">
                  <c:v>0.77492257463683512</c:v>
                </c:pt>
                <c:pt idx="329">
                  <c:v>2.7609048047935403E-2</c:v>
                </c:pt>
                <c:pt idx="330">
                  <c:v>-0.83094601408312574</c:v>
                </c:pt>
                <c:pt idx="331">
                  <c:v>0.85548580385178141</c:v>
                </c:pt>
                <c:pt idx="332">
                  <c:v>-1.0044763978131481</c:v>
                </c:pt>
                <c:pt idx="333">
                  <c:v>0.13221272000764106</c:v>
                </c:pt>
                <c:pt idx="334">
                  <c:v>-1.4498059135976793</c:v>
                </c:pt>
                <c:pt idx="335">
                  <c:v>-0.33728125818969223</c:v>
                </c:pt>
                <c:pt idx="336">
                  <c:v>1.362740568589244</c:v>
                </c:pt>
                <c:pt idx="337">
                  <c:v>0.799970788141108</c:v>
                </c:pt>
                <c:pt idx="338">
                  <c:v>3.3137959113811011E-2</c:v>
                </c:pt>
                <c:pt idx="339">
                  <c:v>1.0779868195341884</c:v>
                </c:pt>
                <c:pt idx="340">
                  <c:v>0.16738745154850099</c:v>
                </c:pt>
                <c:pt idx="341">
                  <c:v>0.27545247469052403</c:v>
                </c:pt>
                <c:pt idx="342">
                  <c:v>-4.1217278471559204E-3</c:v>
                </c:pt>
                <c:pt idx="343">
                  <c:v>0.68596377940700104</c:v>
                </c:pt>
                <c:pt idx="344">
                  <c:v>6.3031178006735966E-2</c:v>
                </c:pt>
                <c:pt idx="345">
                  <c:v>0.18847413300152815</c:v>
                </c:pt>
                <c:pt idx="346">
                  <c:v>-0.37378753748365889</c:v>
                </c:pt>
                <c:pt idx="347">
                  <c:v>0.31295676387087734</c:v>
                </c:pt>
                <c:pt idx="348">
                  <c:v>0.50049004709387601</c:v>
                </c:pt>
                <c:pt idx="349">
                  <c:v>0.9413258690012245</c:v>
                </c:pt>
                <c:pt idx="350">
                  <c:v>-1.6280635865737629</c:v>
                </c:pt>
                <c:pt idx="351">
                  <c:v>-0.96922525562108064</c:v>
                </c:pt>
                <c:pt idx="352">
                  <c:v>-2.453635222613276</c:v>
                </c:pt>
                <c:pt idx="353">
                  <c:v>-1.0724333951104441</c:v>
                </c:pt>
                <c:pt idx="354">
                  <c:v>1.205057100905597</c:v>
                </c:pt>
                <c:pt idx="355">
                  <c:v>1.9567787515864445</c:v>
                </c:pt>
                <c:pt idx="356">
                  <c:v>0.35473491447531091</c:v>
                </c:pt>
                <c:pt idx="357">
                  <c:v>1.190812142791823</c:v>
                </c:pt>
                <c:pt idx="358">
                  <c:v>7.3473765864294371</c:v>
                </c:pt>
                <c:pt idx="359">
                  <c:v>4.4352299730116496</c:v>
                </c:pt>
                <c:pt idx="360">
                  <c:v>6.8741599328546545</c:v>
                </c:pt>
                <c:pt idx="361">
                  <c:v>7.3099334555518691</c:v>
                </c:pt>
                <c:pt idx="362">
                  <c:v>18.328578063419037</c:v>
                </c:pt>
                <c:pt idx="363">
                  <c:v>15.905810160190644</c:v>
                </c:pt>
                <c:pt idx="364">
                  <c:v>18.955022320797561</c:v>
                </c:pt>
                <c:pt idx="365">
                  <c:v>18.343702761513786</c:v>
                </c:pt>
                <c:pt idx="366">
                  <c:v>-3.3115780556468373</c:v>
                </c:pt>
                <c:pt idx="367">
                  <c:v>-2.9158948376772491</c:v>
                </c:pt>
                <c:pt idx="368">
                  <c:v>-2.3039111882363645</c:v>
                </c:pt>
                <c:pt idx="369">
                  <c:v>-3.6961635285906365</c:v>
                </c:pt>
                <c:pt idx="370">
                  <c:v>6.0228740309448732</c:v>
                </c:pt>
                <c:pt idx="371">
                  <c:v>4.7979924738822781</c:v>
                </c:pt>
                <c:pt idx="372">
                  <c:v>5.9524962396982399</c:v>
                </c:pt>
                <c:pt idx="373">
                  <c:v>5.6733497511086632</c:v>
                </c:pt>
                <c:pt idx="374">
                  <c:v>3.5391422005323694</c:v>
                </c:pt>
                <c:pt idx="375">
                  <c:v>-0.36708855616052638</c:v>
                </c:pt>
                <c:pt idx="376">
                  <c:v>3.8014603254516723</c:v>
                </c:pt>
                <c:pt idx="377">
                  <c:v>1.7637946495625059</c:v>
                </c:pt>
                <c:pt idx="378">
                  <c:v>0.2937881326285563</c:v>
                </c:pt>
                <c:pt idx="379">
                  <c:v>-0.81182975289263659</c:v>
                </c:pt>
                <c:pt idx="380">
                  <c:v>0.76508940488487553</c:v>
                </c:pt>
                <c:pt idx="381">
                  <c:v>1.0641944495974975</c:v>
                </c:pt>
                <c:pt idx="382">
                  <c:v>3.4578095605905887</c:v>
                </c:pt>
                <c:pt idx="383">
                  <c:v>9.3237810475628535</c:v>
                </c:pt>
                <c:pt idx="384">
                  <c:v>3.6187658069427835</c:v>
                </c:pt>
                <c:pt idx="385">
                  <c:v>14.933429444226089</c:v>
                </c:pt>
                <c:pt idx="386">
                  <c:v>12.176886461707223</c:v>
                </c:pt>
                <c:pt idx="387">
                  <c:v>0.5617185951764796</c:v>
                </c:pt>
                <c:pt idx="388">
                  <c:v>9.0402581837302627</c:v>
                </c:pt>
                <c:pt idx="389">
                  <c:v>10.52537395238202</c:v>
                </c:pt>
                <c:pt idx="390">
                  <c:v>2.8975720388514441</c:v>
                </c:pt>
                <c:pt idx="391">
                  <c:v>0.11836057066008809</c:v>
                </c:pt>
                <c:pt idx="392">
                  <c:v>3.0134574969968924</c:v>
                </c:pt>
                <c:pt idx="393">
                  <c:v>2.607758140674961</c:v>
                </c:pt>
                <c:pt idx="394">
                  <c:v>-6.6927658082332888</c:v>
                </c:pt>
                <c:pt idx="395">
                  <c:v>-2.5855542962976177</c:v>
                </c:pt>
                <c:pt idx="396">
                  <c:v>-7.955341703093274</c:v>
                </c:pt>
                <c:pt idx="397">
                  <c:v>-9.0375833468898072</c:v>
                </c:pt>
                <c:pt idx="398">
                  <c:v>0.57631554946716701</c:v>
                </c:pt>
                <c:pt idx="399">
                  <c:v>4.1610059157908612</c:v>
                </c:pt>
                <c:pt idx="400">
                  <c:v>-1.3475656933011551</c:v>
                </c:pt>
                <c:pt idx="401">
                  <c:v>2.3766670965922447</c:v>
                </c:pt>
                <c:pt idx="402">
                  <c:v>3.7555055239175816</c:v>
                </c:pt>
                <c:pt idx="403">
                  <c:v>-2.8716445193852991</c:v>
                </c:pt>
                <c:pt idx="404">
                  <c:v>4.186398837203722</c:v>
                </c:pt>
                <c:pt idx="405">
                  <c:v>4.4019772197251861</c:v>
                </c:pt>
                <c:pt idx="406">
                  <c:v>0.31332096396137299</c:v>
                </c:pt>
                <c:pt idx="407">
                  <c:v>-0.10643235308456145</c:v>
                </c:pt>
                <c:pt idx="408">
                  <c:v>-3.283682876216877</c:v>
                </c:pt>
                <c:pt idx="409">
                  <c:v>-0.93975532690563535</c:v>
                </c:pt>
                <c:pt idx="410">
                  <c:v>-4.5415254167541681</c:v>
                </c:pt>
                <c:pt idx="411">
                  <c:v>-1.8199453612782872</c:v>
                </c:pt>
                <c:pt idx="412">
                  <c:v>-1.3032488592122233</c:v>
                </c:pt>
                <c:pt idx="413">
                  <c:v>-1.3627956629979066E-2</c:v>
                </c:pt>
                <c:pt idx="414">
                  <c:v>-2.2873965098618703</c:v>
                </c:pt>
                <c:pt idx="415">
                  <c:v>-0.50253549354813787</c:v>
                </c:pt>
                <c:pt idx="416">
                  <c:v>-0.63559197615783425</c:v>
                </c:pt>
                <c:pt idx="417">
                  <c:v>0.46984491420454261</c:v>
                </c:pt>
                <c:pt idx="418">
                  <c:v>-0.64240153811903056</c:v>
                </c:pt>
                <c:pt idx="419">
                  <c:v>-0.49573337159642944</c:v>
                </c:pt>
                <c:pt idx="420">
                  <c:v>0.11412179495312647</c:v>
                </c:pt>
                <c:pt idx="421">
                  <c:v>-0.12380197599240972</c:v>
                </c:pt>
                <c:pt idx="422">
                  <c:v>-0.48713604095095231</c:v>
                </c:pt>
                <c:pt idx="423">
                  <c:v>0.13599178752260521</c:v>
                </c:pt>
                <c:pt idx="424">
                  <c:v>-0.1058406653404671</c:v>
                </c:pt>
                <c:pt idx="425">
                  <c:v>0.63759268194228436</c:v>
                </c:pt>
                <c:pt idx="426">
                  <c:v>-6.5542328540008077E-2</c:v>
                </c:pt>
                <c:pt idx="427">
                  <c:v>0.25497274041926299</c:v>
                </c:pt>
                <c:pt idx="428">
                  <c:v>0.77488781643401738</c:v>
                </c:pt>
                <c:pt idx="429">
                  <c:v>0.22303711004873605</c:v>
                </c:pt>
                <c:pt idx="430">
                  <c:v>0.34231121806944209</c:v>
                </c:pt>
                <c:pt idx="431">
                  <c:v>0.74890781392368888</c:v>
                </c:pt>
                <c:pt idx="432">
                  <c:v>-0.62187743480216839</c:v>
                </c:pt>
                <c:pt idx="433">
                  <c:v>-0.46981863171250737</c:v>
                </c:pt>
                <c:pt idx="434">
                  <c:v>-0.45306326954054732</c:v>
                </c:pt>
                <c:pt idx="435">
                  <c:v>-0.77439182435587239</c:v>
                </c:pt>
                <c:pt idx="436">
                  <c:v>-0.73330529565166769</c:v>
                </c:pt>
                <c:pt idx="437">
                  <c:v>0.31282812569793611</c:v>
                </c:pt>
                <c:pt idx="438">
                  <c:v>-0.79138299663360767</c:v>
                </c:pt>
                <c:pt idx="439">
                  <c:v>0.31688392304130802</c:v>
                </c:pt>
                <c:pt idx="440">
                  <c:v>-9.8107396813353134</c:v>
                </c:pt>
                <c:pt idx="441">
                  <c:v>0.47316871767660729</c:v>
                </c:pt>
                <c:pt idx="442">
                  <c:v>-10.090165875589653</c:v>
                </c:pt>
                <c:pt idx="443">
                  <c:v>0.13961409785200196</c:v>
                </c:pt>
                <c:pt idx="444">
                  <c:v>4.3860333621503482</c:v>
                </c:pt>
                <c:pt idx="445">
                  <c:v>2.2077938630119469</c:v>
                </c:pt>
                <c:pt idx="446">
                  <c:v>1.8874102730208113</c:v>
                </c:pt>
                <c:pt idx="447">
                  <c:v>4.2301947873575489</c:v>
                </c:pt>
                <c:pt idx="448">
                  <c:v>0.58569431791028492</c:v>
                </c:pt>
                <c:pt idx="449">
                  <c:v>1.0277214587440522</c:v>
                </c:pt>
                <c:pt idx="450">
                  <c:v>0.46115485843316062</c:v>
                </c:pt>
                <c:pt idx="451">
                  <c:v>2.428959206215525</c:v>
                </c:pt>
                <c:pt idx="452">
                  <c:v>0.69953692902983344</c:v>
                </c:pt>
                <c:pt idx="453">
                  <c:v>0.3227009071263518</c:v>
                </c:pt>
                <c:pt idx="454">
                  <c:v>-0.83701733507933507</c:v>
                </c:pt>
                <c:pt idx="455">
                  <c:v>-0.19232404471208708</c:v>
                </c:pt>
                <c:pt idx="456">
                  <c:v>-0.26756306953106568</c:v>
                </c:pt>
                <c:pt idx="457">
                  <c:v>-8.4118151145665343E-2</c:v>
                </c:pt>
                <c:pt idx="458">
                  <c:v>-0.50358721299028975</c:v>
                </c:pt>
                <c:pt idx="459">
                  <c:v>-0.35185080229070154</c:v>
                </c:pt>
                <c:pt idx="460">
                  <c:v>-0.37629081703927114</c:v>
                </c:pt>
                <c:pt idx="461">
                  <c:v>0.30154220637721435</c:v>
                </c:pt>
                <c:pt idx="462">
                  <c:v>-0.43658647742987933</c:v>
                </c:pt>
                <c:pt idx="463">
                  <c:v>-3.1208783804359541E-3</c:v>
                </c:pt>
                <c:pt idx="464">
                  <c:v>-4.4869424188079154E-2</c:v>
                </c:pt>
                <c:pt idx="465">
                  <c:v>-0.16273935738707901</c:v>
                </c:pt>
                <c:pt idx="466">
                  <c:v>-1.4862389038890746</c:v>
                </c:pt>
                <c:pt idx="467">
                  <c:v>-0.70761224838733949</c:v>
                </c:pt>
                <c:pt idx="468">
                  <c:v>-2.6486668808434137</c:v>
                </c:pt>
                <c:pt idx="469">
                  <c:v>-0.10024508264757004</c:v>
                </c:pt>
                <c:pt idx="470">
                  <c:v>-0.23830578037063171</c:v>
                </c:pt>
                <c:pt idx="471">
                  <c:v>0.99271178751701716</c:v>
                </c:pt>
                <c:pt idx="472">
                  <c:v>-0.69436298449679079</c:v>
                </c:pt>
                <c:pt idx="473">
                  <c:v>0.8027116295009934</c:v>
                </c:pt>
                <c:pt idx="474">
                  <c:v>1.3553618816128583</c:v>
                </c:pt>
                <c:pt idx="475">
                  <c:v>0.72324209611805812</c:v>
                </c:pt>
                <c:pt idx="476">
                  <c:v>0.70542793172322216</c:v>
                </c:pt>
                <c:pt idx="477">
                  <c:v>0.43792540256365298</c:v>
                </c:pt>
                <c:pt idx="478">
                  <c:v>0.66075179047467292</c:v>
                </c:pt>
                <c:pt idx="479">
                  <c:v>2.7912869879358926E-2</c:v>
                </c:pt>
                <c:pt idx="480">
                  <c:v>0.71728036681706908</c:v>
                </c:pt>
                <c:pt idx="481">
                  <c:v>0.44124858238985798</c:v>
                </c:pt>
                <c:pt idx="482">
                  <c:v>0.25837958787036319</c:v>
                </c:pt>
                <c:pt idx="483">
                  <c:v>0.73200384369860516</c:v>
                </c:pt>
                <c:pt idx="484">
                  <c:v>0.65826627678273919</c:v>
                </c:pt>
                <c:pt idx="485">
                  <c:v>0.71349901011999117</c:v>
                </c:pt>
                <c:pt idx="486">
                  <c:v>1.0914375503477329</c:v>
                </c:pt>
                <c:pt idx="487">
                  <c:v>-0.46496850488224206</c:v>
                </c:pt>
                <c:pt idx="488">
                  <c:v>0.77378648218358492</c:v>
                </c:pt>
                <c:pt idx="489">
                  <c:v>0.63236498765517979</c:v>
                </c:pt>
                <c:pt idx="490">
                  <c:v>-0.49220694854774294</c:v>
                </c:pt>
                <c:pt idx="491">
                  <c:v>-0.60915575871749095</c:v>
                </c:pt>
                <c:pt idx="492">
                  <c:v>0.41068430201465511</c:v>
                </c:pt>
                <c:pt idx="493">
                  <c:v>-0.72275559772991471</c:v>
                </c:pt>
                <c:pt idx="494">
                  <c:v>-0.12859335988762766</c:v>
                </c:pt>
                <c:pt idx="495">
                  <c:v>0.56885798608977911</c:v>
                </c:pt>
                <c:pt idx="496">
                  <c:v>-0.32154765833279697</c:v>
                </c:pt>
                <c:pt idx="497">
                  <c:v>0.6408810234895721</c:v>
                </c:pt>
                <c:pt idx="498">
                  <c:v>-5.1870723493020137</c:v>
                </c:pt>
                <c:pt idx="499">
                  <c:v>1.4182708153157462</c:v>
                </c:pt>
                <c:pt idx="500">
                  <c:v>-5.5233877578965265</c:v>
                </c:pt>
                <c:pt idx="501">
                  <c:v>2.9439454385808403</c:v>
                </c:pt>
                <c:pt idx="502">
                  <c:v>3.8584405374490256</c:v>
                </c:pt>
                <c:pt idx="503">
                  <c:v>2.0469395382772038</c:v>
                </c:pt>
                <c:pt idx="504">
                  <c:v>1.0561243309838426</c:v>
                </c:pt>
                <c:pt idx="505">
                  <c:v>3.6815274398948827</c:v>
                </c:pt>
                <c:pt idx="506">
                  <c:v>1.5403141268462113</c:v>
                </c:pt>
                <c:pt idx="507">
                  <c:v>0.24027154732824307</c:v>
                </c:pt>
                <c:pt idx="508">
                  <c:v>1.3102425391146273</c:v>
                </c:pt>
                <c:pt idx="509">
                  <c:v>1.6179605359437201</c:v>
                </c:pt>
                <c:pt idx="510">
                  <c:v>-1.2332667915025379</c:v>
                </c:pt>
                <c:pt idx="511">
                  <c:v>-1.1646182848044611</c:v>
                </c:pt>
                <c:pt idx="512">
                  <c:v>-2.1529435732412807</c:v>
                </c:pt>
                <c:pt idx="513">
                  <c:v>-2.3856877313900817</c:v>
                </c:pt>
                <c:pt idx="514">
                  <c:v>-3.2333375546518051E-2</c:v>
                </c:pt>
                <c:pt idx="515">
                  <c:v>0.21729749415612565</c:v>
                </c:pt>
                <c:pt idx="516">
                  <c:v>-0.12243536174728198</c:v>
                </c:pt>
                <c:pt idx="517">
                  <c:v>0.2982196320767394</c:v>
                </c:pt>
                <c:pt idx="518">
                  <c:v>1.1664057740270906E-2</c:v>
                </c:pt>
                <c:pt idx="519">
                  <c:v>-0.13369066632513404</c:v>
                </c:pt>
                <c:pt idx="520">
                  <c:v>9.6561946396513942E-2</c:v>
                </c:pt>
                <c:pt idx="521">
                  <c:v>0.28046899053471286</c:v>
                </c:pt>
                <c:pt idx="522">
                  <c:v>0.14125391028230783</c:v>
                </c:pt>
                <c:pt idx="523">
                  <c:v>0.47487728867662904</c:v>
                </c:pt>
                <c:pt idx="524">
                  <c:v>-1.0995542098793263</c:v>
                </c:pt>
                <c:pt idx="525">
                  <c:v>-1.1760026883100392</c:v>
                </c:pt>
                <c:pt idx="526">
                  <c:v>-2.3809908827477235</c:v>
                </c:pt>
                <c:pt idx="527">
                  <c:v>-0.87299909854646618</c:v>
                </c:pt>
                <c:pt idx="528">
                  <c:v>5.5407583701418961E-3</c:v>
                </c:pt>
                <c:pt idx="529">
                  <c:v>0.77491238355863912</c:v>
                </c:pt>
                <c:pt idx="530">
                  <c:v>-1.2437166293694688</c:v>
                </c:pt>
                <c:pt idx="531">
                  <c:v>1.3540941366994292</c:v>
                </c:pt>
                <c:pt idx="532">
                  <c:v>-3.7645971018196667E-2</c:v>
                </c:pt>
                <c:pt idx="533">
                  <c:v>-0.1990372617381222</c:v>
                </c:pt>
                <c:pt idx="534">
                  <c:v>0.17999874759430079</c:v>
                </c:pt>
                <c:pt idx="535">
                  <c:v>-0.50566639608488062</c:v>
                </c:pt>
                <c:pt idx="536">
                  <c:v>0.27908288694357686</c:v>
                </c:pt>
                <c:pt idx="537">
                  <c:v>-0.16405386466369909</c:v>
                </c:pt>
                <c:pt idx="538">
                  <c:v>8.4088127918840794E-2</c:v>
                </c:pt>
                <c:pt idx="539">
                  <c:v>-6.4609841282320168E-2</c:v>
                </c:pt>
                <c:pt idx="540">
                  <c:v>0.32534337819466397</c:v>
                </c:pt>
                <c:pt idx="541">
                  <c:v>1.0550904016198952</c:v>
                </c:pt>
                <c:pt idx="542">
                  <c:v>0.14602905922159692</c:v>
                </c:pt>
                <c:pt idx="543">
                  <c:v>0.5261694887334849</c:v>
                </c:pt>
                <c:pt idx="544">
                  <c:v>2.0165120904442619</c:v>
                </c:pt>
                <c:pt idx="545">
                  <c:v>0.63151210674854008</c:v>
                </c:pt>
                <c:pt idx="546">
                  <c:v>1.5169148839265081</c:v>
                </c:pt>
                <c:pt idx="547">
                  <c:v>1.4222126188508</c:v>
                </c:pt>
                <c:pt idx="548">
                  <c:v>0.84121405179820208</c:v>
                </c:pt>
                <c:pt idx="549">
                  <c:v>0.73645045202355286</c:v>
                </c:pt>
                <c:pt idx="550">
                  <c:v>1.3359790738157751</c:v>
                </c:pt>
                <c:pt idx="551">
                  <c:v>0.56998726219637108</c:v>
                </c:pt>
                <c:pt idx="552">
                  <c:v>0.86923730155660284</c:v>
                </c:pt>
                <c:pt idx="553">
                  <c:v>0.75821702215020981</c:v>
                </c:pt>
                <c:pt idx="554">
                  <c:v>0.67142489045585174</c:v>
                </c:pt>
                <c:pt idx="555">
                  <c:v>1.0362404008479218</c:v>
                </c:pt>
                <c:pt idx="556">
                  <c:v>-10.260788720529403</c:v>
                </c:pt>
                <c:pt idx="557">
                  <c:v>0.72965359060849089</c:v>
                </c:pt>
                <c:pt idx="558">
                  <c:v>-10.276302834282514</c:v>
                </c:pt>
                <c:pt idx="559">
                  <c:v>-1.7957222419949357</c:v>
                </c:pt>
                <c:pt idx="560">
                  <c:v>4.9176366349780842E-2</c:v>
                </c:pt>
                <c:pt idx="561">
                  <c:v>0.86703084261086261</c:v>
                </c:pt>
                <c:pt idx="562">
                  <c:v>-0.40807185936133461</c:v>
                </c:pt>
                <c:pt idx="563">
                  <c:v>1.46572942535055</c:v>
                </c:pt>
                <c:pt idx="564">
                  <c:v>1.4313467273622811</c:v>
                </c:pt>
                <c:pt idx="565">
                  <c:v>0.16648728936240431</c:v>
                </c:pt>
                <c:pt idx="566">
                  <c:v>1.65373321511687</c:v>
                </c:pt>
                <c:pt idx="567">
                  <c:v>0.94714374205589991</c:v>
                </c:pt>
                <c:pt idx="568">
                  <c:v>2.3359588026966547</c:v>
                </c:pt>
                <c:pt idx="569">
                  <c:v>0.82603710498769489</c:v>
                </c:pt>
                <c:pt idx="570">
                  <c:v>0.39242832347734202</c:v>
                </c:pt>
                <c:pt idx="571">
                  <c:v>0.61415875922665375</c:v>
                </c:pt>
                <c:pt idx="572">
                  <c:v>0.877059487557313</c:v>
                </c:pt>
                <c:pt idx="573">
                  <c:v>0.53893400861308405</c:v>
                </c:pt>
                <c:pt idx="574">
                  <c:v>0.43349115215204903</c:v>
                </c:pt>
                <c:pt idx="575">
                  <c:v>0.45622753459714716</c:v>
                </c:pt>
                <c:pt idx="576">
                  <c:v>-6.8744074650670672E-3</c:v>
                </c:pt>
                <c:pt idx="577">
                  <c:v>-5.4520243395466128E-2</c:v>
                </c:pt>
                <c:pt idx="578">
                  <c:v>-3.1093439656520117E-2</c:v>
                </c:pt>
                <c:pt idx="57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7F2-4361-B138-AFD8F18ED6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AI/ICT-related HS export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data_hs_export_share_since2020!$H$2:$H$241</c:f>
              <c:numCache>
                <c:formatCode>General</c:formatCode>
                <c:ptCount val="240"/>
                <c:pt idx="0">
                  <c:v>8.5662439392624936E-3</c:v>
                </c:pt>
                <c:pt idx="1">
                  <c:v>8.5662439392624936E-3</c:v>
                </c:pt>
                <c:pt idx="2">
                  <c:v>8.5662439392624936E-3</c:v>
                </c:pt>
                <c:pt idx="3">
                  <c:v>8.5662439392624936E-3</c:v>
                </c:pt>
                <c:pt idx="4">
                  <c:v>8.943056702231925E-3</c:v>
                </c:pt>
                <c:pt idx="5">
                  <c:v>8.943056702231925E-3</c:v>
                </c:pt>
                <c:pt idx="6">
                  <c:v>8.943056702231925E-3</c:v>
                </c:pt>
                <c:pt idx="7">
                  <c:v>8.943056702231925E-3</c:v>
                </c:pt>
                <c:pt idx="8">
                  <c:v>8.9996521427787666E-3</c:v>
                </c:pt>
                <c:pt idx="9">
                  <c:v>8.9996521427787666E-3</c:v>
                </c:pt>
                <c:pt idx="10">
                  <c:v>8.9996521427787666E-3</c:v>
                </c:pt>
                <c:pt idx="11">
                  <c:v>8.9996521427787666E-3</c:v>
                </c:pt>
                <c:pt idx="12">
                  <c:v>1.018602861865241E-2</c:v>
                </c:pt>
                <c:pt idx="13">
                  <c:v>1.018602861865241E-2</c:v>
                </c:pt>
                <c:pt idx="14">
                  <c:v>1.018602861865241E-2</c:v>
                </c:pt>
                <c:pt idx="15">
                  <c:v>1.018602861865241E-2</c:v>
                </c:pt>
                <c:pt idx="16">
                  <c:v>1.1274054550446029E-2</c:v>
                </c:pt>
                <c:pt idx="17">
                  <c:v>1.1274054550446029E-2</c:v>
                </c:pt>
                <c:pt idx="18">
                  <c:v>1.1274054550446029E-2</c:v>
                </c:pt>
                <c:pt idx="19">
                  <c:v>1.1274054550446029E-2</c:v>
                </c:pt>
                <c:pt idx="20">
                  <c:v>1.1274054550446029E-2</c:v>
                </c:pt>
                <c:pt idx="21">
                  <c:v>1.1274054550446029E-2</c:v>
                </c:pt>
                <c:pt idx="22">
                  <c:v>1.1274054550446029E-2</c:v>
                </c:pt>
                <c:pt idx="23">
                  <c:v>1.1274054550446029E-2</c:v>
                </c:pt>
                <c:pt idx="24">
                  <c:v>1.2802209101079819E-3</c:v>
                </c:pt>
                <c:pt idx="25">
                  <c:v>1.2802209101079819E-3</c:v>
                </c:pt>
                <c:pt idx="26">
                  <c:v>1.2802209101079819E-3</c:v>
                </c:pt>
                <c:pt idx="27">
                  <c:v>1.2802209101079819E-3</c:v>
                </c:pt>
                <c:pt idx="28">
                  <c:v>1.1517525996332381E-3</c:v>
                </c:pt>
                <c:pt idx="29">
                  <c:v>1.1517525996332381E-3</c:v>
                </c:pt>
                <c:pt idx="30">
                  <c:v>1.1517525996332381E-3</c:v>
                </c:pt>
                <c:pt idx="31">
                  <c:v>1.1517525996332381E-3</c:v>
                </c:pt>
                <c:pt idx="32">
                  <c:v>1.014469878411819E-3</c:v>
                </c:pt>
                <c:pt idx="33">
                  <c:v>1.014469878411819E-3</c:v>
                </c:pt>
                <c:pt idx="34">
                  <c:v>1.014469878411819E-3</c:v>
                </c:pt>
                <c:pt idx="35">
                  <c:v>1.014469878411819E-3</c:v>
                </c:pt>
                <c:pt idx="36">
                  <c:v>1.324636913672042E-3</c:v>
                </c:pt>
                <c:pt idx="37">
                  <c:v>1.324636913672042E-3</c:v>
                </c:pt>
                <c:pt idx="38">
                  <c:v>1.324636913672042E-3</c:v>
                </c:pt>
                <c:pt idx="39">
                  <c:v>1.324636913672042E-3</c:v>
                </c:pt>
                <c:pt idx="40">
                  <c:v>1.372182399148419E-3</c:v>
                </c:pt>
                <c:pt idx="41">
                  <c:v>1.372182399148419E-3</c:v>
                </c:pt>
                <c:pt idx="42">
                  <c:v>1.372182399148419E-3</c:v>
                </c:pt>
                <c:pt idx="43">
                  <c:v>1.372182399148419E-3</c:v>
                </c:pt>
                <c:pt idx="44">
                  <c:v>1.372182399148419E-3</c:v>
                </c:pt>
                <c:pt idx="45">
                  <c:v>1.372182399148419E-3</c:v>
                </c:pt>
                <c:pt idx="46">
                  <c:v>1.372182399148419E-3</c:v>
                </c:pt>
                <c:pt idx="47">
                  <c:v>1.372182399148419E-3</c:v>
                </c:pt>
                <c:pt idx="48">
                  <c:v>7.8392311441250039E-3</c:v>
                </c:pt>
                <c:pt idx="49">
                  <c:v>7.8392311441250039E-3</c:v>
                </c:pt>
                <c:pt idx="50">
                  <c:v>7.8392311441250039E-3</c:v>
                </c:pt>
                <c:pt idx="51">
                  <c:v>7.8392311441250039E-3</c:v>
                </c:pt>
                <c:pt idx="52">
                  <c:v>7.7356755077016047E-3</c:v>
                </c:pt>
                <c:pt idx="53">
                  <c:v>7.7356755077016047E-3</c:v>
                </c:pt>
                <c:pt idx="54">
                  <c:v>7.7356755077016047E-3</c:v>
                </c:pt>
                <c:pt idx="55">
                  <c:v>7.7356755077016047E-3</c:v>
                </c:pt>
                <c:pt idx="56">
                  <c:v>7.6054945428721031E-3</c:v>
                </c:pt>
                <c:pt idx="57">
                  <c:v>7.6054945428721031E-3</c:v>
                </c:pt>
                <c:pt idx="58">
                  <c:v>7.6054945428721031E-3</c:v>
                </c:pt>
                <c:pt idx="59">
                  <c:v>7.6054945428721031E-3</c:v>
                </c:pt>
                <c:pt idx="60">
                  <c:v>8.2683809672599654E-3</c:v>
                </c:pt>
                <c:pt idx="61">
                  <c:v>8.2683809672599654E-3</c:v>
                </c:pt>
                <c:pt idx="62">
                  <c:v>8.2683809672599654E-3</c:v>
                </c:pt>
                <c:pt idx="63">
                  <c:v>8.2683809672599654E-3</c:v>
                </c:pt>
                <c:pt idx="64">
                  <c:v>9.0522441223979538E-3</c:v>
                </c:pt>
                <c:pt idx="65">
                  <c:v>9.0522441223979538E-3</c:v>
                </c:pt>
                <c:pt idx="66">
                  <c:v>9.0522441223979538E-3</c:v>
                </c:pt>
                <c:pt idx="67">
                  <c:v>9.0522441223979538E-3</c:v>
                </c:pt>
                <c:pt idx="68">
                  <c:v>9.0522441223979538E-3</c:v>
                </c:pt>
                <c:pt idx="69">
                  <c:v>9.0522441223979538E-3</c:v>
                </c:pt>
                <c:pt idx="70">
                  <c:v>9.0522441223979538E-3</c:v>
                </c:pt>
                <c:pt idx="71">
                  <c:v>9.0522441223979538E-3</c:v>
                </c:pt>
                <c:pt idx="72">
                  <c:v>1.089781682979109E-3</c:v>
                </c:pt>
                <c:pt idx="73">
                  <c:v>1.089781682979109E-3</c:v>
                </c:pt>
                <c:pt idx="74">
                  <c:v>1.089781682979109E-3</c:v>
                </c:pt>
                <c:pt idx="75">
                  <c:v>1.089781682979109E-3</c:v>
                </c:pt>
                <c:pt idx="76">
                  <c:v>9.4978125409007018E-4</c:v>
                </c:pt>
                <c:pt idx="77">
                  <c:v>9.4978125409007018E-4</c:v>
                </c:pt>
                <c:pt idx="78">
                  <c:v>9.4978125409007018E-4</c:v>
                </c:pt>
                <c:pt idx="79">
                  <c:v>9.4978125409007018E-4</c:v>
                </c:pt>
                <c:pt idx="80">
                  <c:v>7.4930942000427699E-4</c:v>
                </c:pt>
                <c:pt idx="81">
                  <c:v>7.4930942000427699E-4</c:v>
                </c:pt>
                <c:pt idx="82">
                  <c:v>7.4930942000427699E-4</c:v>
                </c:pt>
                <c:pt idx="83">
                  <c:v>7.4930942000427699E-4</c:v>
                </c:pt>
                <c:pt idx="84">
                  <c:v>8.3245038969018029E-4</c:v>
                </c:pt>
                <c:pt idx="85">
                  <c:v>8.3245038969018029E-4</c:v>
                </c:pt>
                <c:pt idx="86">
                  <c:v>8.3245038969018029E-4</c:v>
                </c:pt>
                <c:pt idx="87">
                  <c:v>8.3245038969018029E-4</c:v>
                </c:pt>
                <c:pt idx="88">
                  <c:v>8.3940839252033268E-4</c:v>
                </c:pt>
                <c:pt idx="89">
                  <c:v>8.3940839252033268E-4</c:v>
                </c:pt>
                <c:pt idx="90">
                  <c:v>8.3940839252033268E-4</c:v>
                </c:pt>
                <c:pt idx="91">
                  <c:v>8.3940839252033268E-4</c:v>
                </c:pt>
                <c:pt idx="92">
                  <c:v>8.3940839252033268E-4</c:v>
                </c:pt>
                <c:pt idx="93">
                  <c:v>8.3940839252033268E-4</c:v>
                </c:pt>
                <c:pt idx="94">
                  <c:v>8.3940839252033268E-4</c:v>
                </c:pt>
                <c:pt idx="95">
                  <c:v>8.3940839252033268E-4</c:v>
                </c:pt>
                <c:pt idx="96">
                  <c:v>1.9365478320968409E-3</c:v>
                </c:pt>
                <c:pt idx="97">
                  <c:v>1.9365478320968409E-3</c:v>
                </c:pt>
                <c:pt idx="98">
                  <c:v>1.9365478320968409E-3</c:v>
                </c:pt>
                <c:pt idx="99">
                  <c:v>1.9365478320968409E-3</c:v>
                </c:pt>
                <c:pt idx="100">
                  <c:v>2.6224663629109508E-3</c:v>
                </c:pt>
                <c:pt idx="101">
                  <c:v>2.6224663629109508E-3</c:v>
                </c:pt>
                <c:pt idx="102">
                  <c:v>2.6224663629109508E-3</c:v>
                </c:pt>
                <c:pt idx="103">
                  <c:v>2.6224663629109508E-3</c:v>
                </c:pt>
                <c:pt idx="104">
                  <c:v>1.923663900762973E-3</c:v>
                </c:pt>
                <c:pt idx="105">
                  <c:v>1.923663900762973E-3</c:v>
                </c:pt>
                <c:pt idx="106">
                  <c:v>1.923663900762973E-3</c:v>
                </c:pt>
                <c:pt idx="107">
                  <c:v>1.923663900762973E-3</c:v>
                </c:pt>
                <c:pt idx="108">
                  <c:v>2.503328687020895E-3</c:v>
                </c:pt>
                <c:pt idx="109">
                  <c:v>2.503328687020895E-3</c:v>
                </c:pt>
                <c:pt idx="110">
                  <c:v>2.503328687020895E-3</c:v>
                </c:pt>
                <c:pt idx="111">
                  <c:v>2.503328687020895E-3</c:v>
                </c:pt>
                <c:pt idx="112">
                  <c:v>2.4884109011011962E-3</c:v>
                </c:pt>
                <c:pt idx="113">
                  <c:v>2.4884109011011962E-3</c:v>
                </c:pt>
                <c:pt idx="114">
                  <c:v>2.4884109011011962E-3</c:v>
                </c:pt>
                <c:pt idx="115">
                  <c:v>2.4884109011011962E-3</c:v>
                </c:pt>
                <c:pt idx="116">
                  <c:v>2.4884109011011962E-3</c:v>
                </c:pt>
                <c:pt idx="117">
                  <c:v>2.4884109011011962E-3</c:v>
                </c:pt>
                <c:pt idx="118">
                  <c:v>2.4884109011011962E-3</c:v>
                </c:pt>
                <c:pt idx="119">
                  <c:v>2.4884109011011962E-3</c:v>
                </c:pt>
                <c:pt idx="120">
                  <c:v>3.0499904166596229E-3</c:v>
                </c:pt>
                <c:pt idx="121">
                  <c:v>3.0499904166596229E-3</c:v>
                </c:pt>
                <c:pt idx="122">
                  <c:v>3.0499904166596229E-3</c:v>
                </c:pt>
                <c:pt idx="123">
                  <c:v>3.0499904166596229E-3</c:v>
                </c:pt>
                <c:pt idx="124">
                  <c:v>3.231172514807625E-3</c:v>
                </c:pt>
                <c:pt idx="125">
                  <c:v>3.231172514807625E-3</c:v>
                </c:pt>
                <c:pt idx="126">
                  <c:v>3.231172514807625E-3</c:v>
                </c:pt>
                <c:pt idx="127">
                  <c:v>3.231172514807625E-3</c:v>
                </c:pt>
                <c:pt idx="128">
                  <c:v>3.2520324935252378E-3</c:v>
                </c:pt>
                <c:pt idx="129">
                  <c:v>3.2520324935252378E-3</c:v>
                </c:pt>
                <c:pt idx="130">
                  <c:v>3.2520324935252378E-3</c:v>
                </c:pt>
                <c:pt idx="131">
                  <c:v>3.2520324935252378E-3</c:v>
                </c:pt>
                <c:pt idx="132">
                  <c:v>2.5946260117071041E-3</c:v>
                </c:pt>
                <c:pt idx="133">
                  <c:v>2.5946260117071041E-3</c:v>
                </c:pt>
                <c:pt idx="134">
                  <c:v>2.5946260117071041E-3</c:v>
                </c:pt>
                <c:pt idx="135">
                  <c:v>2.5946260117071041E-3</c:v>
                </c:pt>
                <c:pt idx="136">
                  <c:v>2.7698144991347719E-3</c:v>
                </c:pt>
                <c:pt idx="137">
                  <c:v>2.7698144991347719E-3</c:v>
                </c:pt>
                <c:pt idx="138">
                  <c:v>2.7698144991347719E-3</c:v>
                </c:pt>
                <c:pt idx="139">
                  <c:v>2.7698144991347719E-3</c:v>
                </c:pt>
                <c:pt idx="140">
                  <c:v>2.7698144991347719E-3</c:v>
                </c:pt>
                <c:pt idx="141">
                  <c:v>2.7698144991347719E-3</c:v>
                </c:pt>
                <c:pt idx="142">
                  <c:v>2.7698144991347719E-3</c:v>
                </c:pt>
                <c:pt idx="143">
                  <c:v>2.7698144991347719E-3</c:v>
                </c:pt>
                <c:pt idx="144">
                  <c:v>9.2278925085046721E-3</c:v>
                </c:pt>
                <c:pt idx="145">
                  <c:v>9.2278925085046721E-3</c:v>
                </c:pt>
                <c:pt idx="146">
                  <c:v>9.2278925085046721E-3</c:v>
                </c:pt>
                <c:pt idx="147">
                  <c:v>9.2278925085046721E-3</c:v>
                </c:pt>
                <c:pt idx="148">
                  <c:v>7.4467517837094243E-3</c:v>
                </c:pt>
                <c:pt idx="149">
                  <c:v>7.4467517837094243E-3</c:v>
                </c:pt>
                <c:pt idx="150">
                  <c:v>7.4467517837094243E-3</c:v>
                </c:pt>
                <c:pt idx="151">
                  <c:v>7.4467517837094243E-3</c:v>
                </c:pt>
                <c:pt idx="152">
                  <c:v>7.2438945945355968E-3</c:v>
                </c:pt>
                <c:pt idx="153">
                  <c:v>7.2438945945355968E-3</c:v>
                </c:pt>
                <c:pt idx="154">
                  <c:v>7.2438945945355968E-3</c:v>
                </c:pt>
                <c:pt idx="155">
                  <c:v>7.2438945945355968E-3</c:v>
                </c:pt>
                <c:pt idx="156">
                  <c:v>7.0481552886537402E-3</c:v>
                </c:pt>
                <c:pt idx="157">
                  <c:v>7.0481552886537402E-3</c:v>
                </c:pt>
                <c:pt idx="158">
                  <c:v>7.0481552886537402E-3</c:v>
                </c:pt>
                <c:pt idx="159">
                  <c:v>7.0481552886537402E-3</c:v>
                </c:pt>
                <c:pt idx="160">
                  <c:v>8.9861308352750593E-3</c:v>
                </c:pt>
                <c:pt idx="161">
                  <c:v>8.9861308352750593E-3</c:v>
                </c:pt>
                <c:pt idx="162">
                  <c:v>8.9861308352750593E-3</c:v>
                </c:pt>
                <c:pt idx="163">
                  <c:v>8.9861308352750593E-3</c:v>
                </c:pt>
                <c:pt idx="164">
                  <c:v>8.9861308352750593E-3</c:v>
                </c:pt>
                <c:pt idx="165">
                  <c:v>8.9861308352750593E-3</c:v>
                </c:pt>
                <c:pt idx="166">
                  <c:v>8.9861308352750593E-3</c:v>
                </c:pt>
                <c:pt idx="167">
                  <c:v>8.9861308352750593E-3</c:v>
                </c:pt>
                <c:pt idx="168">
                  <c:v>1.62386443036395E-3</c:v>
                </c:pt>
                <c:pt idx="169">
                  <c:v>1.62386443036395E-3</c:v>
                </c:pt>
                <c:pt idx="170">
                  <c:v>1.62386443036395E-3</c:v>
                </c:pt>
                <c:pt idx="171">
                  <c:v>1.62386443036395E-3</c:v>
                </c:pt>
                <c:pt idx="172">
                  <c:v>1.3550145653097681E-3</c:v>
                </c:pt>
                <c:pt idx="173">
                  <c:v>1.3550145653097681E-3</c:v>
                </c:pt>
                <c:pt idx="174">
                  <c:v>1.3550145653097681E-3</c:v>
                </c:pt>
                <c:pt idx="175">
                  <c:v>1.3550145653097681E-3</c:v>
                </c:pt>
                <c:pt idx="176">
                  <c:v>1.312969725716661E-3</c:v>
                </c:pt>
                <c:pt idx="177">
                  <c:v>1.312969725716661E-3</c:v>
                </c:pt>
                <c:pt idx="178">
                  <c:v>1.312969725716661E-3</c:v>
                </c:pt>
                <c:pt idx="179">
                  <c:v>1.312969725716661E-3</c:v>
                </c:pt>
                <c:pt idx="180">
                  <c:v>1.28816868967217E-3</c:v>
                </c:pt>
                <c:pt idx="181">
                  <c:v>1.28816868967217E-3</c:v>
                </c:pt>
                <c:pt idx="182">
                  <c:v>1.28816868967217E-3</c:v>
                </c:pt>
                <c:pt idx="183">
                  <c:v>1.28816868967217E-3</c:v>
                </c:pt>
                <c:pt idx="184">
                  <c:v>1.194863073206081E-3</c:v>
                </c:pt>
                <c:pt idx="185">
                  <c:v>1.194863073206081E-3</c:v>
                </c:pt>
                <c:pt idx="186">
                  <c:v>1.194863073206081E-3</c:v>
                </c:pt>
                <c:pt idx="187">
                  <c:v>1.194863073206081E-3</c:v>
                </c:pt>
                <c:pt idx="188">
                  <c:v>1.194863073206081E-3</c:v>
                </c:pt>
                <c:pt idx="189">
                  <c:v>1.194863073206081E-3</c:v>
                </c:pt>
                <c:pt idx="190">
                  <c:v>1.194863073206081E-3</c:v>
                </c:pt>
                <c:pt idx="191">
                  <c:v>1.194863073206081E-3</c:v>
                </c:pt>
                <c:pt idx="192">
                  <c:v>4.2581579870975293E-2</c:v>
                </c:pt>
                <c:pt idx="193">
                  <c:v>4.2581579870975293E-2</c:v>
                </c:pt>
                <c:pt idx="194">
                  <c:v>4.2581579870975293E-2</c:v>
                </c:pt>
                <c:pt idx="195">
                  <c:v>4.2581579870975293E-2</c:v>
                </c:pt>
                <c:pt idx="196">
                  <c:v>4.2229620878678473E-2</c:v>
                </c:pt>
                <c:pt idx="197">
                  <c:v>4.2229620878678473E-2</c:v>
                </c:pt>
                <c:pt idx="198">
                  <c:v>4.2229620878678473E-2</c:v>
                </c:pt>
                <c:pt idx="199">
                  <c:v>4.2229620878678473E-2</c:v>
                </c:pt>
                <c:pt idx="200">
                  <c:v>3.9751937262975177E-2</c:v>
                </c:pt>
                <c:pt idx="201">
                  <c:v>3.9751937262975177E-2</c:v>
                </c:pt>
                <c:pt idx="202">
                  <c:v>3.9751937262975177E-2</c:v>
                </c:pt>
                <c:pt idx="203">
                  <c:v>3.9751937262975177E-2</c:v>
                </c:pt>
                <c:pt idx="204">
                  <c:v>4.7209783201579453E-2</c:v>
                </c:pt>
                <c:pt idx="205">
                  <c:v>4.7209783201579453E-2</c:v>
                </c:pt>
                <c:pt idx="206">
                  <c:v>4.7209783201579453E-2</c:v>
                </c:pt>
                <c:pt idx="207">
                  <c:v>4.7209783201579453E-2</c:v>
                </c:pt>
                <c:pt idx="208">
                  <c:v>5.4550377494533613E-2</c:v>
                </c:pt>
                <c:pt idx="209">
                  <c:v>5.4550377494533613E-2</c:v>
                </c:pt>
                <c:pt idx="210">
                  <c:v>5.4550377494533613E-2</c:v>
                </c:pt>
                <c:pt idx="211">
                  <c:v>5.4550377494533613E-2</c:v>
                </c:pt>
                <c:pt idx="212">
                  <c:v>5.4550377494533613E-2</c:v>
                </c:pt>
                <c:pt idx="213">
                  <c:v>5.4550377494533613E-2</c:v>
                </c:pt>
                <c:pt idx="214">
                  <c:v>5.4550377494533613E-2</c:v>
                </c:pt>
                <c:pt idx="215">
                  <c:v>5.4550377494533613E-2</c:v>
                </c:pt>
                <c:pt idx="216">
                  <c:v>1.1314571143666431E-3</c:v>
                </c:pt>
                <c:pt idx="217">
                  <c:v>1.1314571143666431E-3</c:v>
                </c:pt>
                <c:pt idx="218">
                  <c:v>1.1314571143666431E-3</c:v>
                </c:pt>
                <c:pt idx="219">
                  <c:v>1.1314571143666431E-3</c:v>
                </c:pt>
                <c:pt idx="220">
                  <c:v>1.543056079090352E-3</c:v>
                </c:pt>
                <c:pt idx="221">
                  <c:v>1.543056079090352E-3</c:v>
                </c:pt>
                <c:pt idx="222">
                  <c:v>1.543056079090352E-3</c:v>
                </c:pt>
                <c:pt idx="223">
                  <c:v>1.543056079090352E-3</c:v>
                </c:pt>
                <c:pt idx="224">
                  <c:v>1.0726805330251909E-3</c:v>
                </c:pt>
                <c:pt idx="225">
                  <c:v>1.0726805330251909E-3</c:v>
                </c:pt>
                <c:pt idx="226">
                  <c:v>1.0726805330251909E-3</c:v>
                </c:pt>
                <c:pt idx="227">
                  <c:v>1.0726805330251909E-3</c:v>
                </c:pt>
                <c:pt idx="228">
                  <c:v>9.9804011718640203E-4</c:v>
                </c:pt>
                <c:pt idx="229">
                  <c:v>9.9804011718640203E-4</c:v>
                </c:pt>
                <c:pt idx="230">
                  <c:v>9.9804011718640203E-4</c:v>
                </c:pt>
                <c:pt idx="231">
                  <c:v>9.9804011718640203E-4</c:v>
                </c:pt>
                <c:pt idx="232">
                  <c:v>9.9939188696901698E-4</c:v>
                </c:pt>
                <c:pt idx="233">
                  <c:v>9.9939188696901698E-4</c:v>
                </c:pt>
                <c:pt idx="234">
                  <c:v>9.9939188696901698E-4</c:v>
                </c:pt>
                <c:pt idx="235">
                  <c:v>9.9939188696901698E-4</c:v>
                </c:pt>
                <c:pt idx="236">
                  <c:v>9.9939188696901698E-4</c:v>
                </c:pt>
                <c:pt idx="237">
                  <c:v>9.9939188696901698E-4</c:v>
                </c:pt>
                <c:pt idx="238">
                  <c:v>9.9939188696901698E-4</c:v>
                </c:pt>
                <c:pt idx="239">
                  <c:v>9.9939188696901698E-4</c:v>
                </c:pt>
              </c:numCache>
            </c:numRef>
          </c:xVal>
          <c:yVal>
            <c:numRef>
              <c:f>data_hs_export_share_since2020!$G$2:$G$241</c:f>
              <c:numCache>
                <c:formatCode>General</c:formatCode>
                <c:ptCount val="24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-5.8720213186906536</c:v>
                </c:pt>
                <c:pt idx="25">
                  <c:v>3.5084821711300487</c:v>
                </c:pt>
                <c:pt idx="26">
                  <c:v>-6.1107535820139915</c:v>
                </c:pt>
                <c:pt idx="27">
                  <c:v>2.2459230282070131</c:v>
                </c:pt>
                <c:pt idx="28">
                  <c:v>1.9428126002794937</c:v>
                </c:pt>
                <c:pt idx="29">
                  <c:v>8.311464590272255E-2</c:v>
                </c:pt>
                <c:pt idx="30">
                  <c:v>-0.62319540430046239</c:v>
                </c:pt>
                <c:pt idx="31">
                  <c:v>1.5244104334755164</c:v>
                </c:pt>
                <c:pt idx="32">
                  <c:v>1.2985802285253398</c:v>
                </c:pt>
                <c:pt idx="33">
                  <c:v>1.1286019302321901</c:v>
                </c:pt>
                <c:pt idx="34">
                  <c:v>0.27459955625362209</c:v>
                </c:pt>
                <c:pt idx="35">
                  <c:v>1.9291371195943738</c:v>
                </c:pt>
                <c:pt idx="36">
                  <c:v>1.3883640898298362</c:v>
                </c:pt>
                <c:pt idx="37">
                  <c:v>0.10822182527690605</c:v>
                </c:pt>
                <c:pt idx="38">
                  <c:v>-0.22744129975502081</c:v>
                </c:pt>
                <c:pt idx="39">
                  <c:v>0.3161099745136402</c:v>
                </c:pt>
                <c:pt idx="40">
                  <c:v>-0.27505597868087905</c:v>
                </c:pt>
                <c:pt idx="41">
                  <c:v>-5.2551522415263063E-2</c:v>
                </c:pt>
                <c:pt idx="42">
                  <c:v>-0.26942607773384397</c:v>
                </c:pt>
                <c:pt idx="43">
                  <c:v>-0.18241471680150112</c:v>
                </c:pt>
                <c:pt idx="44">
                  <c:v>-0.26624808616432227</c:v>
                </c:pt>
                <c:pt idx="45">
                  <c:v>-1.9512226852114511E-2</c:v>
                </c:pt>
                <c:pt idx="46">
                  <c:v>-0.3989585451423473</c:v>
                </c:pt>
                <c:pt idx="47">
                  <c:v>0.20939697133562885</c:v>
                </c:pt>
                <c:pt idx="48">
                  <c:v>-5.5117432414984107</c:v>
                </c:pt>
                <c:pt idx="49">
                  <c:v>1.0663028045156304</c:v>
                </c:pt>
                <c:pt idx="50">
                  <c:v>-6.0477828073613109</c:v>
                </c:pt>
                <c:pt idx="51">
                  <c:v>1.9676759169072984</c:v>
                </c:pt>
                <c:pt idx="52">
                  <c:v>0.31461082759038206</c:v>
                </c:pt>
                <c:pt idx="53">
                  <c:v>1.097113718613111</c:v>
                </c:pt>
                <c:pt idx="54">
                  <c:v>-2.0409268972643462</c:v>
                </c:pt>
                <c:pt idx="55">
                  <c:v>0.42604586480458417</c:v>
                </c:pt>
                <c:pt idx="56">
                  <c:v>-2.6609443169839953</c:v>
                </c:pt>
                <c:pt idx="57">
                  <c:v>0.37338056935970299</c:v>
                </c:pt>
                <c:pt idx="58">
                  <c:v>-2.1229358469342294</c:v>
                </c:pt>
                <c:pt idx="59">
                  <c:v>0.37386578423211692</c:v>
                </c:pt>
                <c:pt idx="60">
                  <c:v>-0.19093583944082815</c:v>
                </c:pt>
                <c:pt idx="61">
                  <c:v>-0.54354189717324675</c:v>
                </c:pt>
                <c:pt idx="62">
                  <c:v>-3.2259227434105444</c:v>
                </c:pt>
                <c:pt idx="63">
                  <c:v>-1.0064641370532392</c:v>
                </c:pt>
                <c:pt idx="64">
                  <c:v>-0.76398245054191438</c:v>
                </c:pt>
                <c:pt idx="65">
                  <c:v>0.15197449145164205</c:v>
                </c:pt>
                <c:pt idx="66">
                  <c:v>-1.3181654375038181</c:v>
                </c:pt>
                <c:pt idx="67">
                  <c:v>-8.7013171124686664E-2</c:v>
                </c:pt>
                <c:pt idx="68">
                  <c:v>-0.35308220120580563</c:v>
                </c:pt>
                <c:pt idx="69">
                  <c:v>0.16956839292984849</c:v>
                </c:pt>
                <c:pt idx="70">
                  <c:v>-0.67387334670426191</c:v>
                </c:pt>
                <c:pt idx="71">
                  <c:v>0.37008740234464971</c:v>
                </c:pt>
                <c:pt idx="72">
                  <c:v>-13.076741440445701</c:v>
                </c:pt>
                <c:pt idx="73">
                  <c:v>0.82436876065597886</c:v>
                </c:pt>
                <c:pt idx="74">
                  <c:v>-13.449524977065238</c:v>
                </c:pt>
                <c:pt idx="75">
                  <c:v>-2.2018192403305132</c:v>
                </c:pt>
                <c:pt idx="76">
                  <c:v>1.1184606927194407</c:v>
                </c:pt>
                <c:pt idx="77">
                  <c:v>1.8458632295773425</c:v>
                </c:pt>
                <c:pt idx="78">
                  <c:v>-0.50686163990971256</c:v>
                </c:pt>
                <c:pt idx="79">
                  <c:v>0.58806104979523433</c:v>
                </c:pt>
                <c:pt idx="80">
                  <c:v>0.64788894209388648</c:v>
                </c:pt>
                <c:pt idx="81">
                  <c:v>1.6280433106379038</c:v>
                </c:pt>
                <c:pt idx="82">
                  <c:v>-0.60227924273788158</c:v>
                </c:pt>
                <c:pt idx="83">
                  <c:v>2.149623075816363</c:v>
                </c:pt>
                <c:pt idx="84">
                  <c:v>1.4759385035830395</c:v>
                </c:pt>
                <c:pt idx="85">
                  <c:v>6.5493966740925114E-2</c:v>
                </c:pt>
                <c:pt idx="86">
                  <c:v>-0.94199003346141597</c:v>
                </c:pt>
                <c:pt idx="87">
                  <c:v>0.49429728762396685</c:v>
                </c:pt>
                <c:pt idx="88">
                  <c:v>1.7363603942146351</c:v>
                </c:pt>
                <c:pt idx="89">
                  <c:v>0.42996620634170712</c:v>
                </c:pt>
                <c:pt idx="90">
                  <c:v>1.432026290013092</c:v>
                </c:pt>
                <c:pt idx="91">
                  <c:v>1.2521726761369569</c:v>
                </c:pt>
                <c:pt idx="92">
                  <c:v>0.4397199192889798</c:v>
                </c:pt>
                <c:pt idx="93">
                  <c:v>-8.2255734956584892E-2</c:v>
                </c:pt>
                <c:pt idx="94">
                  <c:v>0.83836493177998594</c:v>
                </c:pt>
                <c:pt idx="95">
                  <c:v>0.23477837424939674</c:v>
                </c:pt>
                <c:pt idx="96">
                  <c:v>-3.6230506117637438</c:v>
                </c:pt>
                <c:pt idx="97">
                  <c:v>1.7496128021536563</c:v>
                </c:pt>
                <c:pt idx="98">
                  <c:v>-3.6875295267387962</c:v>
                </c:pt>
                <c:pt idx="99">
                  <c:v>3.812344683053138</c:v>
                </c:pt>
                <c:pt idx="100">
                  <c:v>-0.25859743194969287</c:v>
                </c:pt>
                <c:pt idx="101">
                  <c:v>-0.76255561777172076</c:v>
                </c:pt>
                <c:pt idx="102">
                  <c:v>-1.0319888097993339</c:v>
                </c:pt>
                <c:pt idx="103">
                  <c:v>-9.7992979043315831E-2</c:v>
                </c:pt>
                <c:pt idx="104">
                  <c:v>-2.0671616710759921</c:v>
                </c:pt>
                <c:pt idx="105">
                  <c:v>-1.5677906220824354</c:v>
                </c:pt>
                <c:pt idx="106">
                  <c:v>-1.9916383255658392</c:v>
                </c:pt>
                <c:pt idx="107">
                  <c:v>-0.84304938846227129</c:v>
                </c:pt>
                <c:pt idx="108">
                  <c:v>-1.5379932664356266</c:v>
                </c:pt>
                <c:pt idx="109">
                  <c:v>-1.4350651524638591</c:v>
                </c:pt>
                <c:pt idx="110">
                  <c:v>-2.96232576895608</c:v>
                </c:pt>
                <c:pt idx="111">
                  <c:v>-1.4958963214910126</c:v>
                </c:pt>
                <c:pt idx="112">
                  <c:v>5.5454419377964248E-2</c:v>
                </c:pt>
                <c:pt idx="113">
                  <c:v>1.1596069734324581</c:v>
                </c:pt>
                <c:pt idx="114">
                  <c:v>-0.49398677856419337</c:v>
                </c:pt>
                <c:pt idx="115">
                  <c:v>0.84187322906342721</c:v>
                </c:pt>
                <c:pt idx="116">
                  <c:v>-0.74460636681637882</c:v>
                </c:pt>
                <c:pt idx="117">
                  <c:v>0.72418125285179868</c:v>
                </c:pt>
                <c:pt idx="118">
                  <c:v>-0.5607547780382397</c:v>
                </c:pt>
                <c:pt idx="119">
                  <c:v>-0.17606213387669556</c:v>
                </c:pt>
                <c:pt idx="120">
                  <c:v>-9.1974015560336042</c:v>
                </c:pt>
                <c:pt idx="121">
                  <c:v>1.4391287067798215</c:v>
                </c:pt>
                <c:pt idx="122">
                  <c:v>-9.4157638701608679</c:v>
                </c:pt>
                <c:pt idx="123">
                  <c:v>0.33628419121901221</c:v>
                </c:pt>
                <c:pt idx="124">
                  <c:v>0.77492257463683512</c:v>
                </c:pt>
                <c:pt idx="125">
                  <c:v>2.7609048047935403E-2</c:v>
                </c:pt>
                <c:pt idx="126">
                  <c:v>-0.83094601408312574</c:v>
                </c:pt>
                <c:pt idx="127">
                  <c:v>0.85548580385178141</c:v>
                </c:pt>
                <c:pt idx="128">
                  <c:v>-1.0044763978131481</c:v>
                </c:pt>
                <c:pt idx="129">
                  <c:v>0.13221272000764106</c:v>
                </c:pt>
                <c:pt idx="130">
                  <c:v>-1.4498059135976793</c:v>
                </c:pt>
                <c:pt idx="131">
                  <c:v>-0.33728125818969223</c:v>
                </c:pt>
                <c:pt idx="132">
                  <c:v>1.362740568589244</c:v>
                </c:pt>
                <c:pt idx="133">
                  <c:v>0.799970788141108</c:v>
                </c:pt>
                <c:pt idx="134">
                  <c:v>3.3137959113811011E-2</c:v>
                </c:pt>
                <c:pt idx="135">
                  <c:v>1.0779868195341884</c:v>
                </c:pt>
                <c:pt idx="136">
                  <c:v>0.16738745154850099</c:v>
                </c:pt>
                <c:pt idx="137">
                  <c:v>0.27545247469052403</c:v>
                </c:pt>
                <c:pt idx="138">
                  <c:v>-4.1217278471559204E-3</c:v>
                </c:pt>
                <c:pt idx="139">
                  <c:v>0.68596377940700104</c:v>
                </c:pt>
                <c:pt idx="140">
                  <c:v>6.3031178006735966E-2</c:v>
                </c:pt>
                <c:pt idx="141">
                  <c:v>0.18847413300152815</c:v>
                </c:pt>
                <c:pt idx="142">
                  <c:v>-0.37378753748365889</c:v>
                </c:pt>
                <c:pt idx="143">
                  <c:v>0.31295676387087734</c:v>
                </c:pt>
                <c:pt idx="144">
                  <c:v>3.4578095605905887</c:v>
                </c:pt>
                <c:pt idx="145">
                  <c:v>9.3237810475628535</c:v>
                </c:pt>
                <c:pt idx="146">
                  <c:v>3.6187658069427835</c:v>
                </c:pt>
                <c:pt idx="147">
                  <c:v>14.933429444226089</c:v>
                </c:pt>
                <c:pt idx="148">
                  <c:v>12.176886461707223</c:v>
                </c:pt>
                <c:pt idx="149">
                  <c:v>0.5617185951764796</c:v>
                </c:pt>
                <c:pt idx="150">
                  <c:v>9.0402581837302627</c:v>
                </c:pt>
                <c:pt idx="151">
                  <c:v>10.52537395238202</c:v>
                </c:pt>
                <c:pt idx="152">
                  <c:v>2.8975720388514441</c:v>
                </c:pt>
                <c:pt idx="153">
                  <c:v>0.11836057066008809</c:v>
                </c:pt>
                <c:pt idx="154">
                  <c:v>3.0134574969968924</c:v>
                </c:pt>
                <c:pt idx="155">
                  <c:v>2.607758140674961</c:v>
                </c:pt>
                <c:pt idx="156">
                  <c:v>-6.6927658082332888</c:v>
                </c:pt>
                <c:pt idx="157">
                  <c:v>-2.5855542962976177</c:v>
                </c:pt>
                <c:pt idx="158">
                  <c:v>-7.955341703093274</c:v>
                </c:pt>
                <c:pt idx="159">
                  <c:v>-9.0375833468898072</c:v>
                </c:pt>
                <c:pt idx="160">
                  <c:v>0.57631554946716701</c:v>
                </c:pt>
                <c:pt idx="161">
                  <c:v>4.1610059157908612</c:v>
                </c:pt>
                <c:pt idx="162">
                  <c:v>-1.3475656933011551</c:v>
                </c:pt>
                <c:pt idx="163">
                  <c:v>2.3766670965922447</c:v>
                </c:pt>
                <c:pt idx="164">
                  <c:v>3.7555055239175816</c:v>
                </c:pt>
                <c:pt idx="165">
                  <c:v>-2.8716445193852991</c:v>
                </c:pt>
                <c:pt idx="166">
                  <c:v>4.186398837203722</c:v>
                </c:pt>
                <c:pt idx="167">
                  <c:v>4.4019772197251861</c:v>
                </c:pt>
                <c:pt idx="168">
                  <c:v>-9.8107396813353134</c:v>
                </c:pt>
                <c:pt idx="169">
                  <c:v>0.47316871767660729</c:v>
                </c:pt>
                <c:pt idx="170">
                  <c:v>-10.090165875589653</c:v>
                </c:pt>
                <c:pt idx="171">
                  <c:v>0.13961409785200196</c:v>
                </c:pt>
                <c:pt idx="172">
                  <c:v>4.3860333621503482</c:v>
                </c:pt>
                <c:pt idx="173">
                  <c:v>2.2077938630119469</c:v>
                </c:pt>
                <c:pt idx="174">
                  <c:v>1.8874102730208113</c:v>
                </c:pt>
                <c:pt idx="175">
                  <c:v>4.2301947873575489</c:v>
                </c:pt>
                <c:pt idx="176">
                  <c:v>0.58569431791028492</c:v>
                </c:pt>
                <c:pt idx="177">
                  <c:v>1.0277214587440522</c:v>
                </c:pt>
                <c:pt idx="178">
                  <c:v>0.46115485843316062</c:v>
                </c:pt>
                <c:pt idx="179">
                  <c:v>2.428959206215525</c:v>
                </c:pt>
                <c:pt idx="180">
                  <c:v>0.69953692902983344</c:v>
                </c:pt>
                <c:pt idx="181">
                  <c:v>0.3227009071263518</c:v>
                </c:pt>
                <c:pt idx="182">
                  <c:v>-0.83701733507933507</c:v>
                </c:pt>
                <c:pt idx="183">
                  <c:v>-0.19232404471208708</c:v>
                </c:pt>
                <c:pt idx="184">
                  <c:v>-0.26756306953106568</c:v>
                </c:pt>
                <c:pt idx="185">
                  <c:v>-8.4118151145665343E-2</c:v>
                </c:pt>
                <c:pt idx="186">
                  <c:v>-0.50358721299028975</c:v>
                </c:pt>
                <c:pt idx="187">
                  <c:v>-0.35185080229070154</c:v>
                </c:pt>
                <c:pt idx="188">
                  <c:v>-0.37629081703927114</c:v>
                </c:pt>
                <c:pt idx="189">
                  <c:v>0.30154220637721435</c:v>
                </c:pt>
                <c:pt idx="190">
                  <c:v>-0.43658647742987933</c:v>
                </c:pt>
                <c:pt idx="191">
                  <c:v>-3.1208783804359541E-3</c:v>
                </c:pt>
                <c:pt idx="192">
                  <c:v>-5.1870723493020137</c:v>
                </c:pt>
                <c:pt idx="193">
                  <c:v>1.4182708153157462</c:v>
                </c:pt>
                <c:pt idx="194">
                  <c:v>-5.5233877578965265</c:v>
                </c:pt>
                <c:pt idx="195">
                  <c:v>2.9439454385808403</c:v>
                </c:pt>
                <c:pt idx="196">
                  <c:v>3.8584405374490256</c:v>
                </c:pt>
                <c:pt idx="197">
                  <c:v>2.0469395382772038</c:v>
                </c:pt>
                <c:pt idx="198">
                  <c:v>1.0561243309838426</c:v>
                </c:pt>
                <c:pt idx="199">
                  <c:v>3.6815274398948827</c:v>
                </c:pt>
                <c:pt idx="200">
                  <c:v>1.5403141268462113</c:v>
                </c:pt>
                <c:pt idx="201">
                  <c:v>0.24027154732824307</c:v>
                </c:pt>
                <c:pt idx="202">
                  <c:v>1.3102425391146273</c:v>
                </c:pt>
                <c:pt idx="203">
                  <c:v>1.6179605359437201</c:v>
                </c:pt>
                <c:pt idx="204">
                  <c:v>-1.2332667915025379</c:v>
                </c:pt>
                <c:pt idx="205">
                  <c:v>-1.1646182848044611</c:v>
                </c:pt>
                <c:pt idx="206">
                  <c:v>-2.1529435732412807</c:v>
                </c:pt>
                <c:pt idx="207">
                  <c:v>-2.3856877313900817</c:v>
                </c:pt>
                <c:pt idx="208">
                  <c:v>-3.2333375546518051E-2</c:v>
                </c:pt>
                <c:pt idx="209">
                  <c:v>0.21729749415612565</c:v>
                </c:pt>
                <c:pt idx="210">
                  <c:v>-0.12243536174728198</c:v>
                </c:pt>
                <c:pt idx="211">
                  <c:v>0.2982196320767394</c:v>
                </c:pt>
                <c:pt idx="212">
                  <c:v>1.1664057740270906E-2</c:v>
                </c:pt>
                <c:pt idx="213">
                  <c:v>-0.13369066632513404</c:v>
                </c:pt>
                <c:pt idx="214">
                  <c:v>9.6561946396513942E-2</c:v>
                </c:pt>
                <c:pt idx="215">
                  <c:v>0.28046899053471286</c:v>
                </c:pt>
                <c:pt idx="216">
                  <c:v>-10.260788720529403</c:v>
                </c:pt>
                <c:pt idx="217">
                  <c:v>0.72965359060849089</c:v>
                </c:pt>
                <c:pt idx="218">
                  <c:v>-10.276302834282514</c:v>
                </c:pt>
                <c:pt idx="219">
                  <c:v>-1.7957222419949357</c:v>
                </c:pt>
                <c:pt idx="220">
                  <c:v>4.9176366349780842E-2</c:v>
                </c:pt>
                <c:pt idx="221">
                  <c:v>0.86703084261086261</c:v>
                </c:pt>
                <c:pt idx="222">
                  <c:v>-0.40807185936133461</c:v>
                </c:pt>
                <c:pt idx="223">
                  <c:v>1.46572942535055</c:v>
                </c:pt>
                <c:pt idx="224">
                  <c:v>1.4313467273622811</c:v>
                </c:pt>
                <c:pt idx="225">
                  <c:v>0.16648728936240431</c:v>
                </c:pt>
                <c:pt idx="226">
                  <c:v>1.65373321511687</c:v>
                </c:pt>
                <c:pt idx="227">
                  <c:v>0.94714374205589991</c:v>
                </c:pt>
                <c:pt idx="228">
                  <c:v>2.3359588026966547</c:v>
                </c:pt>
                <c:pt idx="229">
                  <c:v>0.82603710498769489</c:v>
                </c:pt>
                <c:pt idx="230">
                  <c:v>0.39242832347734202</c:v>
                </c:pt>
                <c:pt idx="231">
                  <c:v>0.61415875922665375</c:v>
                </c:pt>
                <c:pt idx="232">
                  <c:v>0.877059487557313</c:v>
                </c:pt>
                <c:pt idx="233">
                  <c:v>0.53893400861308405</c:v>
                </c:pt>
                <c:pt idx="234">
                  <c:v>0.43349115215204903</c:v>
                </c:pt>
                <c:pt idx="235">
                  <c:v>0.45622753459714716</c:v>
                </c:pt>
                <c:pt idx="236">
                  <c:v>-6.8744074650670672E-3</c:v>
                </c:pt>
                <c:pt idx="237">
                  <c:v>-5.4520243395466128E-2</c:v>
                </c:pt>
                <c:pt idx="238">
                  <c:v>-3.1093439656520117E-2</c:v>
                </c:pt>
                <c:pt idx="2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08-4592-8D0E-21EFB53D98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AI/ICT-related HS export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data_hs_export_share_till2019!$H$2:$H$341</c:f>
              <c:numCache>
                <c:formatCode>General</c:formatCode>
                <c:ptCount val="340"/>
                <c:pt idx="0">
                  <c:v>6.0810296667168041E-3</c:v>
                </c:pt>
                <c:pt idx="1">
                  <c:v>6.0810296667168041E-3</c:v>
                </c:pt>
                <c:pt idx="2">
                  <c:v>5.1501038457717457E-3</c:v>
                </c:pt>
                <c:pt idx="3">
                  <c:v>5.1501038457717457E-3</c:v>
                </c:pt>
                <c:pt idx="4">
                  <c:v>5.1501038457717457E-3</c:v>
                </c:pt>
                <c:pt idx="5">
                  <c:v>5.1501038457717457E-3</c:v>
                </c:pt>
                <c:pt idx="6">
                  <c:v>4.9104806969426009E-3</c:v>
                </c:pt>
                <c:pt idx="7">
                  <c:v>4.9104806969426009E-3</c:v>
                </c:pt>
                <c:pt idx="8">
                  <c:v>4.9104806969426009E-3</c:v>
                </c:pt>
                <c:pt idx="9">
                  <c:v>4.9104806969426009E-3</c:v>
                </c:pt>
                <c:pt idx="10">
                  <c:v>5.2414028038574598E-3</c:v>
                </c:pt>
                <c:pt idx="11">
                  <c:v>5.2414028038574598E-3</c:v>
                </c:pt>
                <c:pt idx="12">
                  <c:v>5.2414028038574598E-3</c:v>
                </c:pt>
                <c:pt idx="13">
                  <c:v>5.2414028038574598E-3</c:v>
                </c:pt>
                <c:pt idx="14">
                  <c:v>5.6174915482511594E-3</c:v>
                </c:pt>
                <c:pt idx="15">
                  <c:v>5.6174915482511594E-3</c:v>
                </c:pt>
                <c:pt idx="16">
                  <c:v>5.6174915482511594E-3</c:v>
                </c:pt>
                <c:pt idx="17">
                  <c:v>5.6174915482511594E-3</c:v>
                </c:pt>
                <c:pt idx="18">
                  <c:v>5.5009113707549639E-3</c:v>
                </c:pt>
                <c:pt idx="19">
                  <c:v>5.5009113707549639E-3</c:v>
                </c:pt>
                <c:pt idx="20">
                  <c:v>5.5009113707549639E-3</c:v>
                </c:pt>
                <c:pt idx="21">
                  <c:v>5.5009113707549639E-3</c:v>
                </c:pt>
                <c:pt idx="22">
                  <c:v>5.3416232953854264E-3</c:v>
                </c:pt>
                <c:pt idx="23">
                  <c:v>5.3416232953854264E-3</c:v>
                </c:pt>
                <c:pt idx="24">
                  <c:v>5.3416232953854264E-3</c:v>
                </c:pt>
                <c:pt idx="25">
                  <c:v>5.3416232953854264E-3</c:v>
                </c:pt>
                <c:pt idx="26">
                  <c:v>6.1210722167909584E-3</c:v>
                </c:pt>
                <c:pt idx="27">
                  <c:v>6.1210722167909584E-3</c:v>
                </c:pt>
                <c:pt idx="28">
                  <c:v>6.1210722167909584E-3</c:v>
                </c:pt>
                <c:pt idx="29">
                  <c:v>6.1210722167909584E-3</c:v>
                </c:pt>
                <c:pt idx="30">
                  <c:v>6.350496657154401E-3</c:v>
                </c:pt>
                <c:pt idx="31">
                  <c:v>6.350496657154401E-3</c:v>
                </c:pt>
                <c:pt idx="32">
                  <c:v>6.350496657154401E-3</c:v>
                </c:pt>
                <c:pt idx="33">
                  <c:v>6.350496657154401E-3</c:v>
                </c:pt>
                <c:pt idx="34">
                  <c:v>1.785334474075977E-3</c:v>
                </c:pt>
                <c:pt idx="35">
                  <c:v>1.785334474075977E-3</c:v>
                </c:pt>
                <c:pt idx="36">
                  <c:v>1.5063974111351539E-3</c:v>
                </c:pt>
                <c:pt idx="37">
                  <c:v>1.5063974111351539E-3</c:v>
                </c:pt>
                <c:pt idx="38">
                  <c:v>1.5063974111351539E-3</c:v>
                </c:pt>
                <c:pt idx="39">
                  <c:v>1.5063974111351539E-3</c:v>
                </c:pt>
                <c:pt idx="40">
                  <c:v>1.586033074688545E-3</c:v>
                </c:pt>
                <c:pt idx="41">
                  <c:v>1.586033074688545E-3</c:v>
                </c:pt>
                <c:pt idx="42">
                  <c:v>1.586033074688545E-3</c:v>
                </c:pt>
                <c:pt idx="43">
                  <c:v>1.586033074688545E-3</c:v>
                </c:pt>
                <c:pt idx="44">
                  <c:v>1.832777504202993E-3</c:v>
                </c:pt>
                <c:pt idx="45">
                  <c:v>1.832777504202993E-3</c:v>
                </c:pt>
                <c:pt idx="46">
                  <c:v>1.832777504202993E-3</c:v>
                </c:pt>
                <c:pt idx="47">
                  <c:v>1.832777504202993E-3</c:v>
                </c:pt>
                <c:pt idx="48">
                  <c:v>2.3021800043303512E-3</c:v>
                </c:pt>
                <c:pt idx="49">
                  <c:v>2.3021800043303512E-3</c:v>
                </c:pt>
                <c:pt idx="50">
                  <c:v>2.3021800043303512E-3</c:v>
                </c:pt>
                <c:pt idx="51">
                  <c:v>2.3021800043303512E-3</c:v>
                </c:pt>
                <c:pt idx="52">
                  <c:v>2.496557133405468E-3</c:v>
                </c:pt>
                <c:pt idx="53">
                  <c:v>2.496557133405468E-3</c:v>
                </c:pt>
                <c:pt idx="54">
                  <c:v>2.496557133405468E-3</c:v>
                </c:pt>
                <c:pt idx="55">
                  <c:v>2.496557133405468E-3</c:v>
                </c:pt>
                <c:pt idx="56">
                  <c:v>2.8564511679683561E-3</c:v>
                </c:pt>
                <c:pt idx="57">
                  <c:v>2.8564511679683561E-3</c:v>
                </c:pt>
                <c:pt idx="58">
                  <c:v>2.8564511679683561E-3</c:v>
                </c:pt>
                <c:pt idx="59">
                  <c:v>2.8564511679683561E-3</c:v>
                </c:pt>
                <c:pt idx="60">
                  <c:v>1.907211497318204E-3</c:v>
                </c:pt>
                <c:pt idx="61">
                  <c:v>1.907211497318204E-3</c:v>
                </c:pt>
                <c:pt idx="62">
                  <c:v>1.907211497318204E-3</c:v>
                </c:pt>
                <c:pt idx="63">
                  <c:v>1.907211497318204E-3</c:v>
                </c:pt>
                <c:pt idx="64">
                  <c:v>1.483770068217442E-3</c:v>
                </c:pt>
                <c:pt idx="65">
                  <c:v>1.483770068217442E-3</c:v>
                </c:pt>
                <c:pt idx="66">
                  <c:v>1.483770068217442E-3</c:v>
                </c:pt>
                <c:pt idx="67">
                  <c:v>1.483770068217442E-3</c:v>
                </c:pt>
                <c:pt idx="68">
                  <c:v>6.6895895733449784E-3</c:v>
                </c:pt>
                <c:pt idx="69">
                  <c:v>6.6895895733449784E-3</c:v>
                </c:pt>
                <c:pt idx="70">
                  <c:v>4.8249554887439478E-3</c:v>
                </c:pt>
                <c:pt idx="71">
                  <c:v>4.8249554887439478E-3</c:v>
                </c:pt>
                <c:pt idx="72">
                  <c:v>4.8249554887439478E-3</c:v>
                </c:pt>
                <c:pt idx="73">
                  <c:v>4.8249554887439478E-3</c:v>
                </c:pt>
                <c:pt idx="74">
                  <c:v>4.7224478417125654E-3</c:v>
                </c:pt>
                <c:pt idx="75">
                  <c:v>4.7224478417125654E-3</c:v>
                </c:pt>
                <c:pt idx="76">
                  <c:v>4.7224478417125654E-3</c:v>
                </c:pt>
                <c:pt idx="77">
                  <c:v>4.7224478417125654E-3</c:v>
                </c:pt>
                <c:pt idx="78">
                  <c:v>5.3357040941452126E-3</c:v>
                </c:pt>
                <c:pt idx="79">
                  <c:v>5.3357040941452126E-3</c:v>
                </c:pt>
                <c:pt idx="80">
                  <c:v>5.3357040941452126E-3</c:v>
                </c:pt>
                <c:pt idx="81">
                  <c:v>5.3357040941452126E-3</c:v>
                </c:pt>
                <c:pt idx="82">
                  <c:v>5.4147439174576876E-3</c:v>
                </c:pt>
                <c:pt idx="83">
                  <c:v>5.4147439174576876E-3</c:v>
                </c:pt>
                <c:pt idx="84">
                  <c:v>5.4147439174576876E-3</c:v>
                </c:pt>
                <c:pt idx="85">
                  <c:v>5.4147439174576876E-3</c:v>
                </c:pt>
                <c:pt idx="86">
                  <c:v>5.3806800427406544E-3</c:v>
                </c:pt>
                <c:pt idx="87">
                  <c:v>5.3806800427406544E-3</c:v>
                </c:pt>
                <c:pt idx="88">
                  <c:v>5.3806800427406544E-3</c:v>
                </c:pt>
                <c:pt idx="89">
                  <c:v>5.3806800427406544E-3</c:v>
                </c:pt>
                <c:pt idx="90">
                  <c:v>6.2433576307011837E-3</c:v>
                </c:pt>
                <c:pt idx="91">
                  <c:v>6.2433576307011837E-3</c:v>
                </c:pt>
                <c:pt idx="92">
                  <c:v>6.2433576307011837E-3</c:v>
                </c:pt>
                <c:pt idx="93">
                  <c:v>6.2433576307011837E-3</c:v>
                </c:pt>
                <c:pt idx="94">
                  <c:v>6.8209627085312934E-3</c:v>
                </c:pt>
                <c:pt idx="95">
                  <c:v>6.8209627085312934E-3</c:v>
                </c:pt>
                <c:pt idx="96">
                  <c:v>6.8209627085312934E-3</c:v>
                </c:pt>
                <c:pt idx="97">
                  <c:v>6.8209627085312934E-3</c:v>
                </c:pt>
                <c:pt idx="98">
                  <c:v>7.0803682370956548E-3</c:v>
                </c:pt>
                <c:pt idx="99">
                  <c:v>7.0803682370956548E-3</c:v>
                </c:pt>
                <c:pt idx="100">
                  <c:v>7.0803682370956548E-3</c:v>
                </c:pt>
                <c:pt idx="101">
                  <c:v>7.0803682370956548E-3</c:v>
                </c:pt>
                <c:pt idx="102">
                  <c:v>9.8602791112884273E-4</c:v>
                </c:pt>
                <c:pt idx="103">
                  <c:v>9.8602791112884273E-4</c:v>
                </c:pt>
                <c:pt idx="104">
                  <c:v>8.5916088536536466E-4</c:v>
                </c:pt>
                <c:pt idx="105">
                  <c:v>8.5916088536536466E-4</c:v>
                </c:pt>
                <c:pt idx="106">
                  <c:v>8.5916088536536466E-4</c:v>
                </c:pt>
                <c:pt idx="107">
                  <c:v>8.5916088536536466E-4</c:v>
                </c:pt>
                <c:pt idx="108">
                  <c:v>9.4029754192236721E-4</c:v>
                </c:pt>
                <c:pt idx="109">
                  <c:v>9.4029754192236721E-4</c:v>
                </c:pt>
                <c:pt idx="110">
                  <c:v>9.4029754192236721E-4</c:v>
                </c:pt>
                <c:pt idx="111">
                  <c:v>9.4029754192236721E-4</c:v>
                </c:pt>
                <c:pt idx="112">
                  <c:v>9.163700818761272E-4</c:v>
                </c:pt>
                <c:pt idx="113">
                  <c:v>9.163700818761272E-4</c:v>
                </c:pt>
                <c:pt idx="114">
                  <c:v>9.163700818761272E-4</c:v>
                </c:pt>
                <c:pt idx="115">
                  <c:v>9.163700818761272E-4</c:v>
                </c:pt>
                <c:pt idx="116">
                  <c:v>9.2679802456791676E-4</c:v>
                </c:pt>
                <c:pt idx="117">
                  <c:v>9.2679802456791676E-4</c:v>
                </c:pt>
                <c:pt idx="118">
                  <c:v>9.2679802456791676E-4</c:v>
                </c:pt>
                <c:pt idx="119">
                  <c:v>9.2679802456791676E-4</c:v>
                </c:pt>
                <c:pt idx="120">
                  <c:v>8.8495785408932489E-4</c:v>
                </c:pt>
                <c:pt idx="121">
                  <c:v>8.8495785408932489E-4</c:v>
                </c:pt>
                <c:pt idx="122">
                  <c:v>8.8495785408932489E-4</c:v>
                </c:pt>
                <c:pt idx="123">
                  <c:v>8.8495785408932489E-4</c:v>
                </c:pt>
                <c:pt idx="124">
                  <c:v>1.055465061505679E-3</c:v>
                </c:pt>
                <c:pt idx="125">
                  <c:v>1.055465061505679E-3</c:v>
                </c:pt>
                <c:pt idx="126">
                  <c:v>1.055465061505679E-3</c:v>
                </c:pt>
                <c:pt idx="127">
                  <c:v>1.055465061505679E-3</c:v>
                </c:pt>
                <c:pt idx="128">
                  <c:v>1.0194633256850379E-3</c:v>
                </c:pt>
                <c:pt idx="129">
                  <c:v>1.0194633256850379E-3</c:v>
                </c:pt>
                <c:pt idx="130">
                  <c:v>1.0194633256850379E-3</c:v>
                </c:pt>
                <c:pt idx="131">
                  <c:v>1.0194633256850379E-3</c:v>
                </c:pt>
                <c:pt idx="132">
                  <c:v>1.030961216508944E-3</c:v>
                </c:pt>
                <c:pt idx="133">
                  <c:v>1.030961216508944E-3</c:v>
                </c:pt>
                <c:pt idx="134">
                  <c:v>1.030961216508944E-3</c:v>
                </c:pt>
                <c:pt idx="135">
                  <c:v>1.030961216508944E-3</c:v>
                </c:pt>
                <c:pt idx="136">
                  <c:v>2.246638775038663E-3</c:v>
                </c:pt>
                <c:pt idx="137">
                  <c:v>2.246638775038663E-3</c:v>
                </c:pt>
                <c:pt idx="138">
                  <c:v>2.221772318620354E-3</c:v>
                </c:pt>
                <c:pt idx="139">
                  <c:v>2.221772318620354E-3</c:v>
                </c:pt>
                <c:pt idx="140">
                  <c:v>2.221772318620354E-3</c:v>
                </c:pt>
                <c:pt idx="141">
                  <c:v>2.221772318620354E-3</c:v>
                </c:pt>
                <c:pt idx="142">
                  <c:v>2.2729743091563109E-3</c:v>
                </c:pt>
                <c:pt idx="143">
                  <c:v>2.2729743091563109E-3</c:v>
                </c:pt>
                <c:pt idx="144">
                  <c:v>2.2729743091563109E-3</c:v>
                </c:pt>
                <c:pt idx="145">
                  <c:v>2.2729743091563109E-3</c:v>
                </c:pt>
                <c:pt idx="146">
                  <c:v>2.2995608675575492E-3</c:v>
                </c:pt>
                <c:pt idx="147">
                  <c:v>2.2995608675575492E-3</c:v>
                </c:pt>
                <c:pt idx="148">
                  <c:v>2.2995608675575492E-3</c:v>
                </c:pt>
                <c:pt idx="149">
                  <c:v>2.2995608675575492E-3</c:v>
                </c:pt>
                <c:pt idx="150">
                  <c:v>2.3842383404991431E-3</c:v>
                </c:pt>
                <c:pt idx="151">
                  <c:v>2.3842383404991431E-3</c:v>
                </c:pt>
                <c:pt idx="152">
                  <c:v>2.3842383404991431E-3</c:v>
                </c:pt>
                <c:pt idx="153">
                  <c:v>2.3842383404991431E-3</c:v>
                </c:pt>
                <c:pt idx="154">
                  <c:v>2.119508085382079E-3</c:v>
                </c:pt>
                <c:pt idx="155">
                  <c:v>2.119508085382079E-3</c:v>
                </c:pt>
                <c:pt idx="156">
                  <c:v>2.119508085382079E-3</c:v>
                </c:pt>
                <c:pt idx="157">
                  <c:v>2.119508085382079E-3</c:v>
                </c:pt>
                <c:pt idx="158">
                  <c:v>2.32800040837888E-3</c:v>
                </c:pt>
                <c:pt idx="159">
                  <c:v>2.32800040837888E-3</c:v>
                </c:pt>
                <c:pt idx="160">
                  <c:v>2.32800040837888E-3</c:v>
                </c:pt>
                <c:pt idx="161">
                  <c:v>2.32800040837888E-3</c:v>
                </c:pt>
                <c:pt idx="162">
                  <c:v>2.5051102543123412E-3</c:v>
                </c:pt>
                <c:pt idx="163">
                  <c:v>2.5051102543123412E-3</c:v>
                </c:pt>
                <c:pt idx="164">
                  <c:v>2.5051102543123412E-3</c:v>
                </c:pt>
                <c:pt idx="165">
                  <c:v>2.5051102543123412E-3</c:v>
                </c:pt>
                <c:pt idx="166">
                  <c:v>2.3865214906629842E-3</c:v>
                </c:pt>
                <c:pt idx="167">
                  <c:v>2.3865214906629842E-3</c:v>
                </c:pt>
                <c:pt idx="168">
                  <c:v>2.3865214906629842E-3</c:v>
                </c:pt>
                <c:pt idx="169">
                  <c:v>2.3865214906629842E-3</c:v>
                </c:pt>
                <c:pt idx="170">
                  <c:v>4.1600953365570287E-3</c:v>
                </c:pt>
                <c:pt idx="171">
                  <c:v>4.1600953365570287E-3</c:v>
                </c:pt>
                <c:pt idx="172">
                  <c:v>3.0575260075342962E-3</c:v>
                </c:pt>
                <c:pt idx="173">
                  <c:v>3.0575260075342962E-3</c:v>
                </c:pt>
                <c:pt idx="174">
                  <c:v>3.0575260075342962E-3</c:v>
                </c:pt>
                <c:pt idx="175">
                  <c:v>3.0575260075342962E-3</c:v>
                </c:pt>
                <c:pt idx="176">
                  <c:v>2.824804133814965E-3</c:v>
                </c:pt>
                <c:pt idx="177">
                  <c:v>2.824804133814965E-3</c:v>
                </c:pt>
                <c:pt idx="178">
                  <c:v>2.824804133814965E-3</c:v>
                </c:pt>
                <c:pt idx="179">
                  <c:v>2.824804133814965E-3</c:v>
                </c:pt>
                <c:pt idx="180">
                  <c:v>2.676056613142241E-3</c:v>
                </c:pt>
                <c:pt idx="181">
                  <c:v>2.676056613142241E-3</c:v>
                </c:pt>
                <c:pt idx="182">
                  <c:v>2.676056613142241E-3</c:v>
                </c:pt>
                <c:pt idx="183">
                  <c:v>2.676056613142241E-3</c:v>
                </c:pt>
                <c:pt idx="184">
                  <c:v>2.8317362322561861E-3</c:v>
                </c:pt>
                <c:pt idx="185">
                  <c:v>2.8317362322561861E-3</c:v>
                </c:pt>
                <c:pt idx="186">
                  <c:v>2.8317362322561861E-3</c:v>
                </c:pt>
                <c:pt idx="187">
                  <c:v>2.8317362322561861E-3</c:v>
                </c:pt>
                <c:pt idx="188">
                  <c:v>2.7643537690768671E-3</c:v>
                </c:pt>
                <c:pt idx="189">
                  <c:v>2.7643537690768671E-3</c:v>
                </c:pt>
                <c:pt idx="190">
                  <c:v>2.7643537690768671E-3</c:v>
                </c:pt>
                <c:pt idx="191">
                  <c:v>2.7643537690768671E-3</c:v>
                </c:pt>
                <c:pt idx="192">
                  <c:v>2.9273748927723382E-3</c:v>
                </c:pt>
                <c:pt idx="193">
                  <c:v>2.9273748927723382E-3</c:v>
                </c:pt>
                <c:pt idx="194">
                  <c:v>2.9273748927723382E-3</c:v>
                </c:pt>
                <c:pt idx="195">
                  <c:v>2.9273748927723382E-3</c:v>
                </c:pt>
                <c:pt idx="196">
                  <c:v>3.2495723826400568E-3</c:v>
                </c:pt>
                <c:pt idx="197">
                  <c:v>3.2495723826400568E-3</c:v>
                </c:pt>
                <c:pt idx="198">
                  <c:v>3.2495723826400568E-3</c:v>
                </c:pt>
                <c:pt idx="199">
                  <c:v>3.2495723826400568E-3</c:v>
                </c:pt>
                <c:pt idx="200">
                  <c:v>2.742059689911831E-3</c:v>
                </c:pt>
                <c:pt idx="201">
                  <c:v>2.742059689911831E-3</c:v>
                </c:pt>
                <c:pt idx="202">
                  <c:v>2.742059689911831E-3</c:v>
                </c:pt>
                <c:pt idx="203">
                  <c:v>2.742059689911831E-3</c:v>
                </c:pt>
                <c:pt idx="204">
                  <c:v>1.532593479956511E-2</c:v>
                </c:pt>
                <c:pt idx="205">
                  <c:v>1.532593479956511E-2</c:v>
                </c:pt>
                <c:pt idx="206">
                  <c:v>1.2458618885918409E-2</c:v>
                </c:pt>
                <c:pt idx="207">
                  <c:v>1.2458618885918409E-2</c:v>
                </c:pt>
                <c:pt idx="208">
                  <c:v>1.2458618885918409E-2</c:v>
                </c:pt>
                <c:pt idx="209">
                  <c:v>1.2458618885918409E-2</c:v>
                </c:pt>
                <c:pt idx="210">
                  <c:v>1.455907609421961E-2</c:v>
                </c:pt>
                <c:pt idx="211">
                  <c:v>1.455907609421961E-2</c:v>
                </c:pt>
                <c:pt idx="212">
                  <c:v>1.455907609421961E-2</c:v>
                </c:pt>
                <c:pt idx="213">
                  <c:v>1.455907609421961E-2</c:v>
                </c:pt>
                <c:pt idx="214">
                  <c:v>1.379857452669039E-2</c:v>
                </c:pt>
                <c:pt idx="215">
                  <c:v>1.379857452669039E-2</c:v>
                </c:pt>
                <c:pt idx="216">
                  <c:v>1.379857452669039E-2</c:v>
                </c:pt>
                <c:pt idx="217">
                  <c:v>1.379857452669039E-2</c:v>
                </c:pt>
                <c:pt idx="218">
                  <c:v>1.2536821512101341E-2</c:v>
                </c:pt>
                <c:pt idx="219">
                  <c:v>1.2536821512101341E-2</c:v>
                </c:pt>
                <c:pt idx="220">
                  <c:v>1.2536821512101341E-2</c:v>
                </c:pt>
                <c:pt idx="221">
                  <c:v>1.2536821512101341E-2</c:v>
                </c:pt>
                <c:pt idx="222">
                  <c:v>1.039757696796211E-2</c:v>
                </c:pt>
                <c:pt idx="223">
                  <c:v>1.039757696796211E-2</c:v>
                </c:pt>
                <c:pt idx="224">
                  <c:v>1.039757696796211E-2</c:v>
                </c:pt>
                <c:pt idx="225">
                  <c:v>1.039757696796211E-2</c:v>
                </c:pt>
                <c:pt idx="226">
                  <c:v>9.9008587730576251E-3</c:v>
                </c:pt>
                <c:pt idx="227">
                  <c:v>9.9008587730576251E-3</c:v>
                </c:pt>
                <c:pt idx="228">
                  <c:v>9.9008587730576251E-3</c:v>
                </c:pt>
                <c:pt idx="229">
                  <c:v>9.9008587730576251E-3</c:v>
                </c:pt>
                <c:pt idx="230">
                  <c:v>1.0654359951493971E-2</c:v>
                </c:pt>
                <c:pt idx="231">
                  <c:v>1.0654359951493971E-2</c:v>
                </c:pt>
                <c:pt idx="232">
                  <c:v>1.0654359951493971E-2</c:v>
                </c:pt>
                <c:pt idx="233">
                  <c:v>1.0654359951493971E-2</c:v>
                </c:pt>
                <c:pt idx="234">
                  <c:v>1.1273356968778309E-2</c:v>
                </c:pt>
                <c:pt idx="235">
                  <c:v>1.1273356968778309E-2</c:v>
                </c:pt>
                <c:pt idx="236">
                  <c:v>1.1273356968778309E-2</c:v>
                </c:pt>
                <c:pt idx="237">
                  <c:v>1.1273356968778309E-2</c:v>
                </c:pt>
                <c:pt idx="238">
                  <c:v>3.1268873181164339E-3</c:v>
                </c:pt>
                <c:pt idx="239">
                  <c:v>3.1268873181164339E-3</c:v>
                </c:pt>
                <c:pt idx="240">
                  <c:v>1.2453556099924551E-3</c:v>
                </c:pt>
                <c:pt idx="241">
                  <c:v>1.2453556099924551E-3</c:v>
                </c:pt>
                <c:pt idx="242">
                  <c:v>1.2453556099924551E-3</c:v>
                </c:pt>
                <c:pt idx="243">
                  <c:v>1.2453556099924551E-3</c:v>
                </c:pt>
                <c:pt idx="244">
                  <c:v>1.258842609190792E-3</c:v>
                </c:pt>
                <c:pt idx="245">
                  <c:v>1.258842609190792E-3</c:v>
                </c:pt>
                <c:pt idx="246">
                  <c:v>1.258842609190792E-3</c:v>
                </c:pt>
                <c:pt idx="247">
                  <c:v>1.258842609190792E-3</c:v>
                </c:pt>
                <c:pt idx="248">
                  <c:v>1.1676188031476179E-3</c:v>
                </c:pt>
                <c:pt idx="249">
                  <c:v>1.1676188031476179E-3</c:v>
                </c:pt>
                <c:pt idx="250">
                  <c:v>1.1676188031476179E-3</c:v>
                </c:pt>
                <c:pt idx="251">
                  <c:v>1.1676188031476179E-3</c:v>
                </c:pt>
                <c:pt idx="252">
                  <c:v>1.2071161543213071E-3</c:v>
                </c:pt>
                <c:pt idx="253">
                  <c:v>1.2071161543213071E-3</c:v>
                </c:pt>
                <c:pt idx="254">
                  <c:v>1.2071161543213071E-3</c:v>
                </c:pt>
                <c:pt idx="255">
                  <c:v>1.2071161543213071E-3</c:v>
                </c:pt>
                <c:pt idx="256">
                  <c:v>1.450426181018382E-3</c:v>
                </c:pt>
                <c:pt idx="257">
                  <c:v>1.450426181018382E-3</c:v>
                </c:pt>
                <c:pt idx="258">
                  <c:v>1.450426181018382E-3</c:v>
                </c:pt>
                <c:pt idx="259">
                  <c:v>1.450426181018382E-3</c:v>
                </c:pt>
                <c:pt idx="260">
                  <c:v>1.415613987051515E-3</c:v>
                </c:pt>
                <c:pt idx="261">
                  <c:v>1.415613987051515E-3</c:v>
                </c:pt>
                <c:pt idx="262">
                  <c:v>1.415613987051515E-3</c:v>
                </c:pt>
                <c:pt idx="263">
                  <c:v>1.415613987051515E-3</c:v>
                </c:pt>
                <c:pt idx="264">
                  <c:v>1.455735459670306E-3</c:v>
                </c:pt>
                <c:pt idx="265">
                  <c:v>1.455735459670306E-3</c:v>
                </c:pt>
                <c:pt idx="266">
                  <c:v>1.455735459670306E-3</c:v>
                </c:pt>
                <c:pt idx="267">
                  <c:v>1.455735459670306E-3</c:v>
                </c:pt>
                <c:pt idx="268">
                  <c:v>1.468206874459418E-3</c:v>
                </c:pt>
                <c:pt idx="269">
                  <c:v>1.468206874459418E-3</c:v>
                </c:pt>
                <c:pt idx="270">
                  <c:v>1.468206874459418E-3</c:v>
                </c:pt>
                <c:pt idx="271">
                  <c:v>1.468206874459418E-3</c:v>
                </c:pt>
                <c:pt idx="272">
                  <c:v>3.5221808169296091E-2</c:v>
                </c:pt>
                <c:pt idx="273">
                  <c:v>3.5221808169296091E-2</c:v>
                </c:pt>
                <c:pt idx="274">
                  <c:v>2.7962413886549891E-2</c:v>
                </c:pt>
                <c:pt idx="275">
                  <c:v>2.7962413886549891E-2</c:v>
                </c:pt>
                <c:pt idx="276">
                  <c:v>2.7962413886549891E-2</c:v>
                </c:pt>
                <c:pt idx="277">
                  <c:v>2.7962413886549891E-2</c:v>
                </c:pt>
                <c:pt idx="278">
                  <c:v>2.9090525421548951E-2</c:v>
                </c:pt>
                <c:pt idx="279">
                  <c:v>2.9090525421548951E-2</c:v>
                </c:pt>
                <c:pt idx="280">
                  <c:v>2.9090525421548951E-2</c:v>
                </c:pt>
                <c:pt idx="281">
                  <c:v>2.9090525421548951E-2</c:v>
                </c:pt>
                <c:pt idx="282">
                  <c:v>3.2188351395378782E-2</c:v>
                </c:pt>
                <c:pt idx="283">
                  <c:v>3.2188351395378782E-2</c:v>
                </c:pt>
                <c:pt idx="284">
                  <c:v>3.2188351395378782E-2</c:v>
                </c:pt>
                <c:pt idx="285">
                  <c:v>3.2188351395378782E-2</c:v>
                </c:pt>
                <c:pt idx="286">
                  <c:v>3.2685922756560681E-2</c:v>
                </c:pt>
                <c:pt idx="287">
                  <c:v>3.2685922756560681E-2</c:v>
                </c:pt>
                <c:pt idx="288">
                  <c:v>3.2685922756560681E-2</c:v>
                </c:pt>
                <c:pt idx="289">
                  <c:v>3.2685922756560681E-2</c:v>
                </c:pt>
                <c:pt idx="290">
                  <c:v>3.3329279039429373E-2</c:v>
                </c:pt>
                <c:pt idx="291">
                  <c:v>3.3329279039429373E-2</c:v>
                </c:pt>
                <c:pt idx="292">
                  <c:v>3.3329279039429373E-2</c:v>
                </c:pt>
                <c:pt idx="293">
                  <c:v>3.3329279039429373E-2</c:v>
                </c:pt>
                <c:pt idx="294">
                  <c:v>3.1898869597727753E-2</c:v>
                </c:pt>
                <c:pt idx="295">
                  <c:v>3.1898869597727753E-2</c:v>
                </c:pt>
                <c:pt idx="296">
                  <c:v>3.1898869597727753E-2</c:v>
                </c:pt>
                <c:pt idx="297">
                  <c:v>3.1898869597727753E-2</c:v>
                </c:pt>
                <c:pt idx="298">
                  <c:v>3.6017884371874691E-2</c:v>
                </c:pt>
                <c:pt idx="299">
                  <c:v>3.6017884371874691E-2</c:v>
                </c:pt>
                <c:pt idx="300">
                  <c:v>3.6017884371874691E-2</c:v>
                </c:pt>
                <c:pt idx="301">
                  <c:v>3.6017884371874691E-2</c:v>
                </c:pt>
                <c:pt idx="302">
                  <c:v>3.7054754499917721E-2</c:v>
                </c:pt>
                <c:pt idx="303">
                  <c:v>3.7054754499917721E-2</c:v>
                </c:pt>
                <c:pt idx="304">
                  <c:v>3.7054754499917721E-2</c:v>
                </c:pt>
                <c:pt idx="305">
                  <c:v>3.7054754499917721E-2</c:v>
                </c:pt>
                <c:pt idx="306">
                  <c:v>6.8274633981906245E-4</c:v>
                </c:pt>
                <c:pt idx="307">
                  <c:v>6.8274633981906245E-4</c:v>
                </c:pt>
                <c:pt idx="308">
                  <c:v>7.2226219902314333E-4</c:v>
                </c:pt>
                <c:pt idx="309">
                  <c:v>7.2226219902314333E-4</c:v>
                </c:pt>
                <c:pt idx="310">
                  <c:v>7.2226219902314333E-4</c:v>
                </c:pt>
                <c:pt idx="311">
                  <c:v>7.2226219902314333E-4</c:v>
                </c:pt>
                <c:pt idx="312">
                  <c:v>6.1268765363656371E-4</c:v>
                </c:pt>
                <c:pt idx="313">
                  <c:v>6.1268765363656371E-4</c:v>
                </c:pt>
                <c:pt idx="314">
                  <c:v>6.1268765363656371E-4</c:v>
                </c:pt>
                <c:pt idx="315">
                  <c:v>6.1268765363656371E-4</c:v>
                </c:pt>
                <c:pt idx="316">
                  <c:v>6.6711717123574797E-4</c:v>
                </c:pt>
                <c:pt idx="317">
                  <c:v>6.6711717123574797E-4</c:v>
                </c:pt>
                <c:pt idx="318">
                  <c:v>6.6711717123574797E-4</c:v>
                </c:pt>
                <c:pt idx="319">
                  <c:v>6.6711717123574797E-4</c:v>
                </c:pt>
                <c:pt idx="320">
                  <c:v>5.3958445557318298E-4</c:v>
                </c:pt>
                <c:pt idx="321">
                  <c:v>5.3958445557318298E-4</c:v>
                </c:pt>
                <c:pt idx="322">
                  <c:v>5.3958445557318298E-4</c:v>
                </c:pt>
                <c:pt idx="323">
                  <c:v>5.3958445557318298E-4</c:v>
                </c:pt>
                <c:pt idx="324">
                  <c:v>5.3362021622097597E-4</c:v>
                </c:pt>
                <c:pt idx="325">
                  <c:v>5.3362021622097597E-4</c:v>
                </c:pt>
                <c:pt idx="326">
                  <c:v>5.3362021622097597E-4</c:v>
                </c:pt>
                <c:pt idx="327">
                  <c:v>5.3362021622097597E-4</c:v>
                </c:pt>
                <c:pt idx="328">
                  <c:v>4.9589602037646669E-4</c:v>
                </c:pt>
                <c:pt idx="329">
                  <c:v>4.9589602037646669E-4</c:v>
                </c:pt>
                <c:pt idx="330">
                  <c:v>4.9589602037646669E-4</c:v>
                </c:pt>
                <c:pt idx="331">
                  <c:v>4.9589602037646669E-4</c:v>
                </c:pt>
                <c:pt idx="332">
                  <c:v>4.5162297504167961E-4</c:v>
                </c:pt>
                <c:pt idx="333">
                  <c:v>4.5162297504167961E-4</c:v>
                </c:pt>
                <c:pt idx="334">
                  <c:v>4.5162297504167961E-4</c:v>
                </c:pt>
                <c:pt idx="335">
                  <c:v>4.5162297504167961E-4</c:v>
                </c:pt>
                <c:pt idx="336">
                  <c:v>8.1250644809519068E-4</c:v>
                </c:pt>
                <c:pt idx="337">
                  <c:v>8.1250644809519068E-4</c:v>
                </c:pt>
                <c:pt idx="338">
                  <c:v>8.1250644809519068E-4</c:v>
                </c:pt>
                <c:pt idx="339">
                  <c:v>8.1250644809519068E-4</c:v>
                </c:pt>
              </c:numCache>
            </c:numRef>
          </c:xVal>
          <c:yVal>
            <c:numRef>
              <c:f>data_hs_export_share_till2019!$G$2:$G$341</c:f>
              <c:numCache>
                <c:formatCode>General</c:formatCode>
                <c:ptCount val="340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-0.72097823586978693</c:v>
                </c:pt>
                <c:pt idx="137">
                  <c:v>-1.3490233924862403</c:v>
                </c:pt>
                <c:pt idx="138">
                  <c:v>-2.8967088940255072</c:v>
                </c:pt>
                <c:pt idx="139">
                  <c:v>-1.6205593666224374</c:v>
                </c:pt>
                <c:pt idx="140">
                  <c:v>-4.1054013535411551</c:v>
                </c:pt>
                <c:pt idx="141">
                  <c:v>-2.2925956788913462</c:v>
                </c:pt>
                <c:pt idx="142">
                  <c:v>-1.8026810025172653</c:v>
                </c:pt>
                <c:pt idx="143">
                  <c:v>-0.33824602126275083</c:v>
                </c:pt>
                <c:pt idx="144">
                  <c:v>-2.5825808509828021</c:v>
                </c:pt>
                <c:pt idx="145">
                  <c:v>-1.2701347576567219</c:v>
                </c:pt>
                <c:pt idx="146">
                  <c:v>-1.0598446835814783</c:v>
                </c:pt>
                <c:pt idx="147">
                  <c:v>-3.7170636542870672E-2</c:v>
                </c:pt>
                <c:pt idx="148">
                  <c:v>-1.4839669415266257</c:v>
                </c:pt>
                <c:pt idx="149">
                  <c:v>-0.65495754471519485</c:v>
                </c:pt>
                <c:pt idx="150">
                  <c:v>-0.14620954323508523</c:v>
                </c:pt>
                <c:pt idx="151">
                  <c:v>0.1253373978109007</c:v>
                </c:pt>
                <c:pt idx="152">
                  <c:v>-0.57280300136018747</c:v>
                </c:pt>
                <c:pt idx="153">
                  <c:v>0.12311761734483889</c:v>
                </c:pt>
                <c:pt idx="154">
                  <c:v>1.8786753011990158</c:v>
                </c:pt>
                <c:pt idx="155">
                  <c:v>1.7183218536184302</c:v>
                </c:pt>
                <c:pt idx="156">
                  <c:v>1.510323809035472</c:v>
                </c:pt>
                <c:pt idx="157">
                  <c:v>1.8590512359207483</c:v>
                </c:pt>
                <c:pt idx="158">
                  <c:v>2.4720940007392684</c:v>
                </c:pt>
                <c:pt idx="159">
                  <c:v>-4.9051166356071096E-2</c:v>
                </c:pt>
                <c:pt idx="160">
                  <c:v>2.5243960048727772</c:v>
                </c:pt>
                <c:pt idx="161">
                  <c:v>1.9527316757675739</c:v>
                </c:pt>
                <c:pt idx="162">
                  <c:v>-1.4684876877358761</c:v>
                </c:pt>
                <c:pt idx="163">
                  <c:v>-1.7034961062862728</c:v>
                </c:pt>
                <c:pt idx="164">
                  <c:v>-0.55948823596464492</c:v>
                </c:pt>
                <c:pt idx="165">
                  <c:v>-1.3340082792667409</c:v>
                </c:pt>
                <c:pt idx="166">
                  <c:v>-0.8335748506428422</c:v>
                </c:pt>
                <c:pt idx="167">
                  <c:v>-1.4110869060006026E-2</c:v>
                </c:pt>
                <c:pt idx="168">
                  <c:v>-0.9295559719103379</c:v>
                </c:pt>
                <c:pt idx="169">
                  <c:v>-0.29784066310397006</c:v>
                </c:pt>
                <c:pt idx="170">
                  <c:v>0.83612488664531526</c:v>
                </c:pt>
                <c:pt idx="171">
                  <c:v>0.67997235008080126</c:v>
                </c:pt>
                <c:pt idx="172">
                  <c:v>-0.32472647373697416</c:v>
                </c:pt>
                <c:pt idx="173">
                  <c:v>3.5343935314330999E-2</c:v>
                </c:pt>
                <c:pt idx="174">
                  <c:v>-1.8139364015399</c:v>
                </c:pt>
                <c:pt idx="175">
                  <c:v>-0.24613356157585023</c:v>
                </c:pt>
                <c:pt idx="176">
                  <c:v>0.54586999163456773</c:v>
                </c:pt>
                <c:pt idx="177">
                  <c:v>0.70642650900507031</c:v>
                </c:pt>
                <c:pt idx="178">
                  <c:v>-0.41064631977665855</c:v>
                </c:pt>
                <c:pt idx="179">
                  <c:v>1.0226418522737479</c:v>
                </c:pt>
                <c:pt idx="180">
                  <c:v>8.2625762713080086E-2</c:v>
                </c:pt>
                <c:pt idx="181">
                  <c:v>0.67469908808817769</c:v>
                </c:pt>
                <c:pt idx="182">
                  <c:v>-0.10261972066728997</c:v>
                </c:pt>
                <c:pt idx="183">
                  <c:v>1.7194448601227763E-2</c:v>
                </c:pt>
                <c:pt idx="184">
                  <c:v>0.29855354285163038</c:v>
                </c:pt>
                <c:pt idx="185">
                  <c:v>-8.9414898423502587E-2</c:v>
                </c:pt>
                <c:pt idx="186">
                  <c:v>-0.47972768132192978</c:v>
                </c:pt>
                <c:pt idx="187">
                  <c:v>-8.8439121019513678E-2</c:v>
                </c:pt>
                <c:pt idx="188">
                  <c:v>-0.6951946375147382</c:v>
                </c:pt>
                <c:pt idx="189">
                  <c:v>-0.52027408063893632</c:v>
                </c:pt>
                <c:pt idx="190">
                  <c:v>-0.9474050098037794</c:v>
                </c:pt>
                <c:pt idx="191">
                  <c:v>-0.59721808051947733</c:v>
                </c:pt>
                <c:pt idx="192">
                  <c:v>0.88730828907390391</c:v>
                </c:pt>
                <c:pt idx="193">
                  <c:v>0.63331091710201193</c:v>
                </c:pt>
                <c:pt idx="194">
                  <c:v>0.55799583927453589</c:v>
                </c:pt>
                <c:pt idx="195">
                  <c:v>0.89053149409434584</c:v>
                </c:pt>
                <c:pt idx="196">
                  <c:v>-0.17374369252594701</c:v>
                </c:pt>
                <c:pt idx="197">
                  <c:v>-9.4418697622485004E-2</c:v>
                </c:pt>
                <c:pt idx="198">
                  <c:v>-0.15383585632429808</c:v>
                </c:pt>
                <c:pt idx="199">
                  <c:v>-0.41758951411248901</c:v>
                </c:pt>
                <c:pt idx="200">
                  <c:v>0.4384166790122872</c:v>
                </c:pt>
                <c:pt idx="201">
                  <c:v>0.79261069491608427</c:v>
                </c:pt>
                <c:pt idx="202">
                  <c:v>0.24168578243425221</c:v>
                </c:pt>
                <c:pt idx="203">
                  <c:v>0.74602981041785821</c:v>
                </c:pt>
                <c:pt idx="204">
                  <c:v>0.50049004709387601</c:v>
                </c:pt>
                <c:pt idx="205">
                  <c:v>0.9413258690012245</c:v>
                </c:pt>
                <c:pt idx="206">
                  <c:v>-1.6280635865737629</c:v>
                </c:pt>
                <c:pt idx="207">
                  <c:v>-0.96922525562108064</c:v>
                </c:pt>
                <c:pt idx="208">
                  <c:v>-2.453635222613276</c:v>
                </c:pt>
                <c:pt idx="209">
                  <c:v>-1.0724333951104441</c:v>
                </c:pt>
                <c:pt idx="210">
                  <c:v>1.205057100905597</c:v>
                </c:pt>
                <c:pt idx="211">
                  <c:v>1.9567787515864445</c:v>
                </c:pt>
                <c:pt idx="212">
                  <c:v>0.35473491447531091</c:v>
                </c:pt>
                <c:pt idx="213">
                  <c:v>1.190812142791823</c:v>
                </c:pt>
                <c:pt idx="214">
                  <c:v>7.3473765864294371</c:v>
                </c:pt>
                <c:pt idx="215">
                  <c:v>4.4352299730116496</c:v>
                </c:pt>
                <c:pt idx="216">
                  <c:v>6.8741599328546545</c:v>
                </c:pt>
                <c:pt idx="217">
                  <c:v>7.3099334555518691</c:v>
                </c:pt>
                <c:pt idx="218">
                  <c:v>18.328578063419037</c:v>
                </c:pt>
                <c:pt idx="219">
                  <c:v>15.905810160190644</c:v>
                </c:pt>
                <c:pt idx="220">
                  <c:v>18.955022320797561</c:v>
                </c:pt>
                <c:pt idx="221">
                  <c:v>18.343702761513786</c:v>
                </c:pt>
                <c:pt idx="222">
                  <c:v>-3.3115780556468373</c:v>
                </c:pt>
                <c:pt idx="223">
                  <c:v>-2.9158948376772491</c:v>
                </c:pt>
                <c:pt idx="224">
                  <c:v>-2.3039111882363645</c:v>
                </c:pt>
                <c:pt idx="225">
                  <c:v>-3.6961635285906365</c:v>
                </c:pt>
                <c:pt idx="226">
                  <c:v>6.0228740309448732</c:v>
                </c:pt>
                <c:pt idx="227">
                  <c:v>4.7979924738822781</c:v>
                </c:pt>
                <c:pt idx="228">
                  <c:v>5.9524962396982399</c:v>
                </c:pt>
                <c:pt idx="229">
                  <c:v>5.6733497511086632</c:v>
                </c:pt>
                <c:pt idx="230">
                  <c:v>3.5391422005323694</c:v>
                </c:pt>
                <c:pt idx="231">
                  <c:v>-0.36708855616052638</c:v>
                </c:pt>
                <c:pt idx="232">
                  <c:v>3.8014603254516723</c:v>
                </c:pt>
                <c:pt idx="233">
                  <c:v>1.7637946495625059</c:v>
                </c:pt>
                <c:pt idx="234">
                  <c:v>0.2937881326285563</c:v>
                </c:pt>
                <c:pt idx="235">
                  <c:v>-0.81182975289263659</c:v>
                </c:pt>
                <c:pt idx="236">
                  <c:v>0.76508940488487553</c:v>
                </c:pt>
                <c:pt idx="237">
                  <c:v>1.0641944495974975</c:v>
                </c:pt>
                <c:pt idx="238">
                  <c:v>0.31332096396137299</c:v>
                </c:pt>
                <c:pt idx="239">
                  <c:v>-0.10643235308456145</c:v>
                </c:pt>
                <c:pt idx="240">
                  <c:v>-3.283682876216877</c:v>
                </c:pt>
                <c:pt idx="241">
                  <c:v>-0.93975532690563535</c:v>
                </c:pt>
                <c:pt idx="242">
                  <c:v>-4.5415254167541681</c:v>
                </c:pt>
                <c:pt idx="243">
                  <c:v>-1.8199453612782872</c:v>
                </c:pt>
                <c:pt idx="244">
                  <c:v>-1.3032488592122233</c:v>
                </c:pt>
                <c:pt idx="245">
                  <c:v>-1.3627956629979066E-2</c:v>
                </c:pt>
                <c:pt idx="246">
                  <c:v>-2.2873965098618703</c:v>
                </c:pt>
                <c:pt idx="247">
                  <c:v>-0.50253549354813787</c:v>
                </c:pt>
                <c:pt idx="248">
                  <c:v>-0.63559197615783425</c:v>
                </c:pt>
                <c:pt idx="249">
                  <c:v>0.46984491420454261</c:v>
                </c:pt>
                <c:pt idx="250">
                  <c:v>-0.64240153811903056</c:v>
                </c:pt>
                <c:pt idx="251">
                  <c:v>-0.49573337159642944</c:v>
                </c:pt>
                <c:pt idx="252">
                  <c:v>0.11412179495312647</c:v>
                </c:pt>
                <c:pt idx="253">
                  <c:v>-0.12380197599240972</c:v>
                </c:pt>
                <c:pt idx="254">
                  <c:v>-0.48713604095095231</c:v>
                </c:pt>
                <c:pt idx="255">
                  <c:v>0.13599178752260521</c:v>
                </c:pt>
                <c:pt idx="256">
                  <c:v>-0.1058406653404671</c:v>
                </c:pt>
                <c:pt idx="257">
                  <c:v>0.63759268194228436</c:v>
                </c:pt>
                <c:pt idx="258">
                  <c:v>-6.5542328540008077E-2</c:v>
                </c:pt>
                <c:pt idx="259">
                  <c:v>0.25497274041926299</c:v>
                </c:pt>
                <c:pt idx="260">
                  <c:v>0.77488781643401738</c:v>
                </c:pt>
                <c:pt idx="261">
                  <c:v>0.22303711004873605</c:v>
                </c:pt>
                <c:pt idx="262">
                  <c:v>0.34231121806944209</c:v>
                </c:pt>
                <c:pt idx="263">
                  <c:v>0.74890781392368888</c:v>
                </c:pt>
                <c:pt idx="264">
                  <c:v>-0.62187743480216839</c:v>
                </c:pt>
                <c:pt idx="265">
                  <c:v>-0.46981863171250737</c:v>
                </c:pt>
                <c:pt idx="266">
                  <c:v>-0.45306326954054732</c:v>
                </c:pt>
                <c:pt idx="267">
                  <c:v>-0.77439182435587239</c:v>
                </c:pt>
                <c:pt idx="268">
                  <c:v>-0.73330529565166769</c:v>
                </c:pt>
                <c:pt idx="269">
                  <c:v>0.31282812569793611</c:v>
                </c:pt>
                <c:pt idx="270">
                  <c:v>-0.79138299663360767</c:v>
                </c:pt>
                <c:pt idx="271">
                  <c:v>0.31688392304130802</c:v>
                </c:pt>
                <c:pt idx="272">
                  <c:v>-4.4869424188079154E-2</c:v>
                </c:pt>
                <c:pt idx="273">
                  <c:v>-0.16273935738707901</c:v>
                </c:pt>
                <c:pt idx="274">
                  <c:v>-1.4862389038890746</c:v>
                </c:pt>
                <c:pt idx="275">
                  <c:v>-0.70761224838733949</c:v>
                </c:pt>
                <c:pt idx="276">
                  <c:v>-2.6486668808434137</c:v>
                </c:pt>
                <c:pt idx="277">
                  <c:v>-0.10024508264757004</c:v>
                </c:pt>
                <c:pt idx="278">
                  <c:v>-0.23830578037063171</c:v>
                </c:pt>
                <c:pt idx="279">
                  <c:v>0.99271178751701716</c:v>
                </c:pt>
                <c:pt idx="280">
                  <c:v>-0.69436298449679079</c:v>
                </c:pt>
                <c:pt idx="281">
                  <c:v>0.8027116295009934</c:v>
                </c:pt>
                <c:pt idx="282">
                  <c:v>1.3553618816128583</c:v>
                </c:pt>
                <c:pt idx="283">
                  <c:v>0.72324209611805812</c:v>
                </c:pt>
                <c:pt idx="284">
                  <c:v>0.70542793172322216</c:v>
                </c:pt>
                <c:pt idx="285">
                  <c:v>0.43792540256365298</c:v>
                </c:pt>
                <c:pt idx="286">
                  <c:v>0.66075179047467292</c:v>
                </c:pt>
                <c:pt idx="287">
                  <c:v>2.7912869879358926E-2</c:v>
                </c:pt>
                <c:pt idx="288">
                  <c:v>0.71728036681706908</c:v>
                </c:pt>
                <c:pt idx="289">
                  <c:v>0.44124858238985798</c:v>
                </c:pt>
                <c:pt idx="290">
                  <c:v>0.25837958787036319</c:v>
                </c:pt>
                <c:pt idx="291">
                  <c:v>0.73200384369860516</c:v>
                </c:pt>
                <c:pt idx="292">
                  <c:v>0.65826627678273919</c:v>
                </c:pt>
                <c:pt idx="293">
                  <c:v>0.71349901011999117</c:v>
                </c:pt>
                <c:pt idx="294">
                  <c:v>1.0914375503477329</c:v>
                </c:pt>
                <c:pt idx="295">
                  <c:v>-0.46496850488224206</c:v>
                </c:pt>
                <c:pt idx="296">
                  <c:v>0.77378648218358492</c:v>
                </c:pt>
                <c:pt idx="297">
                  <c:v>0.63236498765517979</c:v>
                </c:pt>
                <c:pt idx="298">
                  <c:v>-0.49220694854774294</c:v>
                </c:pt>
                <c:pt idx="299">
                  <c:v>-0.60915575871749095</c:v>
                </c:pt>
                <c:pt idx="300">
                  <c:v>0.41068430201465511</c:v>
                </c:pt>
                <c:pt idx="301">
                  <c:v>-0.72275559772991471</c:v>
                </c:pt>
                <c:pt idx="302">
                  <c:v>-0.12859335988762766</c:v>
                </c:pt>
                <c:pt idx="303">
                  <c:v>0.56885798608977911</c:v>
                </c:pt>
                <c:pt idx="304">
                  <c:v>-0.32154765833279697</c:v>
                </c:pt>
                <c:pt idx="305">
                  <c:v>0.6408810234895721</c:v>
                </c:pt>
                <c:pt idx="306">
                  <c:v>0.14125391028230783</c:v>
                </c:pt>
                <c:pt idx="307">
                  <c:v>0.47487728867662904</c:v>
                </c:pt>
                <c:pt idx="308">
                  <c:v>-1.0995542098793263</c:v>
                </c:pt>
                <c:pt idx="309">
                  <c:v>-1.1760026883100392</c:v>
                </c:pt>
                <c:pt idx="310">
                  <c:v>-2.3809908827477235</c:v>
                </c:pt>
                <c:pt idx="311">
                  <c:v>-0.87299909854646618</c:v>
                </c:pt>
                <c:pt idx="312">
                  <c:v>5.5407583701418961E-3</c:v>
                </c:pt>
                <c:pt idx="313">
                  <c:v>0.77491238355863912</c:v>
                </c:pt>
                <c:pt idx="314">
                  <c:v>-1.2437166293694688</c:v>
                </c:pt>
                <c:pt idx="315">
                  <c:v>1.3540941366994292</c:v>
                </c:pt>
                <c:pt idx="316">
                  <c:v>-3.7645971018196667E-2</c:v>
                </c:pt>
                <c:pt idx="317">
                  <c:v>-0.1990372617381222</c:v>
                </c:pt>
                <c:pt idx="318">
                  <c:v>0.17999874759430079</c:v>
                </c:pt>
                <c:pt idx="319">
                  <c:v>-0.50566639608488062</c:v>
                </c:pt>
                <c:pt idx="320">
                  <c:v>0.27908288694357686</c:v>
                </c:pt>
                <c:pt idx="321">
                  <c:v>-0.16405386466369909</c:v>
                </c:pt>
                <c:pt idx="322">
                  <c:v>8.4088127918840794E-2</c:v>
                </c:pt>
                <c:pt idx="323">
                  <c:v>-6.4609841282320168E-2</c:v>
                </c:pt>
                <c:pt idx="324">
                  <c:v>0.32534337819466397</c:v>
                </c:pt>
                <c:pt idx="325">
                  <c:v>1.0550904016198952</c:v>
                </c:pt>
                <c:pt idx="326">
                  <c:v>0.14602905922159692</c:v>
                </c:pt>
                <c:pt idx="327">
                  <c:v>0.5261694887334849</c:v>
                </c:pt>
                <c:pt idx="328">
                  <c:v>2.0165120904442619</c:v>
                </c:pt>
                <c:pt idx="329">
                  <c:v>0.63151210674854008</c:v>
                </c:pt>
                <c:pt idx="330">
                  <c:v>1.5169148839265081</c:v>
                </c:pt>
                <c:pt idx="331">
                  <c:v>1.4222126188508</c:v>
                </c:pt>
                <c:pt idx="332">
                  <c:v>0.84121405179820208</c:v>
                </c:pt>
                <c:pt idx="333">
                  <c:v>0.73645045202355286</c:v>
                </c:pt>
                <c:pt idx="334">
                  <c:v>1.3359790738157751</c:v>
                </c:pt>
                <c:pt idx="335">
                  <c:v>0.56998726219637108</c:v>
                </c:pt>
                <c:pt idx="336">
                  <c:v>0.86923730155660284</c:v>
                </c:pt>
                <c:pt idx="337">
                  <c:v>0.75821702215020981</c:v>
                </c:pt>
                <c:pt idx="338">
                  <c:v>0.67142489045585174</c:v>
                </c:pt>
                <c:pt idx="33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DDC-4B0F-90D7-F26E12EB35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national-semiconductor index correlation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data_stock_corr_full!$H$2:$H$573</c:f>
              <c:numCache>
                <c:formatCode>General</c:formatCode>
                <c:ptCount val="572"/>
                <c:pt idx="0">
                  <c:v>0.84405172952214014</c:v>
                </c:pt>
                <c:pt idx="1">
                  <c:v>0.84405172952214014</c:v>
                </c:pt>
                <c:pt idx="2">
                  <c:v>0.86375015188608173</c:v>
                </c:pt>
                <c:pt idx="3">
                  <c:v>0.86375015188608173</c:v>
                </c:pt>
                <c:pt idx="4">
                  <c:v>0.86375015188608173</c:v>
                </c:pt>
                <c:pt idx="5">
                  <c:v>0.86375015188608173</c:v>
                </c:pt>
                <c:pt idx="6">
                  <c:v>0.53923405826348692</c:v>
                </c:pt>
                <c:pt idx="7">
                  <c:v>0.53923405826348692</c:v>
                </c:pt>
                <c:pt idx="8">
                  <c:v>0.53923405826348692</c:v>
                </c:pt>
                <c:pt idx="9">
                  <c:v>0.53923405826348692</c:v>
                </c:pt>
                <c:pt idx="10">
                  <c:v>-0.13290468332128169</c:v>
                </c:pt>
                <c:pt idx="11">
                  <c:v>-0.13290468332128169</c:v>
                </c:pt>
                <c:pt idx="12">
                  <c:v>-0.13290468332128169</c:v>
                </c:pt>
                <c:pt idx="13">
                  <c:v>-0.13290468332128169</c:v>
                </c:pt>
                <c:pt idx="14">
                  <c:v>0.15905090344588599</c:v>
                </c:pt>
                <c:pt idx="15">
                  <c:v>0.15905090344588599</c:v>
                </c:pt>
                <c:pt idx="16">
                  <c:v>0.15905090344588599</c:v>
                </c:pt>
                <c:pt idx="17">
                  <c:v>0.15905090344588599</c:v>
                </c:pt>
                <c:pt idx="18">
                  <c:v>0.52904236060662513</c:v>
                </c:pt>
                <c:pt idx="19">
                  <c:v>0.52904236060662513</c:v>
                </c:pt>
                <c:pt idx="20">
                  <c:v>0.52904236060662513</c:v>
                </c:pt>
                <c:pt idx="21">
                  <c:v>0.52904236060662513</c:v>
                </c:pt>
                <c:pt idx="22">
                  <c:v>0.76433492494395139</c:v>
                </c:pt>
                <c:pt idx="23">
                  <c:v>0.76433492494395139</c:v>
                </c:pt>
                <c:pt idx="24">
                  <c:v>0.76433492494395139</c:v>
                </c:pt>
                <c:pt idx="25">
                  <c:v>0.76433492494395139</c:v>
                </c:pt>
                <c:pt idx="26">
                  <c:v>0.70974761126512598</c:v>
                </c:pt>
                <c:pt idx="27">
                  <c:v>0.70974761126512598</c:v>
                </c:pt>
                <c:pt idx="28">
                  <c:v>0.70974761126512598</c:v>
                </c:pt>
                <c:pt idx="29">
                  <c:v>0.70974761126512598</c:v>
                </c:pt>
                <c:pt idx="30">
                  <c:v>0.95570461099392501</c:v>
                </c:pt>
                <c:pt idx="31">
                  <c:v>0.95570461099392501</c:v>
                </c:pt>
                <c:pt idx="32">
                  <c:v>0.95570461099392501</c:v>
                </c:pt>
                <c:pt idx="33">
                  <c:v>0.95570461099392501</c:v>
                </c:pt>
                <c:pt idx="34">
                  <c:v>0.91541797612301412</c:v>
                </c:pt>
                <c:pt idx="35">
                  <c:v>0.91541797612301412</c:v>
                </c:pt>
                <c:pt idx="36">
                  <c:v>0.91541797612301412</c:v>
                </c:pt>
                <c:pt idx="37">
                  <c:v>0.91541797612301412</c:v>
                </c:pt>
                <c:pt idx="38">
                  <c:v>0.85423512668441748</c:v>
                </c:pt>
                <c:pt idx="39">
                  <c:v>0.85423512668441748</c:v>
                </c:pt>
                <c:pt idx="40">
                  <c:v>0.85423512668441748</c:v>
                </c:pt>
                <c:pt idx="41">
                  <c:v>0.85423512668441748</c:v>
                </c:pt>
                <c:pt idx="42">
                  <c:v>0.79318298754570626</c:v>
                </c:pt>
                <c:pt idx="43">
                  <c:v>0.79318298754570626</c:v>
                </c:pt>
                <c:pt idx="44">
                  <c:v>0.79318298754570626</c:v>
                </c:pt>
                <c:pt idx="45">
                  <c:v>0.79318298754570626</c:v>
                </c:pt>
                <c:pt idx="46">
                  <c:v>0.74324805484371159</c:v>
                </c:pt>
                <c:pt idx="47">
                  <c:v>0.74324805484371159</c:v>
                </c:pt>
                <c:pt idx="48">
                  <c:v>0.74324805484371159</c:v>
                </c:pt>
                <c:pt idx="49">
                  <c:v>0.74324805484371159</c:v>
                </c:pt>
                <c:pt idx="50">
                  <c:v>0.48385240401732688</c:v>
                </c:pt>
                <c:pt idx="51">
                  <c:v>0.48385240401732688</c:v>
                </c:pt>
                <c:pt idx="52">
                  <c:v>0.48385240401732688</c:v>
                </c:pt>
                <c:pt idx="53">
                  <c:v>0.48385240401732688</c:v>
                </c:pt>
                <c:pt idx="54">
                  <c:v>6.562263636895671E-2</c:v>
                </c:pt>
                <c:pt idx="55">
                  <c:v>6.562263636895671E-2</c:v>
                </c:pt>
                <c:pt idx="56">
                  <c:v>6.562263636895671E-2</c:v>
                </c:pt>
                <c:pt idx="57">
                  <c:v>6.562263636895671E-2</c:v>
                </c:pt>
                <c:pt idx="58">
                  <c:v>0.3559829624806633</c:v>
                </c:pt>
                <c:pt idx="59">
                  <c:v>0.3559829624806633</c:v>
                </c:pt>
                <c:pt idx="60">
                  <c:v>0.76745955333446914</c:v>
                </c:pt>
                <c:pt idx="61">
                  <c:v>0.76745955333446914</c:v>
                </c:pt>
                <c:pt idx="62">
                  <c:v>0.81973101760919642</c:v>
                </c:pt>
                <c:pt idx="63">
                  <c:v>0.81973101760919642</c:v>
                </c:pt>
                <c:pt idx="64">
                  <c:v>0.81973101760919642</c:v>
                </c:pt>
                <c:pt idx="65">
                  <c:v>0.81973101760919642</c:v>
                </c:pt>
                <c:pt idx="66">
                  <c:v>0.69331955515361221</c:v>
                </c:pt>
                <c:pt idx="67">
                  <c:v>0.69331955515361221</c:v>
                </c:pt>
                <c:pt idx="68">
                  <c:v>0.69331955515361221</c:v>
                </c:pt>
                <c:pt idx="69">
                  <c:v>0.69331955515361221</c:v>
                </c:pt>
                <c:pt idx="70">
                  <c:v>8.0999733416350986E-2</c:v>
                </c:pt>
                <c:pt idx="71">
                  <c:v>8.0999733416350986E-2</c:v>
                </c:pt>
                <c:pt idx="72">
                  <c:v>8.0999733416350986E-2</c:v>
                </c:pt>
                <c:pt idx="73">
                  <c:v>8.0999733416350986E-2</c:v>
                </c:pt>
                <c:pt idx="74">
                  <c:v>0.2294452116555474</c:v>
                </c:pt>
                <c:pt idx="75">
                  <c:v>0.2294452116555474</c:v>
                </c:pt>
                <c:pt idx="76">
                  <c:v>0.2294452116555474</c:v>
                </c:pt>
                <c:pt idx="77">
                  <c:v>0.2294452116555474</c:v>
                </c:pt>
                <c:pt idx="78">
                  <c:v>0.52852209699415054</c:v>
                </c:pt>
                <c:pt idx="79">
                  <c:v>0.52852209699415054</c:v>
                </c:pt>
                <c:pt idx="80">
                  <c:v>0.52852209699415054</c:v>
                </c:pt>
                <c:pt idx="81">
                  <c:v>0.52852209699415054</c:v>
                </c:pt>
                <c:pt idx="82">
                  <c:v>0.74248837679873125</c:v>
                </c:pt>
                <c:pt idx="83">
                  <c:v>0.74248837679873125</c:v>
                </c:pt>
                <c:pt idx="84">
                  <c:v>0.74248837679873125</c:v>
                </c:pt>
                <c:pt idx="85">
                  <c:v>0.74248837679873125</c:v>
                </c:pt>
                <c:pt idx="86">
                  <c:v>0.87942205352349401</c:v>
                </c:pt>
                <c:pt idx="87">
                  <c:v>0.87942205352349401</c:v>
                </c:pt>
                <c:pt idx="88">
                  <c:v>0.87942205352349401</c:v>
                </c:pt>
                <c:pt idx="89">
                  <c:v>0.87942205352349401</c:v>
                </c:pt>
                <c:pt idx="90">
                  <c:v>0.94798441449834092</c:v>
                </c:pt>
                <c:pt idx="91">
                  <c:v>0.94798441449834092</c:v>
                </c:pt>
                <c:pt idx="92">
                  <c:v>0.94798441449834092</c:v>
                </c:pt>
                <c:pt idx="93">
                  <c:v>0.94798441449834092</c:v>
                </c:pt>
                <c:pt idx="94">
                  <c:v>0.94497516890248479</c:v>
                </c:pt>
                <c:pt idx="95">
                  <c:v>0.94497516890248479</c:v>
                </c:pt>
                <c:pt idx="96">
                  <c:v>0.94497516890248479</c:v>
                </c:pt>
                <c:pt idx="97">
                  <c:v>0.94497516890248479</c:v>
                </c:pt>
                <c:pt idx="98">
                  <c:v>0.91741299389035302</c:v>
                </c:pt>
                <c:pt idx="99">
                  <c:v>0.91741299389035302</c:v>
                </c:pt>
                <c:pt idx="100">
                  <c:v>0.91741299389035302</c:v>
                </c:pt>
                <c:pt idx="101">
                  <c:v>0.91741299389035302</c:v>
                </c:pt>
                <c:pt idx="102">
                  <c:v>0.8630359765160468</c:v>
                </c:pt>
                <c:pt idx="103">
                  <c:v>0.8630359765160468</c:v>
                </c:pt>
                <c:pt idx="104">
                  <c:v>0.8630359765160468</c:v>
                </c:pt>
                <c:pt idx="105">
                  <c:v>0.8630359765160468</c:v>
                </c:pt>
                <c:pt idx="106">
                  <c:v>0.71743568306368155</c:v>
                </c:pt>
                <c:pt idx="107">
                  <c:v>0.71743568306368155</c:v>
                </c:pt>
                <c:pt idx="108">
                  <c:v>0.71743568306368155</c:v>
                </c:pt>
                <c:pt idx="109">
                  <c:v>0.71743568306368155</c:v>
                </c:pt>
                <c:pt idx="110">
                  <c:v>0.21859314049932341</c:v>
                </c:pt>
                <c:pt idx="111">
                  <c:v>0.21859314049932341</c:v>
                </c:pt>
                <c:pt idx="112">
                  <c:v>0.21859314049932341</c:v>
                </c:pt>
                <c:pt idx="113">
                  <c:v>0.21859314049932341</c:v>
                </c:pt>
                <c:pt idx="114">
                  <c:v>2.7062806004489109E-2</c:v>
                </c:pt>
                <c:pt idx="115">
                  <c:v>2.7062806004489109E-2</c:v>
                </c:pt>
                <c:pt idx="116">
                  <c:v>2.7062806004489109E-2</c:v>
                </c:pt>
                <c:pt idx="117">
                  <c:v>2.7062806004489109E-2</c:v>
                </c:pt>
                <c:pt idx="118">
                  <c:v>0.31215408421731011</c:v>
                </c:pt>
                <c:pt idx="119">
                  <c:v>0.31215408421731011</c:v>
                </c:pt>
                <c:pt idx="120">
                  <c:v>0.85547195387252284</c:v>
                </c:pt>
                <c:pt idx="121">
                  <c:v>0.85547195387252284</c:v>
                </c:pt>
                <c:pt idx="122">
                  <c:v>0.85819884210171127</c:v>
                </c:pt>
                <c:pt idx="123">
                  <c:v>0.85819884210171127</c:v>
                </c:pt>
                <c:pt idx="124">
                  <c:v>0.85819884210171127</c:v>
                </c:pt>
                <c:pt idx="125">
                  <c:v>0.85819884210171127</c:v>
                </c:pt>
                <c:pt idx="126">
                  <c:v>0.74606709497390522</c:v>
                </c:pt>
                <c:pt idx="127">
                  <c:v>0.74606709497390522</c:v>
                </c:pt>
                <c:pt idx="128">
                  <c:v>0.74606709497390522</c:v>
                </c:pt>
                <c:pt idx="129">
                  <c:v>0.74606709497390522</c:v>
                </c:pt>
                <c:pt idx="130">
                  <c:v>8.1447093601964587E-2</c:v>
                </c:pt>
                <c:pt idx="131">
                  <c:v>8.1447093601964587E-2</c:v>
                </c:pt>
                <c:pt idx="132">
                  <c:v>8.1447093601964587E-2</c:v>
                </c:pt>
                <c:pt idx="133">
                  <c:v>8.1447093601964587E-2</c:v>
                </c:pt>
                <c:pt idx="134">
                  <c:v>0.29731514481803739</c:v>
                </c:pt>
                <c:pt idx="135">
                  <c:v>0.29731514481803739</c:v>
                </c:pt>
                <c:pt idx="136">
                  <c:v>0.29731514481803739</c:v>
                </c:pt>
                <c:pt idx="137">
                  <c:v>0.29731514481803739</c:v>
                </c:pt>
                <c:pt idx="138">
                  <c:v>0.60343555846157637</c:v>
                </c:pt>
                <c:pt idx="139">
                  <c:v>0.60343555846157637</c:v>
                </c:pt>
                <c:pt idx="140">
                  <c:v>0.60343555846157637</c:v>
                </c:pt>
                <c:pt idx="141">
                  <c:v>0.60343555846157637</c:v>
                </c:pt>
                <c:pt idx="142">
                  <c:v>0.82120507713586166</c:v>
                </c:pt>
                <c:pt idx="143">
                  <c:v>0.82120507713586166</c:v>
                </c:pt>
                <c:pt idx="144">
                  <c:v>0.82120507713586166</c:v>
                </c:pt>
                <c:pt idx="145">
                  <c:v>0.82120507713586166</c:v>
                </c:pt>
                <c:pt idx="146">
                  <c:v>0.63417632525182588</c:v>
                </c:pt>
                <c:pt idx="147">
                  <c:v>0.63417632525182588</c:v>
                </c:pt>
                <c:pt idx="148">
                  <c:v>0.63417632525182588</c:v>
                </c:pt>
                <c:pt idx="149">
                  <c:v>0.63417632525182588</c:v>
                </c:pt>
                <c:pt idx="150">
                  <c:v>0.82793739835477054</c:v>
                </c:pt>
                <c:pt idx="151">
                  <c:v>0.82793739835477054</c:v>
                </c:pt>
                <c:pt idx="152">
                  <c:v>0.82793739835477054</c:v>
                </c:pt>
                <c:pt idx="153">
                  <c:v>0.82793739835477054</c:v>
                </c:pt>
                <c:pt idx="154">
                  <c:v>0.93883988584513833</c:v>
                </c:pt>
                <c:pt idx="155">
                  <c:v>0.93883988584513833</c:v>
                </c:pt>
                <c:pt idx="156">
                  <c:v>0.93883988584513833</c:v>
                </c:pt>
                <c:pt idx="157">
                  <c:v>0.93883988584513833</c:v>
                </c:pt>
                <c:pt idx="158">
                  <c:v>0.94112311293539941</c:v>
                </c:pt>
                <c:pt idx="159">
                  <c:v>0.94112311293539941</c:v>
                </c:pt>
                <c:pt idx="160">
                  <c:v>0.94112311293539941</c:v>
                </c:pt>
                <c:pt idx="161">
                  <c:v>0.94112311293539941</c:v>
                </c:pt>
                <c:pt idx="162">
                  <c:v>0.9099167572496889</c:v>
                </c:pt>
                <c:pt idx="163">
                  <c:v>0.9099167572496889</c:v>
                </c:pt>
                <c:pt idx="164">
                  <c:v>0.9099167572496889</c:v>
                </c:pt>
                <c:pt idx="165">
                  <c:v>0.9099167572496889</c:v>
                </c:pt>
                <c:pt idx="166">
                  <c:v>0.89392793670946469</c:v>
                </c:pt>
                <c:pt idx="167">
                  <c:v>0.89392793670946469</c:v>
                </c:pt>
                <c:pt idx="168">
                  <c:v>0.89392793670946469</c:v>
                </c:pt>
                <c:pt idx="169">
                  <c:v>0.89392793670946469</c:v>
                </c:pt>
                <c:pt idx="170">
                  <c:v>0.73774439700085059</c:v>
                </c:pt>
                <c:pt idx="171">
                  <c:v>0.73774439700085059</c:v>
                </c:pt>
                <c:pt idx="172">
                  <c:v>0.73774439700085059</c:v>
                </c:pt>
                <c:pt idx="173">
                  <c:v>0.73774439700085059</c:v>
                </c:pt>
                <c:pt idx="174">
                  <c:v>6.1567950988359252E-3</c:v>
                </c:pt>
                <c:pt idx="175">
                  <c:v>6.1567950988359252E-3</c:v>
                </c:pt>
                <c:pt idx="176">
                  <c:v>6.1567950988359252E-3</c:v>
                </c:pt>
                <c:pt idx="177">
                  <c:v>6.1567950988359252E-3</c:v>
                </c:pt>
                <c:pt idx="178">
                  <c:v>-0.1018077058059029</c:v>
                </c:pt>
                <c:pt idx="179">
                  <c:v>-0.1018077058059029</c:v>
                </c:pt>
                <c:pt idx="180">
                  <c:v>0.62377758549174633</c:v>
                </c:pt>
                <c:pt idx="181">
                  <c:v>0.62377758549174633</c:v>
                </c:pt>
                <c:pt idx="182">
                  <c:v>0.48398462678037191</c:v>
                </c:pt>
                <c:pt idx="183">
                  <c:v>0.48398462678037191</c:v>
                </c:pt>
                <c:pt idx="184">
                  <c:v>0.48398462678037191</c:v>
                </c:pt>
                <c:pt idx="185">
                  <c:v>0.48398462678037191</c:v>
                </c:pt>
                <c:pt idx="186">
                  <c:v>0.26402469726120398</c:v>
                </c:pt>
                <c:pt idx="187">
                  <c:v>0.26402469726120398</c:v>
                </c:pt>
                <c:pt idx="188">
                  <c:v>0.26402469726120398</c:v>
                </c:pt>
                <c:pt idx="189">
                  <c:v>0.26402469726120398</c:v>
                </c:pt>
                <c:pt idx="190">
                  <c:v>-0.12579054882825261</c:v>
                </c:pt>
                <c:pt idx="191">
                  <c:v>-0.12579054882825261</c:v>
                </c:pt>
                <c:pt idx="192">
                  <c:v>-0.12579054882825261</c:v>
                </c:pt>
                <c:pt idx="193">
                  <c:v>-0.12579054882825261</c:v>
                </c:pt>
                <c:pt idx="194">
                  <c:v>0.33584162128485229</c:v>
                </c:pt>
                <c:pt idx="195">
                  <c:v>0.33584162128485229</c:v>
                </c:pt>
                <c:pt idx="196">
                  <c:v>0.33584162128485229</c:v>
                </c:pt>
                <c:pt idx="197">
                  <c:v>0.33584162128485229</c:v>
                </c:pt>
                <c:pt idx="198">
                  <c:v>0.5384352042804752</c:v>
                </c:pt>
                <c:pt idx="199">
                  <c:v>0.5384352042804752</c:v>
                </c:pt>
                <c:pt idx="200">
                  <c:v>0.5384352042804752</c:v>
                </c:pt>
                <c:pt idx="201">
                  <c:v>0.5384352042804752</c:v>
                </c:pt>
                <c:pt idx="202">
                  <c:v>0.76844861224739902</c:v>
                </c:pt>
                <c:pt idx="203">
                  <c:v>0.76844861224739902</c:v>
                </c:pt>
                <c:pt idx="204">
                  <c:v>0.76844861224739902</c:v>
                </c:pt>
                <c:pt idx="205">
                  <c:v>0.76844861224739902</c:v>
                </c:pt>
                <c:pt idx="206">
                  <c:v>0.54937504833741979</c:v>
                </c:pt>
                <c:pt idx="207">
                  <c:v>0.54937504833741979</c:v>
                </c:pt>
                <c:pt idx="208">
                  <c:v>0.54937504833741979</c:v>
                </c:pt>
                <c:pt idx="209">
                  <c:v>0.54937504833741979</c:v>
                </c:pt>
                <c:pt idx="210">
                  <c:v>0.8375403037033835</c:v>
                </c:pt>
                <c:pt idx="211">
                  <c:v>0.8375403037033835</c:v>
                </c:pt>
                <c:pt idx="212">
                  <c:v>0.8375403037033835</c:v>
                </c:pt>
                <c:pt idx="213">
                  <c:v>0.8375403037033835</c:v>
                </c:pt>
                <c:pt idx="214">
                  <c:v>0.86710493358213747</c:v>
                </c:pt>
                <c:pt idx="215">
                  <c:v>0.86710493358213747</c:v>
                </c:pt>
                <c:pt idx="216">
                  <c:v>0.86710493358213747</c:v>
                </c:pt>
                <c:pt idx="217">
                  <c:v>0.86710493358213747</c:v>
                </c:pt>
                <c:pt idx="218">
                  <c:v>0.86160021571319789</c:v>
                </c:pt>
                <c:pt idx="219">
                  <c:v>0.86160021571319789</c:v>
                </c:pt>
                <c:pt idx="220">
                  <c:v>0.86160021571319789</c:v>
                </c:pt>
                <c:pt idx="221">
                  <c:v>0.86160021571319789</c:v>
                </c:pt>
                <c:pt idx="222">
                  <c:v>0.59190560042782348</c:v>
                </c:pt>
                <c:pt idx="223">
                  <c:v>0.59190560042782348</c:v>
                </c:pt>
                <c:pt idx="224">
                  <c:v>0.59190560042782348</c:v>
                </c:pt>
                <c:pt idx="225">
                  <c:v>0.59190560042782348</c:v>
                </c:pt>
                <c:pt idx="226">
                  <c:v>0.73851245753325334</c:v>
                </c:pt>
                <c:pt idx="227">
                  <c:v>0.73851245753325334</c:v>
                </c:pt>
                <c:pt idx="228">
                  <c:v>0.73851245753325334</c:v>
                </c:pt>
                <c:pt idx="229">
                  <c:v>0.73851245753325334</c:v>
                </c:pt>
                <c:pt idx="230">
                  <c:v>0.68485482665072694</c:v>
                </c:pt>
                <c:pt idx="231">
                  <c:v>0.68485482665072694</c:v>
                </c:pt>
                <c:pt idx="232">
                  <c:v>0.68485482665072694</c:v>
                </c:pt>
                <c:pt idx="233">
                  <c:v>0.68485482665072694</c:v>
                </c:pt>
                <c:pt idx="234">
                  <c:v>-2.9567303162600381E-2</c:v>
                </c:pt>
                <c:pt idx="235">
                  <c:v>-2.9567303162600381E-2</c:v>
                </c:pt>
                <c:pt idx="236">
                  <c:v>-2.9567303162600381E-2</c:v>
                </c:pt>
                <c:pt idx="237">
                  <c:v>-2.9567303162600381E-2</c:v>
                </c:pt>
                <c:pt idx="238">
                  <c:v>9.0869507630926452E-2</c:v>
                </c:pt>
                <c:pt idx="239">
                  <c:v>9.0869507630926452E-2</c:v>
                </c:pt>
                <c:pt idx="240">
                  <c:v>0.21524731915347789</c:v>
                </c:pt>
                <c:pt idx="241">
                  <c:v>0.21524731915347789</c:v>
                </c:pt>
                <c:pt idx="242">
                  <c:v>0.21524731915347789</c:v>
                </c:pt>
                <c:pt idx="243">
                  <c:v>0.21524731915347789</c:v>
                </c:pt>
                <c:pt idx="244">
                  <c:v>0.62859282370307934</c:v>
                </c:pt>
                <c:pt idx="245">
                  <c:v>0.62859282370307934</c:v>
                </c:pt>
                <c:pt idx="246">
                  <c:v>0.62859282370307934</c:v>
                </c:pt>
                <c:pt idx="247">
                  <c:v>0.62859282370307934</c:v>
                </c:pt>
                <c:pt idx="248">
                  <c:v>0.71940483524885424</c:v>
                </c:pt>
                <c:pt idx="249">
                  <c:v>0.71940483524885424</c:v>
                </c:pt>
                <c:pt idx="250">
                  <c:v>0.71940483524885424</c:v>
                </c:pt>
                <c:pt idx="251">
                  <c:v>0.71940483524885424</c:v>
                </c:pt>
                <c:pt idx="252">
                  <c:v>0.33002959137272642</c:v>
                </c:pt>
                <c:pt idx="253">
                  <c:v>0.33002959137272642</c:v>
                </c:pt>
                <c:pt idx="254">
                  <c:v>0.33002959137272642</c:v>
                </c:pt>
                <c:pt idx="255">
                  <c:v>0.33002959137272642</c:v>
                </c:pt>
                <c:pt idx="256">
                  <c:v>0.85330044822257167</c:v>
                </c:pt>
                <c:pt idx="257">
                  <c:v>0.85330044822257167</c:v>
                </c:pt>
                <c:pt idx="258">
                  <c:v>0.85330044822257167</c:v>
                </c:pt>
                <c:pt idx="259">
                  <c:v>0.85330044822257167</c:v>
                </c:pt>
                <c:pt idx="260">
                  <c:v>0.9601184888395623</c:v>
                </c:pt>
                <c:pt idx="261">
                  <c:v>0.9601184888395623</c:v>
                </c:pt>
                <c:pt idx="262">
                  <c:v>0.9601184888395623</c:v>
                </c:pt>
                <c:pt idx="263">
                  <c:v>0.9601184888395623</c:v>
                </c:pt>
                <c:pt idx="264">
                  <c:v>0.91810496949040077</c:v>
                </c:pt>
                <c:pt idx="265">
                  <c:v>0.91810496949040077</c:v>
                </c:pt>
                <c:pt idx="266">
                  <c:v>0.91810496949040077</c:v>
                </c:pt>
                <c:pt idx="267">
                  <c:v>0.91810496949040077</c:v>
                </c:pt>
                <c:pt idx="268">
                  <c:v>0.84141991326698506</c:v>
                </c:pt>
                <c:pt idx="269">
                  <c:v>0.84141991326698506</c:v>
                </c:pt>
                <c:pt idx="270">
                  <c:v>0.84141991326698506</c:v>
                </c:pt>
                <c:pt idx="271">
                  <c:v>0.84141991326698506</c:v>
                </c:pt>
                <c:pt idx="272">
                  <c:v>0.58353512654831619</c:v>
                </c:pt>
                <c:pt idx="273">
                  <c:v>0.58353512654831619</c:v>
                </c:pt>
                <c:pt idx="274">
                  <c:v>0.58353512654831619</c:v>
                </c:pt>
                <c:pt idx="275">
                  <c:v>0.58353512654831619</c:v>
                </c:pt>
                <c:pt idx="276">
                  <c:v>0.19885093325215261</c:v>
                </c:pt>
                <c:pt idx="277">
                  <c:v>0.19885093325215261</c:v>
                </c:pt>
                <c:pt idx="278">
                  <c:v>0.19885093325215261</c:v>
                </c:pt>
                <c:pt idx="279">
                  <c:v>0.19885093325215261</c:v>
                </c:pt>
                <c:pt idx="280">
                  <c:v>0.1653796609584316</c:v>
                </c:pt>
                <c:pt idx="281">
                  <c:v>0.1653796609584316</c:v>
                </c:pt>
                <c:pt idx="282">
                  <c:v>0.1653796609584316</c:v>
                </c:pt>
                <c:pt idx="283">
                  <c:v>0.1653796609584316</c:v>
                </c:pt>
                <c:pt idx="284">
                  <c:v>0.29060327203809921</c:v>
                </c:pt>
                <c:pt idx="285">
                  <c:v>0.29060327203809921</c:v>
                </c:pt>
                <c:pt idx="286">
                  <c:v>0.86455349240999857</c:v>
                </c:pt>
                <c:pt idx="287">
                  <c:v>0.86455349240999857</c:v>
                </c:pt>
                <c:pt idx="288">
                  <c:v>0.83359266727057346</c:v>
                </c:pt>
                <c:pt idx="289">
                  <c:v>0.83359266727057346</c:v>
                </c:pt>
                <c:pt idx="290">
                  <c:v>0.83359266727057346</c:v>
                </c:pt>
                <c:pt idx="291">
                  <c:v>0.83359266727057346</c:v>
                </c:pt>
                <c:pt idx="292">
                  <c:v>0.6952933760342126</c:v>
                </c:pt>
                <c:pt idx="293">
                  <c:v>0.6952933760342126</c:v>
                </c:pt>
                <c:pt idx="294">
                  <c:v>0.6952933760342126</c:v>
                </c:pt>
                <c:pt idx="295">
                  <c:v>0.6952933760342126</c:v>
                </c:pt>
                <c:pt idx="296">
                  <c:v>-7.1145736829973161E-2</c:v>
                </c:pt>
                <c:pt idx="297">
                  <c:v>-7.1145736829973161E-2</c:v>
                </c:pt>
                <c:pt idx="298">
                  <c:v>-7.1145736829973161E-2</c:v>
                </c:pt>
                <c:pt idx="299">
                  <c:v>-7.1145736829973161E-2</c:v>
                </c:pt>
                <c:pt idx="300">
                  <c:v>6.2533223926305753E-2</c:v>
                </c:pt>
                <c:pt idx="301">
                  <c:v>6.2533223926305753E-2</c:v>
                </c:pt>
                <c:pt idx="302">
                  <c:v>6.2533223926305753E-2</c:v>
                </c:pt>
                <c:pt idx="303">
                  <c:v>6.2533223926305753E-2</c:v>
                </c:pt>
                <c:pt idx="304">
                  <c:v>0.40116276873655787</c:v>
                </c:pt>
                <c:pt idx="305">
                  <c:v>0.40116276873655787</c:v>
                </c:pt>
                <c:pt idx="306">
                  <c:v>0.40116276873655787</c:v>
                </c:pt>
                <c:pt idx="307">
                  <c:v>0.40116276873655787</c:v>
                </c:pt>
                <c:pt idx="308">
                  <c:v>0.74423388640620014</c:v>
                </c:pt>
                <c:pt idx="309">
                  <c:v>0.74423388640620014</c:v>
                </c:pt>
                <c:pt idx="310">
                  <c:v>0.74423388640620014</c:v>
                </c:pt>
                <c:pt idx="311">
                  <c:v>0.74423388640620014</c:v>
                </c:pt>
                <c:pt idx="312">
                  <c:v>0.5622454958802221</c:v>
                </c:pt>
                <c:pt idx="313">
                  <c:v>0.5622454958802221</c:v>
                </c:pt>
                <c:pt idx="314">
                  <c:v>0.5622454958802221</c:v>
                </c:pt>
                <c:pt idx="315">
                  <c:v>0.5622454958802221</c:v>
                </c:pt>
                <c:pt idx="316">
                  <c:v>0.89455061740559294</c:v>
                </c:pt>
                <c:pt idx="317">
                  <c:v>0.89455061740559294</c:v>
                </c:pt>
                <c:pt idx="318">
                  <c:v>0.89455061740559294</c:v>
                </c:pt>
                <c:pt idx="319">
                  <c:v>0.89455061740559294</c:v>
                </c:pt>
                <c:pt idx="320">
                  <c:v>0.92712779855354743</c:v>
                </c:pt>
                <c:pt idx="321">
                  <c:v>0.92712779855354743</c:v>
                </c:pt>
                <c:pt idx="322">
                  <c:v>0.92712779855354743</c:v>
                </c:pt>
                <c:pt idx="323">
                  <c:v>0.92712779855354743</c:v>
                </c:pt>
                <c:pt idx="324">
                  <c:v>0.90405876958573828</c:v>
                </c:pt>
                <c:pt idx="325">
                  <c:v>0.90405876958573828</c:v>
                </c:pt>
                <c:pt idx="326">
                  <c:v>0.90405876958573828</c:v>
                </c:pt>
                <c:pt idx="327">
                  <c:v>0.90405876958573828</c:v>
                </c:pt>
                <c:pt idx="328">
                  <c:v>0.92165748687256943</c:v>
                </c:pt>
                <c:pt idx="329">
                  <c:v>0.92165748687256943</c:v>
                </c:pt>
                <c:pt idx="330">
                  <c:v>0.92165748687256943</c:v>
                </c:pt>
                <c:pt idx="331">
                  <c:v>0.92165748687256943</c:v>
                </c:pt>
                <c:pt idx="332">
                  <c:v>0.93042435960578862</c:v>
                </c:pt>
                <c:pt idx="333">
                  <c:v>0.93042435960578862</c:v>
                </c:pt>
                <c:pt idx="334">
                  <c:v>0.93042435960578862</c:v>
                </c:pt>
                <c:pt idx="335">
                  <c:v>0.93042435960578862</c:v>
                </c:pt>
                <c:pt idx="336">
                  <c:v>0.65431551417529998</c:v>
                </c:pt>
                <c:pt idx="337">
                  <c:v>0.65431551417529998</c:v>
                </c:pt>
                <c:pt idx="338">
                  <c:v>0.65431551417529998</c:v>
                </c:pt>
                <c:pt idx="339">
                  <c:v>0.65431551417529998</c:v>
                </c:pt>
                <c:pt idx="340">
                  <c:v>7.4630748449780043E-3</c:v>
                </c:pt>
                <c:pt idx="341">
                  <c:v>7.4630748449780043E-3</c:v>
                </c:pt>
                <c:pt idx="342">
                  <c:v>7.4630748449780043E-3</c:v>
                </c:pt>
                <c:pt idx="343">
                  <c:v>7.4630748449780043E-3</c:v>
                </c:pt>
                <c:pt idx="344">
                  <c:v>-2.2259896152862169E-2</c:v>
                </c:pt>
                <c:pt idx="345">
                  <c:v>-2.2259896152862169E-2</c:v>
                </c:pt>
                <c:pt idx="346">
                  <c:v>0.62946516501811001</c:v>
                </c:pt>
                <c:pt idx="347">
                  <c:v>0.62946516501811001</c:v>
                </c:pt>
                <c:pt idx="348">
                  <c:v>0.80455270009552871</c:v>
                </c:pt>
                <c:pt idx="349">
                  <c:v>0.80455270009552871</c:v>
                </c:pt>
                <c:pt idx="350">
                  <c:v>0.80455270009552871</c:v>
                </c:pt>
                <c:pt idx="351">
                  <c:v>0.80455270009552871</c:v>
                </c:pt>
                <c:pt idx="352">
                  <c:v>0.8458141491316713</c:v>
                </c:pt>
                <c:pt idx="353">
                  <c:v>0.8458141491316713</c:v>
                </c:pt>
                <c:pt idx="354">
                  <c:v>0.8458141491316713</c:v>
                </c:pt>
                <c:pt idx="355">
                  <c:v>0.8458141491316713</c:v>
                </c:pt>
                <c:pt idx="356">
                  <c:v>0.49439163876765568</c:v>
                </c:pt>
                <c:pt idx="357">
                  <c:v>0.49439163876765568</c:v>
                </c:pt>
                <c:pt idx="358">
                  <c:v>0.49439163876765568</c:v>
                </c:pt>
                <c:pt idx="359">
                  <c:v>0.49439163876765568</c:v>
                </c:pt>
                <c:pt idx="360">
                  <c:v>2.5527266581010271E-2</c:v>
                </c:pt>
                <c:pt idx="361">
                  <c:v>2.5527266581010271E-2</c:v>
                </c:pt>
                <c:pt idx="362">
                  <c:v>2.5527266581010271E-2</c:v>
                </c:pt>
                <c:pt idx="363">
                  <c:v>2.5527266581010271E-2</c:v>
                </c:pt>
                <c:pt idx="364">
                  <c:v>0.25910164240467398</c:v>
                </c:pt>
                <c:pt idx="365">
                  <c:v>0.25910164240467398</c:v>
                </c:pt>
                <c:pt idx="366">
                  <c:v>0.25910164240467398</c:v>
                </c:pt>
                <c:pt idx="367">
                  <c:v>0.25910164240467398</c:v>
                </c:pt>
                <c:pt idx="368">
                  <c:v>0.54612187050093675</c:v>
                </c:pt>
                <c:pt idx="369">
                  <c:v>0.54612187050093675</c:v>
                </c:pt>
                <c:pt idx="370">
                  <c:v>0.54612187050093675</c:v>
                </c:pt>
                <c:pt idx="371">
                  <c:v>0.54612187050093675</c:v>
                </c:pt>
                <c:pt idx="372">
                  <c:v>0.34414813760761909</c:v>
                </c:pt>
                <c:pt idx="373">
                  <c:v>0.34414813760761909</c:v>
                </c:pt>
                <c:pt idx="374">
                  <c:v>0.34414813760761909</c:v>
                </c:pt>
                <c:pt idx="375">
                  <c:v>0.34414813760761909</c:v>
                </c:pt>
                <c:pt idx="376">
                  <c:v>0.79719383190250992</c:v>
                </c:pt>
                <c:pt idx="377">
                  <c:v>0.79719383190250992</c:v>
                </c:pt>
                <c:pt idx="378">
                  <c:v>0.79719383190250992</c:v>
                </c:pt>
                <c:pt idx="379">
                  <c:v>0.79719383190250992</c:v>
                </c:pt>
                <c:pt idx="380">
                  <c:v>0.95435812659996266</c:v>
                </c:pt>
                <c:pt idx="381">
                  <c:v>0.95435812659996266</c:v>
                </c:pt>
                <c:pt idx="382">
                  <c:v>0.95435812659996266</c:v>
                </c:pt>
                <c:pt idx="383">
                  <c:v>0.95435812659996266</c:v>
                </c:pt>
                <c:pt idx="384">
                  <c:v>0.9340270359183438</c:v>
                </c:pt>
                <c:pt idx="385">
                  <c:v>0.9340270359183438</c:v>
                </c:pt>
                <c:pt idx="386">
                  <c:v>0.9340270359183438</c:v>
                </c:pt>
                <c:pt idx="387">
                  <c:v>0.9340270359183438</c:v>
                </c:pt>
                <c:pt idx="388">
                  <c:v>0.82302044815068109</c:v>
                </c:pt>
                <c:pt idx="389">
                  <c:v>0.82302044815068109</c:v>
                </c:pt>
                <c:pt idx="390">
                  <c:v>0.82302044815068109</c:v>
                </c:pt>
                <c:pt idx="391">
                  <c:v>0.82302044815068109</c:v>
                </c:pt>
                <c:pt idx="392">
                  <c:v>0.83256444009002695</c:v>
                </c:pt>
                <c:pt idx="393">
                  <c:v>0.83256444009002695</c:v>
                </c:pt>
                <c:pt idx="394">
                  <c:v>0.83256444009002695</c:v>
                </c:pt>
                <c:pt idx="395">
                  <c:v>0.83256444009002695</c:v>
                </c:pt>
                <c:pt idx="396">
                  <c:v>0.6431194191189592</c:v>
                </c:pt>
                <c:pt idx="397">
                  <c:v>0.6431194191189592</c:v>
                </c:pt>
                <c:pt idx="398">
                  <c:v>0.6431194191189592</c:v>
                </c:pt>
                <c:pt idx="399">
                  <c:v>0.6431194191189592</c:v>
                </c:pt>
                <c:pt idx="400">
                  <c:v>0.32092170257034919</c:v>
                </c:pt>
                <c:pt idx="401">
                  <c:v>0.32092170257034919</c:v>
                </c:pt>
                <c:pt idx="402">
                  <c:v>0.32092170257034919</c:v>
                </c:pt>
                <c:pt idx="403">
                  <c:v>0.32092170257034919</c:v>
                </c:pt>
                <c:pt idx="404">
                  <c:v>0.35395753132631119</c:v>
                </c:pt>
                <c:pt idx="405">
                  <c:v>0.35395753132631119</c:v>
                </c:pt>
                <c:pt idx="406">
                  <c:v>0.81763903391524484</c:v>
                </c:pt>
                <c:pt idx="407">
                  <c:v>0.81763903391524484</c:v>
                </c:pt>
                <c:pt idx="408">
                  <c:v>0.82627094935362411</c:v>
                </c:pt>
                <c:pt idx="409">
                  <c:v>0.82627094935362411</c:v>
                </c:pt>
                <c:pt idx="410">
                  <c:v>0.82627094935362411</c:v>
                </c:pt>
                <c:pt idx="411">
                  <c:v>0.82627094935362411</c:v>
                </c:pt>
                <c:pt idx="412">
                  <c:v>0.5343188076695039</c:v>
                </c:pt>
                <c:pt idx="413">
                  <c:v>0.5343188076695039</c:v>
                </c:pt>
                <c:pt idx="414">
                  <c:v>0.5343188076695039</c:v>
                </c:pt>
                <c:pt idx="415">
                  <c:v>0.5343188076695039</c:v>
                </c:pt>
                <c:pt idx="416">
                  <c:v>-5.7968247493718331E-2</c:v>
                </c:pt>
                <c:pt idx="417">
                  <c:v>-5.7968247493718331E-2</c:v>
                </c:pt>
                <c:pt idx="418">
                  <c:v>-5.7968247493718331E-2</c:v>
                </c:pt>
                <c:pt idx="419">
                  <c:v>-5.7968247493718331E-2</c:v>
                </c:pt>
                <c:pt idx="420">
                  <c:v>9.8406764384742884E-2</c:v>
                </c:pt>
                <c:pt idx="421">
                  <c:v>9.8406764384742884E-2</c:v>
                </c:pt>
                <c:pt idx="422">
                  <c:v>9.8406764384742884E-2</c:v>
                </c:pt>
                <c:pt idx="423">
                  <c:v>9.8406764384742884E-2</c:v>
                </c:pt>
                <c:pt idx="424">
                  <c:v>9.8047794412941008E-2</c:v>
                </c:pt>
                <c:pt idx="425">
                  <c:v>9.8047794412941008E-2</c:v>
                </c:pt>
                <c:pt idx="426">
                  <c:v>9.8047794412941008E-2</c:v>
                </c:pt>
                <c:pt idx="427">
                  <c:v>9.8047794412941008E-2</c:v>
                </c:pt>
                <c:pt idx="428">
                  <c:v>0.4915804129855248</c:v>
                </c:pt>
                <c:pt idx="429">
                  <c:v>0.4915804129855248</c:v>
                </c:pt>
                <c:pt idx="430">
                  <c:v>0.4915804129855248</c:v>
                </c:pt>
                <c:pt idx="431">
                  <c:v>0.4915804129855248</c:v>
                </c:pt>
                <c:pt idx="432">
                  <c:v>0.58027035190863618</c:v>
                </c:pt>
                <c:pt idx="433">
                  <c:v>0.58027035190863618</c:v>
                </c:pt>
                <c:pt idx="434">
                  <c:v>0.58027035190863618</c:v>
                </c:pt>
                <c:pt idx="435">
                  <c:v>0.58027035190863618</c:v>
                </c:pt>
                <c:pt idx="436">
                  <c:v>0.91222891503210513</c:v>
                </c:pt>
                <c:pt idx="437">
                  <c:v>0.91222891503210513</c:v>
                </c:pt>
                <c:pt idx="438">
                  <c:v>0.91222891503210513</c:v>
                </c:pt>
                <c:pt idx="439">
                  <c:v>0.91222891503210513</c:v>
                </c:pt>
                <c:pt idx="440">
                  <c:v>0.93164971955174003</c:v>
                </c:pt>
                <c:pt idx="441">
                  <c:v>0.93164971955174003</c:v>
                </c:pt>
                <c:pt idx="442">
                  <c:v>0.93164971955174003</c:v>
                </c:pt>
                <c:pt idx="443">
                  <c:v>0.93164971955174003</c:v>
                </c:pt>
                <c:pt idx="444">
                  <c:v>0.91416680466678835</c:v>
                </c:pt>
                <c:pt idx="445">
                  <c:v>0.91416680466678835</c:v>
                </c:pt>
                <c:pt idx="446">
                  <c:v>0.91416680466678835</c:v>
                </c:pt>
                <c:pt idx="447">
                  <c:v>0.91416680466678835</c:v>
                </c:pt>
                <c:pt idx="448">
                  <c:v>0.90204063425666803</c:v>
                </c:pt>
                <c:pt idx="449">
                  <c:v>0.90204063425666803</c:v>
                </c:pt>
                <c:pt idx="450">
                  <c:v>0.90204063425666803</c:v>
                </c:pt>
                <c:pt idx="451">
                  <c:v>0.90204063425666803</c:v>
                </c:pt>
                <c:pt idx="452">
                  <c:v>0.92248033597353918</c:v>
                </c:pt>
                <c:pt idx="453">
                  <c:v>0.92248033597353918</c:v>
                </c:pt>
                <c:pt idx="454">
                  <c:v>0.92248033597353918</c:v>
                </c:pt>
                <c:pt idx="455">
                  <c:v>0.92248033597353918</c:v>
                </c:pt>
                <c:pt idx="456">
                  <c:v>0.69071195379939176</c:v>
                </c:pt>
                <c:pt idx="457">
                  <c:v>0.69071195379939176</c:v>
                </c:pt>
                <c:pt idx="458">
                  <c:v>0.69071195379939176</c:v>
                </c:pt>
                <c:pt idx="459">
                  <c:v>0.69071195379939176</c:v>
                </c:pt>
                <c:pt idx="460">
                  <c:v>6.0061203852044547E-2</c:v>
                </c:pt>
                <c:pt idx="461">
                  <c:v>6.0061203852044547E-2</c:v>
                </c:pt>
                <c:pt idx="462">
                  <c:v>6.0061203852044547E-2</c:v>
                </c:pt>
                <c:pt idx="463">
                  <c:v>6.0061203852044547E-2</c:v>
                </c:pt>
                <c:pt idx="464">
                  <c:v>0.13475190754493399</c:v>
                </c:pt>
                <c:pt idx="465">
                  <c:v>0.13475190754493399</c:v>
                </c:pt>
                <c:pt idx="466">
                  <c:v>0.93333849233642174</c:v>
                </c:pt>
                <c:pt idx="467">
                  <c:v>0.93333849233642174</c:v>
                </c:pt>
                <c:pt idx="468">
                  <c:v>0.8351428698232144</c:v>
                </c:pt>
                <c:pt idx="469">
                  <c:v>0.8351428698232144</c:v>
                </c:pt>
                <c:pt idx="470">
                  <c:v>0.8351428698232144</c:v>
                </c:pt>
                <c:pt idx="471">
                  <c:v>0.8351428698232144</c:v>
                </c:pt>
                <c:pt idx="472">
                  <c:v>0.56214323194141969</c:v>
                </c:pt>
                <c:pt idx="473">
                  <c:v>0.56214323194141969</c:v>
                </c:pt>
                <c:pt idx="474">
                  <c:v>0.56214323194141969</c:v>
                </c:pt>
                <c:pt idx="475">
                  <c:v>0.56214323194141969</c:v>
                </c:pt>
                <c:pt idx="476">
                  <c:v>-0.14283084201054749</c:v>
                </c:pt>
                <c:pt idx="477">
                  <c:v>-0.14283084201054749</c:v>
                </c:pt>
                <c:pt idx="478">
                  <c:v>-0.14283084201054749</c:v>
                </c:pt>
                <c:pt idx="479">
                  <c:v>-0.14283084201054749</c:v>
                </c:pt>
                <c:pt idx="480">
                  <c:v>0.17899868226077459</c:v>
                </c:pt>
                <c:pt idx="481">
                  <c:v>0.17899868226077459</c:v>
                </c:pt>
                <c:pt idx="482">
                  <c:v>0.17899868226077459</c:v>
                </c:pt>
                <c:pt idx="483">
                  <c:v>0.17899868226077459</c:v>
                </c:pt>
                <c:pt idx="484">
                  <c:v>0.60727245053268153</c:v>
                </c:pt>
                <c:pt idx="485">
                  <c:v>0.60727245053268153</c:v>
                </c:pt>
                <c:pt idx="486">
                  <c:v>0.60727245053268153</c:v>
                </c:pt>
                <c:pt idx="487">
                  <c:v>0.60727245053268153</c:v>
                </c:pt>
                <c:pt idx="488">
                  <c:v>0.79840954303689304</c:v>
                </c:pt>
                <c:pt idx="489">
                  <c:v>0.79840954303689304</c:v>
                </c:pt>
                <c:pt idx="490">
                  <c:v>0.79840954303689304</c:v>
                </c:pt>
                <c:pt idx="491">
                  <c:v>0.79840954303689304</c:v>
                </c:pt>
                <c:pt idx="492">
                  <c:v>0.59845318384970081</c:v>
                </c:pt>
                <c:pt idx="493">
                  <c:v>0.59845318384970081</c:v>
                </c:pt>
                <c:pt idx="494">
                  <c:v>0.59845318384970081</c:v>
                </c:pt>
                <c:pt idx="495">
                  <c:v>0.59845318384970081</c:v>
                </c:pt>
                <c:pt idx="496">
                  <c:v>0.87784580819211311</c:v>
                </c:pt>
                <c:pt idx="497">
                  <c:v>0.87784580819211311</c:v>
                </c:pt>
                <c:pt idx="498">
                  <c:v>0.87784580819211311</c:v>
                </c:pt>
                <c:pt idx="499">
                  <c:v>0.87784580819211311</c:v>
                </c:pt>
                <c:pt idx="500">
                  <c:v>0.94574295007118003</c:v>
                </c:pt>
                <c:pt idx="501">
                  <c:v>0.94574295007118003</c:v>
                </c:pt>
                <c:pt idx="502">
                  <c:v>0.94574295007118003</c:v>
                </c:pt>
                <c:pt idx="503">
                  <c:v>0.94574295007118003</c:v>
                </c:pt>
                <c:pt idx="504">
                  <c:v>0.88432599874750706</c:v>
                </c:pt>
                <c:pt idx="505">
                  <c:v>0.88432599874750706</c:v>
                </c:pt>
                <c:pt idx="506">
                  <c:v>0.88432599874750706</c:v>
                </c:pt>
                <c:pt idx="507">
                  <c:v>0.88432599874750706</c:v>
                </c:pt>
                <c:pt idx="508">
                  <c:v>0.81381208879363764</c:v>
                </c:pt>
                <c:pt idx="509">
                  <c:v>0.81381208879363764</c:v>
                </c:pt>
                <c:pt idx="510">
                  <c:v>0.81381208879363764</c:v>
                </c:pt>
                <c:pt idx="511">
                  <c:v>0.81381208879363764</c:v>
                </c:pt>
                <c:pt idx="512">
                  <c:v>0.89381893378563049</c:v>
                </c:pt>
                <c:pt idx="513">
                  <c:v>0.89381893378563049</c:v>
                </c:pt>
                <c:pt idx="514">
                  <c:v>0.89381893378563049</c:v>
                </c:pt>
                <c:pt idx="515">
                  <c:v>0.89381893378563049</c:v>
                </c:pt>
                <c:pt idx="516">
                  <c:v>0.90524855781111691</c:v>
                </c:pt>
                <c:pt idx="517">
                  <c:v>0.90524855781111691</c:v>
                </c:pt>
                <c:pt idx="518">
                  <c:v>0.90524855781111691</c:v>
                </c:pt>
                <c:pt idx="519">
                  <c:v>0.90524855781111691</c:v>
                </c:pt>
                <c:pt idx="520">
                  <c:v>0.58193671258721102</c:v>
                </c:pt>
                <c:pt idx="521">
                  <c:v>0.58193671258721102</c:v>
                </c:pt>
                <c:pt idx="522">
                  <c:v>0.58193671258721102</c:v>
                </c:pt>
                <c:pt idx="523">
                  <c:v>0.58193671258721102</c:v>
                </c:pt>
                <c:pt idx="524">
                  <c:v>0.60408164837066136</c:v>
                </c:pt>
                <c:pt idx="525">
                  <c:v>0.60408164837066136</c:v>
                </c:pt>
                <c:pt idx="526">
                  <c:v>0.20562428135181771</c:v>
                </c:pt>
                <c:pt idx="527">
                  <c:v>0.20562428135181771</c:v>
                </c:pt>
                <c:pt idx="528">
                  <c:v>0.20562428135181771</c:v>
                </c:pt>
                <c:pt idx="529">
                  <c:v>0.20562428135181771</c:v>
                </c:pt>
                <c:pt idx="530">
                  <c:v>0.19529332020678619</c:v>
                </c:pt>
                <c:pt idx="531">
                  <c:v>0.19529332020678619</c:v>
                </c:pt>
                <c:pt idx="532">
                  <c:v>0.19529332020678619</c:v>
                </c:pt>
                <c:pt idx="533">
                  <c:v>0.19529332020678619</c:v>
                </c:pt>
                <c:pt idx="534">
                  <c:v>0.69181063344816107</c:v>
                </c:pt>
                <c:pt idx="535">
                  <c:v>0.69181063344816107</c:v>
                </c:pt>
                <c:pt idx="536">
                  <c:v>0.69181063344816107</c:v>
                </c:pt>
                <c:pt idx="537">
                  <c:v>0.69181063344816107</c:v>
                </c:pt>
                <c:pt idx="538">
                  <c:v>0.57431309132740549</c:v>
                </c:pt>
                <c:pt idx="539">
                  <c:v>0.57431309132740549</c:v>
                </c:pt>
                <c:pt idx="540">
                  <c:v>0.57431309132740549</c:v>
                </c:pt>
                <c:pt idx="541">
                  <c:v>0.57431309132740549</c:v>
                </c:pt>
                <c:pt idx="542">
                  <c:v>0.8963180548310522</c:v>
                </c:pt>
                <c:pt idx="543">
                  <c:v>0.8963180548310522</c:v>
                </c:pt>
                <c:pt idx="544">
                  <c:v>0.8963180548310522</c:v>
                </c:pt>
                <c:pt idx="545">
                  <c:v>0.8963180548310522</c:v>
                </c:pt>
                <c:pt idx="546">
                  <c:v>0.91994322807589268</c:v>
                </c:pt>
                <c:pt idx="547">
                  <c:v>0.91994322807589268</c:v>
                </c:pt>
                <c:pt idx="548">
                  <c:v>0.91994322807589268</c:v>
                </c:pt>
                <c:pt idx="549">
                  <c:v>0.91994322807589268</c:v>
                </c:pt>
                <c:pt idx="550">
                  <c:v>0.8204401437541583</c:v>
                </c:pt>
                <c:pt idx="551">
                  <c:v>0.8204401437541583</c:v>
                </c:pt>
                <c:pt idx="552">
                  <c:v>0.8204401437541583</c:v>
                </c:pt>
                <c:pt idx="553">
                  <c:v>0.8204401437541583</c:v>
                </c:pt>
                <c:pt idx="554">
                  <c:v>0.20372319717267059</c:v>
                </c:pt>
                <c:pt idx="555">
                  <c:v>0.20372319717267059</c:v>
                </c:pt>
                <c:pt idx="556">
                  <c:v>0.20372319717267059</c:v>
                </c:pt>
                <c:pt idx="557">
                  <c:v>0.20372319717267059</c:v>
                </c:pt>
                <c:pt idx="558">
                  <c:v>0.25055247475281461</c:v>
                </c:pt>
                <c:pt idx="559">
                  <c:v>0.25055247475281461</c:v>
                </c:pt>
                <c:pt idx="560">
                  <c:v>0.25055247475281461</c:v>
                </c:pt>
                <c:pt idx="561">
                  <c:v>0.25055247475281461</c:v>
                </c:pt>
                <c:pt idx="562">
                  <c:v>0.29518356966946802</c:v>
                </c:pt>
                <c:pt idx="563">
                  <c:v>0.29518356966946802</c:v>
                </c:pt>
                <c:pt idx="564">
                  <c:v>0.29518356966946802</c:v>
                </c:pt>
                <c:pt idx="565">
                  <c:v>0.29518356966946802</c:v>
                </c:pt>
                <c:pt idx="566">
                  <c:v>4.3141098767000223E-2</c:v>
                </c:pt>
                <c:pt idx="567">
                  <c:v>4.3141098767000223E-2</c:v>
                </c:pt>
                <c:pt idx="568">
                  <c:v>4.3141098767000223E-2</c:v>
                </c:pt>
                <c:pt idx="569">
                  <c:v>4.3141098767000223E-2</c:v>
                </c:pt>
                <c:pt idx="570">
                  <c:v>9.3006789852331434E-2</c:v>
                </c:pt>
                <c:pt idx="571">
                  <c:v>9.3006789852331434E-2</c:v>
                </c:pt>
              </c:numCache>
            </c:numRef>
          </c:xVal>
          <c:yVal>
            <c:numRef>
              <c:f>data_stock_corr_full!$G$2:$G$573</c:f>
              <c:numCache>
                <c:formatCode>General</c:formatCode>
                <c:ptCount val="572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-7.9847948866310681</c:v>
                </c:pt>
                <c:pt idx="35">
                  <c:v>0.46118188805930949</c:v>
                </c:pt>
                <c:pt idx="36">
                  <c:v>-8.2206600102329226</c:v>
                </c:pt>
                <c:pt idx="37">
                  <c:v>-1.0768855115855178</c:v>
                </c:pt>
                <c:pt idx="38">
                  <c:v>0.76893286752627699</c:v>
                </c:pt>
                <c:pt idx="39">
                  <c:v>0.48171699050076189</c:v>
                </c:pt>
                <c:pt idx="40">
                  <c:v>-0.12040772358579854</c:v>
                </c:pt>
                <c:pt idx="41">
                  <c:v>1.4769560816494312</c:v>
                </c:pt>
                <c:pt idx="42">
                  <c:v>0.40154250941074832</c:v>
                </c:pt>
                <c:pt idx="43">
                  <c:v>0.64298889545450244</c:v>
                </c:pt>
                <c:pt idx="44">
                  <c:v>1.0084359083347181</c:v>
                </c:pt>
                <c:pt idx="45">
                  <c:v>1.3702545552891778</c:v>
                </c:pt>
                <c:pt idx="46">
                  <c:v>-0.98019515889366993</c:v>
                </c:pt>
                <c:pt idx="47">
                  <c:v>-0.13027453123457455</c:v>
                </c:pt>
                <c:pt idx="48">
                  <c:v>-2.5508576021803226</c:v>
                </c:pt>
                <c:pt idx="49">
                  <c:v>-1.0702367914746427</c:v>
                </c:pt>
                <c:pt idx="50">
                  <c:v>-1.8366159871647127</c:v>
                </c:pt>
                <c:pt idx="51">
                  <c:v>-0.21195285203919834</c:v>
                </c:pt>
                <c:pt idx="52">
                  <c:v>-2.4463356446785758</c:v>
                </c:pt>
                <c:pt idx="53">
                  <c:v>-1.1247210626404764</c:v>
                </c:pt>
                <c:pt idx="54">
                  <c:v>-4.0626120301336499E-2</c:v>
                </c:pt>
                <c:pt idx="55">
                  <c:v>0.6380507018262298</c:v>
                </c:pt>
                <c:pt idx="56">
                  <c:v>-0.64960653009995739</c:v>
                </c:pt>
                <c:pt idx="57">
                  <c:v>1.235120832270407</c:v>
                </c:pt>
                <c:pt idx="58">
                  <c:v>0</c:v>
                </c:pt>
                <c:pt idx="59">
                  <c:v>0</c:v>
                </c:pt>
                <c:pt idx="60">
                  <c:v>-0.26564230957886825</c:v>
                </c:pt>
                <c:pt idx="61">
                  <c:v>-0.44393497951385608</c:v>
                </c:pt>
                <c:pt idx="62">
                  <c:v>-0.73190998834913579</c:v>
                </c:pt>
                <c:pt idx="63">
                  <c:v>0.41662877211910709</c:v>
                </c:pt>
                <c:pt idx="64">
                  <c:v>-1.9946331412953566</c:v>
                </c:pt>
                <c:pt idx="65">
                  <c:v>0.23384031312051204</c:v>
                </c:pt>
                <c:pt idx="66">
                  <c:v>-0.43518371560798574</c:v>
                </c:pt>
                <c:pt idx="67">
                  <c:v>0.1631824151071698</c:v>
                </c:pt>
                <c:pt idx="68">
                  <c:v>-0.93831791482202453</c:v>
                </c:pt>
                <c:pt idx="69">
                  <c:v>0.26279764266585015</c:v>
                </c:pt>
                <c:pt idx="70">
                  <c:v>0.60804524034366203</c:v>
                </c:pt>
                <c:pt idx="71">
                  <c:v>0.82726288526369518</c:v>
                </c:pt>
                <c:pt idx="72">
                  <c:v>0.55985462173544898</c:v>
                </c:pt>
                <c:pt idx="73">
                  <c:v>0.30703964316712207</c:v>
                </c:pt>
                <c:pt idx="74">
                  <c:v>0.60184371182729057</c:v>
                </c:pt>
                <c:pt idx="75">
                  <c:v>0.20095810349653198</c:v>
                </c:pt>
                <c:pt idx="76">
                  <c:v>-9.5872444645270116E-2</c:v>
                </c:pt>
                <c:pt idx="77">
                  <c:v>0.37602266897304393</c:v>
                </c:pt>
                <c:pt idx="78">
                  <c:v>-0.11861033767558893</c:v>
                </c:pt>
                <c:pt idx="79">
                  <c:v>-4.7304590003143909E-2</c:v>
                </c:pt>
                <c:pt idx="80">
                  <c:v>-0.28042817709720791</c:v>
                </c:pt>
                <c:pt idx="81">
                  <c:v>-1.0856298219501959E-2</c:v>
                </c:pt>
                <c:pt idx="82">
                  <c:v>0.1507797162184652</c:v>
                </c:pt>
                <c:pt idx="83">
                  <c:v>-0.26884506369373296</c:v>
                </c:pt>
                <c:pt idx="84">
                  <c:v>-0.10249939779924788</c:v>
                </c:pt>
                <c:pt idx="85">
                  <c:v>-7.9783867035730927E-2</c:v>
                </c:pt>
                <c:pt idx="86">
                  <c:v>5.8211280770205098E-2</c:v>
                </c:pt>
                <c:pt idx="87">
                  <c:v>0.32816631924187512</c:v>
                </c:pt>
                <c:pt idx="88">
                  <c:v>0.17749745265910399</c:v>
                </c:pt>
                <c:pt idx="89">
                  <c:v>5.2215939373469133E-2</c:v>
                </c:pt>
                <c:pt idx="90">
                  <c:v>0.8982846201541661</c:v>
                </c:pt>
                <c:pt idx="91">
                  <c:v>1.2770204459163441</c:v>
                </c:pt>
                <c:pt idx="92">
                  <c:v>0.68058495597650426</c:v>
                </c:pt>
                <c:pt idx="93">
                  <c:v>1.1871434535654872</c:v>
                </c:pt>
                <c:pt idx="94">
                  <c:v>-5.8720213186906536</c:v>
                </c:pt>
                <c:pt idx="95">
                  <c:v>3.5084821711300487</c:v>
                </c:pt>
                <c:pt idx="96">
                  <c:v>-6.1107535820139915</c:v>
                </c:pt>
                <c:pt idx="97">
                  <c:v>2.2459230282070131</c:v>
                </c:pt>
                <c:pt idx="98">
                  <c:v>1.9428126002794937</c:v>
                </c:pt>
                <c:pt idx="99">
                  <c:v>8.311464590272255E-2</c:v>
                </c:pt>
                <c:pt idx="100">
                  <c:v>-0.62319540430046239</c:v>
                </c:pt>
                <c:pt idx="101">
                  <c:v>1.5244104334755164</c:v>
                </c:pt>
                <c:pt idx="102">
                  <c:v>1.2985802285253398</c:v>
                </c:pt>
                <c:pt idx="103">
                  <c:v>1.1286019302321901</c:v>
                </c:pt>
                <c:pt idx="104">
                  <c:v>0.27459955625362209</c:v>
                </c:pt>
                <c:pt idx="105">
                  <c:v>1.9291371195943738</c:v>
                </c:pt>
                <c:pt idx="106">
                  <c:v>1.3883640898298362</c:v>
                </c:pt>
                <c:pt idx="107">
                  <c:v>0.10822182527690605</c:v>
                </c:pt>
                <c:pt idx="108">
                  <c:v>-0.22744129975502081</c:v>
                </c:pt>
                <c:pt idx="109">
                  <c:v>0.3161099745136402</c:v>
                </c:pt>
                <c:pt idx="110">
                  <c:v>-0.27505597868087905</c:v>
                </c:pt>
                <c:pt idx="111">
                  <c:v>-5.2551522415263063E-2</c:v>
                </c:pt>
                <c:pt idx="112">
                  <c:v>-0.26942607773384397</c:v>
                </c:pt>
                <c:pt idx="113">
                  <c:v>-0.18241471680150112</c:v>
                </c:pt>
                <c:pt idx="114">
                  <c:v>-0.26624808616432227</c:v>
                </c:pt>
                <c:pt idx="115">
                  <c:v>-1.9512226852114511E-2</c:v>
                </c:pt>
                <c:pt idx="116">
                  <c:v>-0.3989585451423473</c:v>
                </c:pt>
                <c:pt idx="117">
                  <c:v>0.20939697133562885</c:v>
                </c:pt>
                <c:pt idx="118">
                  <c:v>0</c:v>
                </c:pt>
                <c:pt idx="119">
                  <c:v>0</c:v>
                </c:pt>
                <c:pt idx="120">
                  <c:v>0.89939483995655589</c:v>
                </c:pt>
                <c:pt idx="121">
                  <c:v>1.1808560325801118</c:v>
                </c:pt>
                <c:pt idx="122">
                  <c:v>-5.4029254337575217E-2</c:v>
                </c:pt>
                <c:pt idx="123">
                  <c:v>-0.12697692728141019</c:v>
                </c:pt>
                <c:pt idx="124">
                  <c:v>-1.2429766151063308</c:v>
                </c:pt>
                <c:pt idx="125">
                  <c:v>2.1276684188162975E-2</c:v>
                </c:pt>
                <c:pt idx="126">
                  <c:v>-0.2668114338305837</c:v>
                </c:pt>
                <c:pt idx="127">
                  <c:v>0.10607414917842456</c:v>
                </c:pt>
                <c:pt idx="128">
                  <c:v>-1.1036026474346108</c:v>
                </c:pt>
                <c:pt idx="129">
                  <c:v>0.19098522298304116</c:v>
                </c:pt>
                <c:pt idx="130">
                  <c:v>0.50391511063603911</c:v>
                </c:pt>
                <c:pt idx="131">
                  <c:v>0.93895915127589302</c:v>
                </c:pt>
                <c:pt idx="132">
                  <c:v>0.38489933569674806</c:v>
                </c:pt>
                <c:pt idx="133">
                  <c:v>0.3604753690907021</c:v>
                </c:pt>
                <c:pt idx="134">
                  <c:v>0.41668627246598899</c:v>
                </c:pt>
                <c:pt idx="135">
                  <c:v>-0.19885935702409907</c:v>
                </c:pt>
                <c:pt idx="136">
                  <c:v>-0.47235285542918604</c:v>
                </c:pt>
                <c:pt idx="137">
                  <c:v>-0.3600890531802059</c:v>
                </c:pt>
                <c:pt idx="138">
                  <c:v>0.27860513231977801</c:v>
                </c:pt>
                <c:pt idx="139">
                  <c:v>0.24619510094493702</c:v>
                </c:pt>
                <c:pt idx="140">
                  <c:v>0.16032115441809891</c:v>
                </c:pt>
                <c:pt idx="141">
                  <c:v>0.56021580938968807</c:v>
                </c:pt>
                <c:pt idx="142">
                  <c:v>1.6647192282288961</c:v>
                </c:pt>
                <c:pt idx="143">
                  <c:v>0.98726553765954383</c:v>
                </c:pt>
                <c:pt idx="144">
                  <c:v>1.5726056100512928</c:v>
                </c:pt>
                <c:pt idx="145">
                  <c:v>1.4979471361736059</c:v>
                </c:pt>
                <c:pt idx="146">
                  <c:v>-0.85346390397992189</c:v>
                </c:pt>
                <c:pt idx="147">
                  <c:v>-0.45083812998151118</c:v>
                </c:pt>
                <c:pt idx="148">
                  <c:v>-0.58665416924442604</c:v>
                </c:pt>
                <c:pt idx="149">
                  <c:v>-1.0388815708978532</c:v>
                </c:pt>
                <c:pt idx="150">
                  <c:v>-0.72683828897076608</c:v>
                </c:pt>
                <c:pt idx="151">
                  <c:v>0.67371743677701046</c:v>
                </c:pt>
                <c:pt idx="152">
                  <c:v>-0.93999679709258999</c:v>
                </c:pt>
                <c:pt idx="153">
                  <c:v>0.56661972983481634</c:v>
                </c:pt>
                <c:pt idx="154">
                  <c:v>-5.5117432414984107</c:v>
                </c:pt>
                <c:pt idx="155">
                  <c:v>1.0663028045156304</c:v>
                </c:pt>
                <c:pt idx="156">
                  <c:v>-6.0477828073613109</c:v>
                </c:pt>
                <c:pt idx="157">
                  <c:v>1.9676759169072984</c:v>
                </c:pt>
                <c:pt idx="158">
                  <c:v>0.31461082759038206</c:v>
                </c:pt>
                <c:pt idx="159">
                  <c:v>1.097113718613111</c:v>
                </c:pt>
                <c:pt idx="160">
                  <c:v>-2.0409268972643462</c:v>
                </c:pt>
                <c:pt idx="161">
                  <c:v>0.42604586480458417</c:v>
                </c:pt>
                <c:pt idx="162">
                  <c:v>-2.6609443169839953</c:v>
                </c:pt>
                <c:pt idx="163">
                  <c:v>0.37338056935970299</c:v>
                </c:pt>
                <c:pt idx="164">
                  <c:v>-2.1229358469342294</c:v>
                </c:pt>
                <c:pt idx="165">
                  <c:v>0.37386578423211692</c:v>
                </c:pt>
                <c:pt idx="166">
                  <c:v>-0.19093583944082815</c:v>
                </c:pt>
                <c:pt idx="167">
                  <c:v>-0.54354189717324675</c:v>
                </c:pt>
                <c:pt idx="168">
                  <c:v>-3.2259227434105444</c:v>
                </c:pt>
                <c:pt idx="169">
                  <c:v>-1.0064641370532392</c:v>
                </c:pt>
                <c:pt idx="170">
                  <c:v>-0.76398245054191438</c:v>
                </c:pt>
                <c:pt idx="171">
                  <c:v>0.15197449145164205</c:v>
                </c:pt>
                <c:pt idx="172">
                  <c:v>-1.3181654375038181</c:v>
                </c:pt>
                <c:pt idx="173">
                  <c:v>-8.7013171124686664E-2</c:v>
                </c:pt>
                <c:pt idx="174">
                  <c:v>-0.35308220120580563</c:v>
                </c:pt>
                <c:pt idx="175">
                  <c:v>0.16956839292984849</c:v>
                </c:pt>
                <c:pt idx="176">
                  <c:v>-0.67387334670426191</c:v>
                </c:pt>
                <c:pt idx="177">
                  <c:v>0.37008740234464971</c:v>
                </c:pt>
                <c:pt idx="178">
                  <c:v>0</c:v>
                </c:pt>
                <c:pt idx="179">
                  <c:v>0</c:v>
                </c:pt>
                <c:pt idx="180">
                  <c:v>-1.3813318500744096</c:v>
                </c:pt>
                <c:pt idx="181">
                  <c:v>-1.4042156255031488</c:v>
                </c:pt>
                <c:pt idx="182">
                  <c:v>-3.5578433110301635</c:v>
                </c:pt>
                <c:pt idx="183">
                  <c:v>-1.468084985895092</c:v>
                </c:pt>
                <c:pt idx="184">
                  <c:v>-4.4179928139605931</c:v>
                </c:pt>
                <c:pt idx="185">
                  <c:v>-1.1441842892946601</c:v>
                </c:pt>
                <c:pt idx="186">
                  <c:v>6.4806094269020953E-3</c:v>
                </c:pt>
                <c:pt idx="187">
                  <c:v>-0.13080820497289203</c:v>
                </c:pt>
                <c:pt idx="188">
                  <c:v>-1.1063931545070063</c:v>
                </c:pt>
                <c:pt idx="189">
                  <c:v>3.6557650467966996E-2</c:v>
                </c:pt>
                <c:pt idx="190">
                  <c:v>0.97444544008665979</c:v>
                </c:pt>
                <c:pt idx="191">
                  <c:v>0.25951375517513608</c:v>
                </c:pt>
                <c:pt idx="192">
                  <c:v>0.5731581210036385</c:v>
                </c:pt>
                <c:pt idx="193">
                  <c:v>0.36104980792893904</c:v>
                </c:pt>
                <c:pt idx="194">
                  <c:v>2.2507531290568341</c:v>
                </c:pt>
                <c:pt idx="195">
                  <c:v>0.84755226971891684</c:v>
                </c:pt>
                <c:pt idx="196">
                  <c:v>1.9227190146805588</c:v>
                </c:pt>
                <c:pt idx="197">
                  <c:v>1.1642716744238411</c:v>
                </c:pt>
                <c:pt idx="198">
                  <c:v>0.20691362640356292</c:v>
                </c:pt>
                <c:pt idx="199">
                  <c:v>-0.32437575106588312</c:v>
                </c:pt>
                <c:pt idx="200">
                  <c:v>0.29294469454354299</c:v>
                </c:pt>
                <c:pt idx="201">
                  <c:v>0.27990361283777565</c:v>
                </c:pt>
                <c:pt idx="202">
                  <c:v>0.59955818573028896</c:v>
                </c:pt>
                <c:pt idx="203">
                  <c:v>-0.21335805850076506</c:v>
                </c:pt>
                <c:pt idx="204">
                  <c:v>0.35000728826492189</c:v>
                </c:pt>
                <c:pt idx="205">
                  <c:v>9.1706447057128937E-2</c:v>
                </c:pt>
                <c:pt idx="206">
                  <c:v>-0.17009025968066194</c:v>
                </c:pt>
                <c:pt idx="207">
                  <c:v>-0.19081445099353322</c:v>
                </c:pt>
                <c:pt idx="208">
                  <c:v>2.9647560491548042E-3</c:v>
                </c:pt>
                <c:pt idx="209">
                  <c:v>-0.48414216228142726</c:v>
                </c:pt>
                <c:pt idx="210">
                  <c:v>-0.21306976831362023</c:v>
                </c:pt>
                <c:pt idx="211">
                  <c:v>7.2237730363746921E-2</c:v>
                </c:pt>
                <c:pt idx="212">
                  <c:v>-0.41366958696250311</c:v>
                </c:pt>
                <c:pt idx="213">
                  <c:v>-0.15364893942900526</c:v>
                </c:pt>
                <c:pt idx="214">
                  <c:v>-13.076741440445701</c:v>
                </c:pt>
                <c:pt idx="215">
                  <c:v>0.82436876065597886</c:v>
                </c:pt>
                <c:pt idx="216">
                  <c:v>-13.449524977065238</c:v>
                </c:pt>
                <c:pt idx="217">
                  <c:v>-2.2018192403305132</c:v>
                </c:pt>
                <c:pt idx="218">
                  <c:v>1.1184606927194407</c:v>
                </c:pt>
                <c:pt idx="219">
                  <c:v>1.8458632295773425</c:v>
                </c:pt>
                <c:pt idx="220">
                  <c:v>-0.50686163990971256</c:v>
                </c:pt>
                <c:pt idx="221">
                  <c:v>0.58806104979523433</c:v>
                </c:pt>
                <c:pt idx="222">
                  <c:v>0.64788894209388648</c:v>
                </c:pt>
                <c:pt idx="223">
                  <c:v>1.6280433106379038</c:v>
                </c:pt>
                <c:pt idx="224">
                  <c:v>-0.60227924273788158</c:v>
                </c:pt>
                <c:pt idx="225">
                  <c:v>2.149623075816363</c:v>
                </c:pt>
                <c:pt idx="226">
                  <c:v>1.4759385035830395</c:v>
                </c:pt>
                <c:pt idx="227">
                  <c:v>6.5493966740925114E-2</c:v>
                </c:pt>
                <c:pt idx="228">
                  <c:v>-0.94199003346141597</c:v>
                </c:pt>
                <c:pt idx="229">
                  <c:v>0.49429728762396685</c:v>
                </c:pt>
                <c:pt idx="230">
                  <c:v>1.7363603942146351</c:v>
                </c:pt>
                <c:pt idx="231">
                  <c:v>0.42996620634170712</c:v>
                </c:pt>
                <c:pt idx="232">
                  <c:v>1.432026290013092</c:v>
                </c:pt>
                <c:pt idx="233">
                  <c:v>1.2521726761369569</c:v>
                </c:pt>
                <c:pt idx="234">
                  <c:v>0.4397199192889798</c:v>
                </c:pt>
                <c:pt idx="235">
                  <c:v>-8.2255734956584892E-2</c:v>
                </c:pt>
                <c:pt idx="236">
                  <c:v>0.83836493177998594</c:v>
                </c:pt>
                <c:pt idx="237">
                  <c:v>0.23477837424939674</c:v>
                </c:pt>
                <c:pt idx="238">
                  <c:v>0</c:v>
                </c:pt>
                <c:pt idx="239">
                  <c:v>0</c:v>
                </c:pt>
                <c:pt idx="240">
                  <c:v>-0.14620954323508523</c:v>
                </c:pt>
                <c:pt idx="241">
                  <c:v>0.1253373978109007</c:v>
                </c:pt>
                <c:pt idx="242">
                  <c:v>-0.57280300136018747</c:v>
                </c:pt>
                <c:pt idx="243">
                  <c:v>0.12311761734483889</c:v>
                </c:pt>
                <c:pt idx="244">
                  <c:v>1.8786753011990158</c:v>
                </c:pt>
                <c:pt idx="245">
                  <c:v>1.7183218536184302</c:v>
                </c:pt>
                <c:pt idx="246">
                  <c:v>1.510323809035472</c:v>
                </c:pt>
                <c:pt idx="247">
                  <c:v>1.8590512359207483</c:v>
                </c:pt>
                <c:pt idx="248">
                  <c:v>2.4720940007392684</c:v>
                </c:pt>
                <c:pt idx="249">
                  <c:v>-4.9051166356071096E-2</c:v>
                </c:pt>
                <c:pt idx="250">
                  <c:v>2.5243960048727772</c:v>
                </c:pt>
                <c:pt idx="251">
                  <c:v>1.9527316757675739</c:v>
                </c:pt>
                <c:pt idx="252">
                  <c:v>-1.4684876877358761</c:v>
                </c:pt>
                <c:pt idx="253">
                  <c:v>-1.7034961062862728</c:v>
                </c:pt>
                <c:pt idx="254">
                  <c:v>-0.55948823596464492</c:v>
                </c:pt>
                <c:pt idx="255">
                  <c:v>-1.3340082792667409</c:v>
                </c:pt>
                <c:pt idx="256">
                  <c:v>-0.8335748506428422</c:v>
                </c:pt>
                <c:pt idx="257">
                  <c:v>-1.4110869060006026E-2</c:v>
                </c:pt>
                <c:pt idx="258">
                  <c:v>-0.9295559719103379</c:v>
                </c:pt>
                <c:pt idx="259">
                  <c:v>-0.29784066310397006</c:v>
                </c:pt>
                <c:pt idx="260">
                  <c:v>-3.6230506117637438</c:v>
                </c:pt>
                <c:pt idx="261">
                  <c:v>1.7496128021536563</c:v>
                </c:pt>
                <c:pt idx="262">
                  <c:v>-3.6875295267387962</c:v>
                </c:pt>
                <c:pt idx="263">
                  <c:v>3.812344683053138</c:v>
                </c:pt>
                <c:pt idx="264">
                  <c:v>-0.25859743194969287</c:v>
                </c:pt>
                <c:pt idx="265">
                  <c:v>-0.76255561777172076</c:v>
                </c:pt>
                <c:pt idx="266">
                  <c:v>-1.0319888097993339</c:v>
                </c:pt>
                <c:pt idx="267">
                  <c:v>-9.7992979043315831E-2</c:v>
                </c:pt>
                <c:pt idx="268">
                  <c:v>-2.0671616710759921</c:v>
                </c:pt>
                <c:pt idx="269">
                  <c:v>-1.5677906220824354</c:v>
                </c:pt>
                <c:pt idx="270">
                  <c:v>-1.9916383255658392</c:v>
                </c:pt>
                <c:pt idx="271">
                  <c:v>-0.84304938846227129</c:v>
                </c:pt>
                <c:pt idx="272">
                  <c:v>-1.5379932664356266</c:v>
                </c:pt>
                <c:pt idx="273">
                  <c:v>-1.4350651524638591</c:v>
                </c:pt>
                <c:pt idx="274">
                  <c:v>-2.96232576895608</c:v>
                </c:pt>
                <c:pt idx="275">
                  <c:v>-1.4958963214910126</c:v>
                </c:pt>
                <c:pt idx="276">
                  <c:v>5.5454419377964248E-2</c:v>
                </c:pt>
                <c:pt idx="277">
                  <c:v>1.1596069734324581</c:v>
                </c:pt>
                <c:pt idx="278">
                  <c:v>-0.49398677856419337</c:v>
                </c:pt>
                <c:pt idx="279">
                  <c:v>0.84187322906342721</c:v>
                </c:pt>
                <c:pt idx="280">
                  <c:v>-0.74460636681637882</c:v>
                </c:pt>
                <c:pt idx="281">
                  <c:v>0.72418125285179868</c:v>
                </c:pt>
                <c:pt idx="282">
                  <c:v>-0.5607547780382397</c:v>
                </c:pt>
                <c:pt idx="283">
                  <c:v>-0.17606213387669556</c:v>
                </c:pt>
                <c:pt idx="284">
                  <c:v>0</c:v>
                </c:pt>
                <c:pt idx="285">
                  <c:v>0</c:v>
                </c:pt>
                <c:pt idx="286">
                  <c:v>0.83612488664531526</c:v>
                </c:pt>
                <c:pt idx="287">
                  <c:v>0.67997235008080126</c:v>
                </c:pt>
                <c:pt idx="288">
                  <c:v>-0.32472647373697416</c:v>
                </c:pt>
                <c:pt idx="289">
                  <c:v>3.5343935314330999E-2</c:v>
                </c:pt>
                <c:pt idx="290">
                  <c:v>-1.8139364015399</c:v>
                </c:pt>
                <c:pt idx="291">
                  <c:v>-0.24613356157585023</c:v>
                </c:pt>
                <c:pt idx="292">
                  <c:v>0.54586999163456773</c:v>
                </c:pt>
                <c:pt idx="293">
                  <c:v>0.70642650900507031</c:v>
                </c:pt>
                <c:pt idx="294">
                  <c:v>-0.41064631977665855</c:v>
                </c:pt>
                <c:pt idx="295">
                  <c:v>1.0226418522737479</c:v>
                </c:pt>
                <c:pt idx="296">
                  <c:v>8.2625762713080086E-2</c:v>
                </c:pt>
                <c:pt idx="297">
                  <c:v>0.67469908808817769</c:v>
                </c:pt>
                <c:pt idx="298">
                  <c:v>-0.10261972066728997</c:v>
                </c:pt>
                <c:pt idx="299">
                  <c:v>1.7194448601227763E-2</c:v>
                </c:pt>
                <c:pt idx="300">
                  <c:v>0.29855354285163038</c:v>
                </c:pt>
                <c:pt idx="301">
                  <c:v>-8.9414898423502587E-2</c:v>
                </c:pt>
                <c:pt idx="302">
                  <c:v>-0.47972768132192978</c:v>
                </c:pt>
                <c:pt idx="303">
                  <c:v>-8.8439121019513678E-2</c:v>
                </c:pt>
                <c:pt idx="304">
                  <c:v>-0.6951946375147382</c:v>
                </c:pt>
                <c:pt idx="305">
                  <c:v>-0.52027408063893632</c:v>
                </c:pt>
                <c:pt idx="306">
                  <c:v>-0.9474050098037794</c:v>
                </c:pt>
                <c:pt idx="307">
                  <c:v>-0.59721808051947733</c:v>
                </c:pt>
                <c:pt idx="308">
                  <c:v>0.88730828907390391</c:v>
                </c:pt>
                <c:pt idx="309">
                  <c:v>0.63331091710201193</c:v>
                </c:pt>
                <c:pt idx="310">
                  <c:v>0.55799583927453589</c:v>
                </c:pt>
                <c:pt idx="311">
                  <c:v>0.89053149409434584</c:v>
                </c:pt>
                <c:pt idx="312">
                  <c:v>-0.17374369252594701</c:v>
                </c:pt>
                <c:pt idx="313">
                  <c:v>-9.4418697622485004E-2</c:v>
                </c:pt>
                <c:pt idx="314">
                  <c:v>-0.15383585632429808</c:v>
                </c:pt>
                <c:pt idx="315">
                  <c:v>-0.41758951411248901</c:v>
                </c:pt>
                <c:pt idx="316">
                  <c:v>0.4384166790122872</c:v>
                </c:pt>
                <c:pt idx="317">
                  <c:v>0.79261069491608427</c:v>
                </c:pt>
                <c:pt idx="318">
                  <c:v>0.24168578243425221</c:v>
                </c:pt>
                <c:pt idx="319">
                  <c:v>0.74602981041785821</c:v>
                </c:pt>
                <c:pt idx="320">
                  <c:v>-9.1974015560336042</c:v>
                </c:pt>
                <c:pt idx="321">
                  <c:v>1.4391287067798215</c:v>
                </c:pt>
                <c:pt idx="322">
                  <c:v>-9.4157638701608679</c:v>
                </c:pt>
                <c:pt idx="323">
                  <c:v>0.33628419121901221</c:v>
                </c:pt>
                <c:pt idx="324">
                  <c:v>0.77492257463683512</c:v>
                </c:pt>
                <c:pt idx="325">
                  <c:v>2.7609048047935403E-2</c:v>
                </c:pt>
                <c:pt idx="326">
                  <c:v>-0.83094601408312574</c:v>
                </c:pt>
                <c:pt idx="327">
                  <c:v>0.85548580385178141</c:v>
                </c:pt>
                <c:pt idx="328">
                  <c:v>-1.0044763978131481</c:v>
                </c:pt>
                <c:pt idx="329">
                  <c:v>0.13221272000764106</c:v>
                </c:pt>
                <c:pt idx="330">
                  <c:v>-1.4498059135976793</c:v>
                </c:pt>
                <c:pt idx="331">
                  <c:v>-0.33728125818969223</c:v>
                </c:pt>
                <c:pt idx="332">
                  <c:v>1.362740568589244</c:v>
                </c:pt>
                <c:pt idx="333">
                  <c:v>0.799970788141108</c:v>
                </c:pt>
                <c:pt idx="334">
                  <c:v>3.3137959113811011E-2</c:v>
                </c:pt>
                <c:pt idx="335">
                  <c:v>1.0779868195341884</c:v>
                </c:pt>
                <c:pt idx="336">
                  <c:v>0.16738745154850099</c:v>
                </c:pt>
                <c:pt idx="337">
                  <c:v>0.27545247469052403</c:v>
                </c:pt>
                <c:pt idx="338">
                  <c:v>-4.1217278471559204E-3</c:v>
                </c:pt>
                <c:pt idx="339">
                  <c:v>0.68596377940700104</c:v>
                </c:pt>
                <c:pt idx="340">
                  <c:v>6.3031178006735966E-2</c:v>
                </c:pt>
                <c:pt idx="341">
                  <c:v>0.18847413300152815</c:v>
                </c:pt>
                <c:pt idx="342">
                  <c:v>-0.37378753748365889</c:v>
                </c:pt>
                <c:pt idx="343">
                  <c:v>0.31295676387087734</c:v>
                </c:pt>
                <c:pt idx="344">
                  <c:v>0</c:v>
                </c:pt>
                <c:pt idx="345">
                  <c:v>0</c:v>
                </c:pt>
                <c:pt idx="346">
                  <c:v>0.50049004709387601</c:v>
                </c:pt>
                <c:pt idx="347">
                  <c:v>0.9413258690012245</c:v>
                </c:pt>
                <c:pt idx="348">
                  <c:v>-1.6280635865737629</c:v>
                </c:pt>
                <c:pt idx="349">
                  <c:v>-0.96922525562108064</c:v>
                </c:pt>
                <c:pt idx="350">
                  <c:v>-2.453635222613276</c:v>
                </c:pt>
                <c:pt idx="351">
                  <c:v>-1.0724333951104441</c:v>
                </c:pt>
                <c:pt idx="352">
                  <c:v>1.205057100905597</c:v>
                </c:pt>
                <c:pt idx="353">
                  <c:v>1.9567787515864445</c:v>
                </c:pt>
                <c:pt idx="354">
                  <c:v>0.35473491447531091</c:v>
                </c:pt>
                <c:pt idx="355">
                  <c:v>1.190812142791823</c:v>
                </c:pt>
                <c:pt idx="356">
                  <c:v>7.3473765864294371</c:v>
                </c:pt>
                <c:pt idx="357">
                  <c:v>4.4352299730116496</c:v>
                </c:pt>
                <c:pt idx="358">
                  <c:v>6.8741599328546545</c:v>
                </c:pt>
                <c:pt idx="359">
                  <c:v>7.3099334555518691</c:v>
                </c:pt>
                <c:pt idx="360">
                  <c:v>18.328578063419037</c:v>
                </c:pt>
                <c:pt idx="361">
                  <c:v>15.905810160190644</c:v>
                </c:pt>
                <c:pt idx="362">
                  <c:v>18.955022320797561</c:v>
                </c:pt>
                <c:pt idx="363">
                  <c:v>18.343702761513786</c:v>
                </c:pt>
                <c:pt idx="364">
                  <c:v>-3.3115780556468373</c:v>
                </c:pt>
                <c:pt idx="365">
                  <c:v>-2.9158948376772491</c:v>
                </c:pt>
                <c:pt idx="366">
                  <c:v>-2.3039111882363645</c:v>
                </c:pt>
                <c:pt idx="367">
                  <c:v>-3.6961635285906365</c:v>
                </c:pt>
                <c:pt idx="368">
                  <c:v>6.0228740309448732</c:v>
                </c:pt>
                <c:pt idx="369">
                  <c:v>4.7979924738822781</c:v>
                </c:pt>
                <c:pt idx="370">
                  <c:v>5.9524962396982399</c:v>
                </c:pt>
                <c:pt idx="371">
                  <c:v>5.6733497511086632</c:v>
                </c:pt>
                <c:pt idx="372">
                  <c:v>3.5391422005323694</c:v>
                </c:pt>
                <c:pt idx="373">
                  <c:v>-0.36708855616052638</c:v>
                </c:pt>
                <c:pt idx="374">
                  <c:v>3.8014603254516723</c:v>
                </c:pt>
                <c:pt idx="375">
                  <c:v>1.7637946495625059</c:v>
                </c:pt>
                <c:pt idx="376">
                  <c:v>0.2937881326285563</c:v>
                </c:pt>
                <c:pt idx="377">
                  <c:v>-0.81182975289263659</c:v>
                </c:pt>
                <c:pt idx="378">
                  <c:v>0.76508940488487553</c:v>
                </c:pt>
                <c:pt idx="379">
                  <c:v>1.0641944495974975</c:v>
                </c:pt>
                <c:pt idx="380">
                  <c:v>3.4578095605905887</c:v>
                </c:pt>
                <c:pt idx="381">
                  <c:v>9.3237810475628535</c:v>
                </c:pt>
                <c:pt idx="382">
                  <c:v>3.6187658069427835</c:v>
                </c:pt>
                <c:pt idx="383">
                  <c:v>14.933429444226089</c:v>
                </c:pt>
                <c:pt idx="384">
                  <c:v>12.176886461707223</c:v>
                </c:pt>
                <c:pt idx="385">
                  <c:v>0.5617185951764796</c:v>
                </c:pt>
                <c:pt idx="386">
                  <c:v>9.0402581837302627</c:v>
                </c:pt>
                <c:pt idx="387">
                  <c:v>10.52537395238202</c:v>
                </c:pt>
                <c:pt idx="388">
                  <c:v>2.8975720388514441</c:v>
                </c:pt>
                <c:pt idx="389">
                  <c:v>0.11836057066008809</c:v>
                </c:pt>
                <c:pt idx="390">
                  <c:v>3.0134574969968924</c:v>
                </c:pt>
                <c:pt idx="391">
                  <c:v>2.607758140674961</c:v>
                </c:pt>
                <c:pt idx="392">
                  <c:v>-6.6927658082332888</c:v>
                </c:pt>
                <c:pt idx="393">
                  <c:v>-2.5855542962976177</c:v>
                </c:pt>
                <c:pt idx="394">
                  <c:v>-7.955341703093274</c:v>
                </c:pt>
                <c:pt idx="395">
                  <c:v>-9.0375833468898072</c:v>
                </c:pt>
                <c:pt idx="396">
                  <c:v>0.57631554946716701</c:v>
                </c:pt>
                <c:pt idx="397">
                  <c:v>4.1610059157908612</c:v>
                </c:pt>
                <c:pt idx="398">
                  <c:v>-1.3475656933011551</c:v>
                </c:pt>
                <c:pt idx="399">
                  <c:v>2.3766670965922447</c:v>
                </c:pt>
                <c:pt idx="400">
                  <c:v>3.7555055239175816</c:v>
                </c:pt>
                <c:pt idx="401">
                  <c:v>-2.8716445193852991</c:v>
                </c:pt>
                <c:pt idx="402">
                  <c:v>4.186398837203722</c:v>
                </c:pt>
                <c:pt idx="403">
                  <c:v>4.4019772197251861</c:v>
                </c:pt>
                <c:pt idx="404">
                  <c:v>0</c:v>
                </c:pt>
                <c:pt idx="405">
                  <c:v>0</c:v>
                </c:pt>
                <c:pt idx="406">
                  <c:v>0.31332096396137299</c:v>
                </c:pt>
                <c:pt idx="407">
                  <c:v>-0.10643235308456145</c:v>
                </c:pt>
                <c:pt idx="408">
                  <c:v>-3.283682876216877</c:v>
                </c:pt>
                <c:pt idx="409">
                  <c:v>-0.93975532690563535</c:v>
                </c:pt>
                <c:pt idx="410">
                  <c:v>-4.5415254167541681</c:v>
                </c:pt>
                <c:pt idx="411">
                  <c:v>-1.8199453612782872</c:v>
                </c:pt>
                <c:pt idx="412">
                  <c:v>-1.3032488592122233</c:v>
                </c:pt>
                <c:pt idx="413">
                  <c:v>-1.3627956629979066E-2</c:v>
                </c:pt>
                <c:pt idx="414">
                  <c:v>-2.2873965098618703</c:v>
                </c:pt>
                <c:pt idx="415">
                  <c:v>-0.50253549354813787</c:v>
                </c:pt>
                <c:pt idx="416">
                  <c:v>-0.63559197615783425</c:v>
                </c:pt>
                <c:pt idx="417">
                  <c:v>0.46984491420454261</c:v>
                </c:pt>
                <c:pt idx="418">
                  <c:v>-0.64240153811903056</c:v>
                </c:pt>
                <c:pt idx="419">
                  <c:v>-0.49573337159642944</c:v>
                </c:pt>
                <c:pt idx="420">
                  <c:v>0.11412179495312647</c:v>
                </c:pt>
                <c:pt idx="421">
                  <c:v>-0.12380197599240972</c:v>
                </c:pt>
                <c:pt idx="422">
                  <c:v>-0.48713604095095231</c:v>
                </c:pt>
                <c:pt idx="423">
                  <c:v>0.13599178752260521</c:v>
                </c:pt>
                <c:pt idx="424">
                  <c:v>-0.1058406653404671</c:v>
                </c:pt>
                <c:pt idx="425">
                  <c:v>0.63759268194228436</c:v>
                </c:pt>
                <c:pt idx="426">
                  <c:v>-6.5542328540008077E-2</c:v>
                </c:pt>
                <c:pt idx="427">
                  <c:v>0.25497274041926299</c:v>
                </c:pt>
                <c:pt idx="428">
                  <c:v>0.77488781643401738</c:v>
                </c:pt>
                <c:pt idx="429">
                  <c:v>0.22303711004873605</c:v>
                </c:pt>
                <c:pt idx="430">
                  <c:v>0.34231121806944209</c:v>
                </c:pt>
                <c:pt idx="431">
                  <c:v>0.74890781392368888</c:v>
                </c:pt>
                <c:pt idx="432">
                  <c:v>-0.62187743480216839</c:v>
                </c:pt>
                <c:pt idx="433">
                  <c:v>-0.46981863171250737</c:v>
                </c:pt>
                <c:pt idx="434">
                  <c:v>-0.45306326954054732</c:v>
                </c:pt>
                <c:pt idx="435">
                  <c:v>-0.77439182435587239</c:v>
                </c:pt>
                <c:pt idx="436">
                  <c:v>-0.73330529565166769</c:v>
                </c:pt>
                <c:pt idx="437">
                  <c:v>0.31282812569793611</c:v>
                </c:pt>
                <c:pt idx="438">
                  <c:v>-0.79138299663360767</c:v>
                </c:pt>
                <c:pt idx="439">
                  <c:v>0.31688392304130802</c:v>
                </c:pt>
                <c:pt idx="440">
                  <c:v>-9.8107396813353134</c:v>
                </c:pt>
                <c:pt idx="441">
                  <c:v>0.47316871767660729</c:v>
                </c:pt>
                <c:pt idx="442">
                  <c:v>-10.090165875589653</c:v>
                </c:pt>
                <c:pt idx="443">
                  <c:v>0.13961409785200196</c:v>
                </c:pt>
                <c:pt idx="444">
                  <c:v>4.3860333621503482</c:v>
                </c:pt>
                <c:pt idx="445">
                  <c:v>2.2077938630119469</c:v>
                </c:pt>
                <c:pt idx="446">
                  <c:v>1.8874102730208113</c:v>
                </c:pt>
                <c:pt idx="447">
                  <c:v>4.2301947873575489</c:v>
                </c:pt>
                <c:pt idx="448">
                  <c:v>0.58569431791028492</c:v>
                </c:pt>
                <c:pt idx="449">
                  <c:v>1.0277214587440522</c:v>
                </c:pt>
                <c:pt idx="450">
                  <c:v>0.46115485843316062</c:v>
                </c:pt>
                <c:pt idx="451">
                  <c:v>2.428959206215525</c:v>
                </c:pt>
                <c:pt idx="452">
                  <c:v>0.69953692902983344</c:v>
                </c:pt>
                <c:pt idx="453">
                  <c:v>0.3227009071263518</c:v>
                </c:pt>
                <c:pt idx="454">
                  <c:v>-0.83701733507933507</c:v>
                </c:pt>
                <c:pt idx="455">
                  <c:v>-0.19232404471208708</c:v>
                </c:pt>
                <c:pt idx="456">
                  <c:v>-0.26756306953106568</c:v>
                </c:pt>
                <c:pt idx="457">
                  <c:v>-8.4118151145665343E-2</c:v>
                </c:pt>
                <c:pt idx="458">
                  <c:v>-0.50358721299028975</c:v>
                </c:pt>
                <c:pt idx="459">
                  <c:v>-0.35185080229070154</c:v>
                </c:pt>
                <c:pt idx="460">
                  <c:v>-0.37629081703927114</c:v>
                </c:pt>
                <c:pt idx="461">
                  <c:v>0.30154220637721435</c:v>
                </c:pt>
                <c:pt idx="462">
                  <c:v>-0.43658647742987933</c:v>
                </c:pt>
                <c:pt idx="463">
                  <c:v>-3.1208783804359541E-3</c:v>
                </c:pt>
                <c:pt idx="464">
                  <c:v>0</c:v>
                </c:pt>
                <c:pt idx="465">
                  <c:v>0</c:v>
                </c:pt>
                <c:pt idx="466">
                  <c:v>-4.4869424188079154E-2</c:v>
                </c:pt>
                <c:pt idx="467">
                  <c:v>-0.16273935738707901</c:v>
                </c:pt>
                <c:pt idx="468">
                  <c:v>-1.4862389038890746</c:v>
                </c:pt>
                <c:pt idx="469">
                  <c:v>-0.70761224838733949</c:v>
                </c:pt>
                <c:pt idx="470">
                  <c:v>-2.6486668808434137</c:v>
                </c:pt>
                <c:pt idx="471">
                  <c:v>-0.10024508264757004</c:v>
                </c:pt>
                <c:pt idx="472">
                  <c:v>-0.23830578037063171</c:v>
                </c:pt>
                <c:pt idx="473">
                  <c:v>0.99271178751701716</c:v>
                </c:pt>
                <c:pt idx="474">
                  <c:v>-0.69436298449679079</c:v>
                </c:pt>
                <c:pt idx="475">
                  <c:v>0.8027116295009934</c:v>
                </c:pt>
                <c:pt idx="476">
                  <c:v>1.3553618816128583</c:v>
                </c:pt>
                <c:pt idx="477">
                  <c:v>0.72324209611805812</c:v>
                </c:pt>
                <c:pt idx="478">
                  <c:v>0.70542793172322216</c:v>
                </c:pt>
                <c:pt idx="479">
                  <c:v>0.43792540256365298</c:v>
                </c:pt>
                <c:pt idx="480">
                  <c:v>0.66075179047467292</c:v>
                </c:pt>
                <c:pt idx="481">
                  <c:v>2.7912869879358926E-2</c:v>
                </c:pt>
                <c:pt idx="482">
                  <c:v>0.71728036681706908</c:v>
                </c:pt>
                <c:pt idx="483">
                  <c:v>0.44124858238985798</c:v>
                </c:pt>
                <c:pt idx="484">
                  <c:v>0.25837958787036319</c:v>
                </c:pt>
                <c:pt idx="485">
                  <c:v>0.73200384369860516</c:v>
                </c:pt>
                <c:pt idx="486">
                  <c:v>0.65826627678273919</c:v>
                </c:pt>
                <c:pt idx="487">
                  <c:v>0.71349901011999117</c:v>
                </c:pt>
                <c:pt idx="488">
                  <c:v>1.0914375503477329</c:v>
                </c:pt>
                <c:pt idx="489">
                  <c:v>-0.46496850488224206</c:v>
                </c:pt>
                <c:pt idx="490">
                  <c:v>0.77378648218358492</c:v>
                </c:pt>
                <c:pt idx="491">
                  <c:v>0.63236498765517979</c:v>
                </c:pt>
                <c:pt idx="492">
                  <c:v>-0.49220694854774294</c:v>
                </c:pt>
                <c:pt idx="493">
                  <c:v>-0.60915575871749095</c:v>
                </c:pt>
                <c:pt idx="494">
                  <c:v>0.41068430201465511</c:v>
                </c:pt>
                <c:pt idx="495">
                  <c:v>-0.72275559772991471</c:v>
                </c:pt>
                <c:pt idx="496">
                  <c:v>-0.12859335988762766</c:v>
                </c:pt>
                <c:pt idx="497">
                  <c:v>0.56885798608977911</c:v>
                </c:pt>
                <c:pt idx="498">
                  <c:v>-0.32154765833279697</c:v>
                </c:pt>
                <c:pt idx="499">
                  <c:v>0.6408810234895721</c:v>
                </c:pt>
                <c:pt idx="500">
                  <c:v>-5.1870723493020137</c:v>
                </c:pt>
                <c:pt idx="501">
                  <c:v>1.4182708153157462</c:v>
                </c:pt>
                <c:pt idx="502">
                  <c:v>-5.5233877578965265</c:v>
                </c:pt>
                <c:pt idx="503">
                  <c:v>2.9439454385808403</c:v>
                </c:pt>
                <c:pt idx="504">
                  <c:v>3.8584405374490256</c:v>
                </c:pt>
                <c:pt idx="505">
                  <c:v>2.0469395382772038</c:v>
                </c:pt>
                <c:pt idx="506">
                  <c:v>1.0561243309838426</c:v>
                </c:pt>
                <c:pt idx="507">
                  <c:v>3.6815274398948827</c:v>
                </c:pt>
                <c:pt idx="508">
                  <c:v>1.5403141268462113</c:v>
                </c:pt>
                <c:pt idx="509">
                  <c:v>0.24027154732824307</c:v>
                </c:pt>
                <c:pt idx="510">
                  <c:v>1.3102425391146273</c:v>
                </c:pt>
                <c:pt idx="511">
                  <c:v>1.6179605359437201</c:v>
                </c:pt>
                <c:pt idx="512">
                  <c:v>-1.2332667915025379</c:v>
                </c:pt>
                <c:pt idx="513">
                  <c:v>-1.1646182848044611</c:v>
                </c:pt>
                <c:pt idx="514">
                  <c:v>-2.1529435732412807</c:v>
                </c:pt>
                <c:pt idx="515">
                  <c:v>-2.3856877313900817</c:v>
                </c:pt>
                <c:pt idx="516">
                  <c:v>-3.2333375546518051E-2</c:v>
                </c:pt>
                <c:pt idx="517">
                  <c:v>0.21729749415612565</c:v>
                </c:pt>
                <c:pt idx="518">
                  <c:v>-0.12243536174728198</c:v>
                </c:pt>
                <c:pt idx="519">
                  <c:v>0.2982196320767394</c:v>
                </c:pt>
                <c:pt idx="520">
                  <c:v>1.1664057740270906E-2</c:v>
                </c:pt>
                <c:pt idx="521">
                  <c:v>-0.13369066632513404</c:v>
                </c:pt>
                <c:pt idx="522">
                  <c:v>9.6561946396513942E-2</c:v>
                </c:pt>
                <c:pt idx="523">
                  <c:v>0.28046899053471286</c:v>
                </c:pt>
                <c:pt idx="524">
                  <c:v>0</c:v>
                </c:pt>
                <c:pt idx="525">
                  <c:v>0</c:v>
                </c:pt>
                <c:pt idx="526">
                  <c:v>0.27908288694357686</c:v>
                </c:pt>
                <c:pt idx="527">
                  <c:v>-0.16405386466369909</c:v>
                </c:pt>
                <c:pt idx="528">
                  <c:v>8.4088127918840794E-2</c:v>
                </c:pt>
                <c:pt idx="529">
                  <c:v>-6.4609841282320168E-2</c:v>
                </c:pt>
                <c:pt idx="530">
                  <c:v>0.32534337819466397</c:v>
                </c:pt>
                <c:pt idx="531">
                  <c:v>1.0550904016198952</c:v>
                </c:pt>
                <c:pt idx="532">
                  <c:v>0.14602905922159692</c:v>
                </c:pt>
                <c:pt idx="533">
                  <c:v>0.5261694887334849</c:v>
                </c:pt>
                <c:pt idx="534">
                  <c:v>2.0165120904442619</c:v>
                </c:pt>
                <c:pt idx="535">
                  <c:v>0.63151210674854008</c:v>
                </c:pt>
                <c:pt idx="536">
                  <c:v>1.5169148839265081</c:v>
                </c:pt>
                <c:pt idx="537">
                  <c:v>1.4222126188508</c:v>
                </c:pt>
                <c:pt idx="538">
                  <c:v>0.84121405179820208</c:v>
                </c:pt>
                <c:pt idx="539">
                  <c:v>0.73645045202355286</c:v>
                </c:pt>
                <c:pt idx="540">
                  <c:v>1.3359790738157751</c:v>
                </c:pt>
                <c:pt idx="541">
                  <c:v>0.56998726219637108</c:v>
                </c:pt>
                <c:pt idx="542">
                  <c:v>0.86923730155660284</c:v>
                </c:pt>
                <c:pt idx="543">
                  <c:v>0.75821702215020981</c:v>
                </c:pt>
                <c:pt idx="544">
                  <c:v>0.67142489045585174</c:v>
                </c:pt>
                <c:pt idx="545">
                  <c:v>1.0362404008479218</c:v>
                </c:pt>
                <c:pt idx="546">
                  <c:v>-10.260788720529403</c:v>
                </c:pt>
                <c:pt idx="547">
                  <c:v>0.72965359060849089</c:v>
                </c:pt>
                <c:pt idx="548">
                  <c:v>-10.276302834282514</c:v>
                </c:pt>
                <c:pt idx="549">
                  <c:v>-1.7957222419949357</c:v>
                </c:pt>
                <c:pt idx="550">
                  <c:v>4.9176366349780842E-2</c:v>
                </c:pt>
                <c:pt idx="551">
                  <c:v>0.86703084261086261</c:v>
                </c:pt>
                <c:pt idx="552">
                  <c:v>-0.40807185936133461</c:v>
                </c:pt>
                <c:pt idx="553">
                  <c:v>1.46572942535055</c:v>
                </c:pt>
                <c:pt idx="554">
                  <c:v>1.4313467273622811</c:v>
                </c:pt>
                <c:pt idx="555">
                  <c:v>0.16648728936240431</c:v>
                </c:pt>
                <c:pt idx="556">
                  <c:v>1.65373321511687</c:v>
                </c:pt>
                <c:pt idx="557">
                  <c:v>0.94714374205589991</c:v>
                </c:pt>
                <c:pt idx="558">
                  <c:v>2.3359588026966547</c:v>
                </c:pt>
                <c:pt idx="559">
                  <c:v>0.82603710498769489</c:v>
                </c:pt>
                <c:pt idx="560">
                  <c:v>0.39242832347734202</c:v>
                </c:pt>
                <c:pt idx="561">
                  <c:v>0.61415875922665375</c:v>
                </c:pt>
                <c:pt idx="562">
                  <c:v>0.877059487557313</c:v>
                </c:pt>
                <c:pt idx="563">
                  <c:v>0.53893400861308405</c:v>
                </c:pt>
                <c:pt idx="564">
                  <c:v>0.43349115215204903</c:v>
                </c:pt>
                <c:pt idx="565">
                  <c:v>0.45622753459714716</c:v>
                </c:pt>
                <c:pt idx="566">
                  <c:v>-6.8744074650670672E-3</c:v>
                </c:pt>
                <c:pt idx="567">
                  <c:v>-5.4520243395466128E-2</c:v>
                </c:pt>
                <c:pt idx="568">
                  <c:v>-3.1093439656520117E-2</c:v>
                </c:pt>
                <c:pt idx="569">
                  <c:v>9.3612324681175973E-2</c:v>
                </c:pt>
                <c:pt idx="570">
                  <c:v>0</c:v>
                </c:pt>
                <c:pt idx="57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2E-49BE-8E5A-3E207D0BCB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national-semiconductor index correlation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data_stock_corr_since2020!$H$2:$H$261</c:f>
              <c:numCache>
                <c:formatCode>General</c:formatCode>
                <c:ptCount val="260"/>
                <c:pt idx="0">
                  <c:v>0.91541797612301412</c:v>
                </c:pt>
                <c:pt idx="1">
                  <c:v>0.91541797612301412</c:v>
                </c:pt>
                <c:pt idx="2">
                  <c:v>0.91541797612301412</c:v>
                </c:pt>
                <c:pt idx="3">
                  <c:v>0.91541797612301412</c:v>
                </c:pt>
                <c:pt idx="4">
                  <c:v>0.85423512668441748</c:v>
                </c:pt>
                <c:pt idx="5">
                  <c:v>0.85423512668441748</c:v>
                </c:pt>
                <c:pt idx="6">
                  <c:v>0.85423512668441748</c:v>
                </c:pt>
                <c:pt idx="7">
                  <c:v>0.85423512668441748</c:v>
                </c:pt>
                <c:pt idx="8">
                  <c:v>0.79318298754570626</c:v>
                </c:pt>
                <c:pt idx="9">
                  <c:v>0.79318298754570626</c:v>
                </c:pt>
                <c:pt idx="10">
                  <c:v>0.79318298754570626</c:v>
                </c:pt>
                <c:pt idx="11">
                  <c:v>0.79318298754570626</c:v>
                </c:pt>
                <c:pt idx="12">
                  <c:v>0.74324805484371159</c:v>
                </c:pt>
                <c:pt idx="13">
                  <c:v>0.74324805484371159</c:v>
                </c:pt>
                <c:pt idx="14">
                  <c:v>0.74324805484371159</c:v>
                </c:pt>
                <c:pt idx="15">
                  <c:v>0.74324805484371159</c:v>
                </c:pt>
                <c:pt idx="16">
                  <c:v>0.48385240401732688</c:v>
                </c:pt>
                <c:pt idx="17">
                  <c:v>0.48385240401732688</c:v>
                </c:pt>
                <c:pt idx="18">
                  <c:v>0.48385240401732688</c:v>
                </c:pt>
                <c:pt idx="19">
                  <c:v>0.48385240401732688</c:v>
                </c:pt>
                <c:pt idx="20">
                  <c:v>6.562263636895671E-2</c:v>
                </c:pt>
                <c:pt idx="21">
                  <c:v>6.562263636895671E-2</c:v>
                </c:pt>
                <c:pt idx="22">
                  <c:v>6.562263636895671E-2</c:v>
                </c:pt>
                <c:pt idx="23">
                  <c:v>6.562263636895671E-2</c:v>
                </c:pt>
                <c:pt idx="24">
                  <c:v>0.3559829624806633</c:v>
                </c:pt>
                <c:pt idx="25">
                  <c:v>0.3559829624806633</c:v>
                </c:pt>
                <c:pt idx="26">
                  <c:v>0.94497516890248479</c:v>
                </c:pt>
                <c:pt idx="27">
                  <c:v>0.94497516890248479</c:v>
                </c:pt>
                <c:pt idx="28">
                  <c:v>0.94497516890248479</c:v>
                </c:pt>
                <c:pt idx="29">
                  <c:v>0.94497516890248479</c:v>
                </c:pt>
                <c:pt idx="30">
                  <c:v>0.91741299389035302</c:v>
                </c:pt>
                <c:pt idx="31">
                  <c:v>0.91741299389035302</c:v>
                </c:pt>
                <c:pt idx="32">
                  <c:v>0.91741299389035302</c:v>
                </c:pt>
                <c:pt idx="33">
                  <c:v>0.91741299389035302</c:v>
                </c:pt>
                <c:pt idx="34">
                  <c:v>0.8630359765160468</c:v>
                </c:pt>
                <c:pt idx="35">
                  <c:v>0.8630359765160468</c:v>
                </c:pt>
                <c:pt idx="36">
                  <c:v>0.8630359765160468</c:v>
                </c:pt>
                <c:pt idx="37">
                  <c:v>0.8630359765160468</c:v>
                </c:pt>
                <c:pt idx="38">
                  <c:v>0.71743568306368155</c:v>
                </c:pt>
                <c:pt idx="39">
                  <c:v>0.71743568306368155</c:v>
                </c:pt>
                <c:pt idx="40">
                  <c:v>0.71743568306368155</c:v>
                </c:pt>
                <c:pt idx="41">
                  <c:v>0.71743568306368155</c:v>
                </c:pt>
                <c:pt idx="42">
                  <c:v>0.21859314049932341</c:v>
                </c:pt>
                <c:pt idx="43">
                  <c:v>0.21859314049932341</c:v>
                </c:pt>
                <c:pt idx="44">
                  <c:v>0.21859314049932341</c:v>
                </c:pt>
                <c:pt idx="45">
                  <c:v>0.21859314049932341</c:v>
                </c:pt>
                <c:pt idx="46">
                  <c:v>2.7062806004489109E-2</c:v>
                </c:pt>
                <c:pt idx="47">
                  <c:v>2.7062806004489109E-2</c:v>
                </c:pt>
                <c:pt idx="48">
                  <c:v>2.7062806004489109E-2</c:v>
                </c:pt>
                <c:pt idx="49">
                  <c:v>2.7062806004489109E-2</c:v>
                </c:pt>
                <c:pt idx="50">
                  <c:v>0.31215408421731011</c:v>
                </c:pt>
                <c:pt idx="51">
                  <c:v>0.31215408421731011</c:v>
                </c:pt>
                <c:pt idx="52">
                  <c:v>0.93883988584513833</c:v>
                </c:pt>
                <c:pt idx="53">
                  <c:v>0.93883988584513833</c:v>
                </c:pt>
                <c:pt idx="54">
                  <c:v>0.93883988584513833</c:v>
                </c:pt>
                <c:pt idx="55">
                  <c:v>0.93883988584513833</c:v>
                </c:pt>
                <c:pt idx="56">
                  <c:v>0.94112311293539941</c:v>
                </c:pt>
                <c:pt idx="57">
                  <c:v>0.94112311293539941</c:v>
                </c:pt>
                <c:pt idx="58">
                  <c:v>0.94112311293539941</c:v>
                </c:pt>
                <c:pt idx="59">
                  <c:v>0.94112311293539941</c:v>
                </c:pt>
                <c:pt idx="60">
                  <c:v>0.9099167572496889</c:v>
                </c:pt>
                <c:pt idx="61">
                  <c:v>0.9099167572496889</c:v>
                </c:pt>
                <c:pt idx="62">
                  <c:v>0.9099167572496889</c:v>
                </c:pt>
                <c:pt idx="63">
                  <c:v>0.9099167572496889</c:v>
                </c:pt>
                <c:pt idx="64">
                  <c:v>0.89392793670946469</c:v>
                </c:pt>
                <c:pt idx="65">
                  <c:v>0.89392793670946469</c:v>
                </c:pt>
                <c:pt idx="66">
                  <c:v>0.89392793670946469</c:v>
                </c:pt>
                <c:pt idx="67">
                  <c:v>0.89392793670946469</c:v>
                </c:pt>
                <c:pt idx="68">
                  <c:v>0.73774439700085059</c:v>
                </c:pt>
                <c:pt idx="69">
                  <c:v>0.73774439700085059</c:v>
                </c:pt>
                <c:pt idx="70">
                  <c:v>0.73774439700085059</c:v>
                </c:pt>
                <c:pt idx="71">
                  <c:v>0.73774439700085059</c:v>
                </c:pt>
                <c:pt idx="72">
                  <c:v>6.1567950988359252E-3</c:v>
                </c:pt>
                <c:pt idx="73">
                  <c:v>6.1567950988359252E-3</c:v>
                </c:pt>
                <c:pt idx="74">
                  <c:v>6.1567950988359252E-3</c:v>
                </c:pt>
                <c:pt idx="75">
                  <c:v>6.1567950988359252E-3</c:v>
                </c:pt>
                <c:pt idx="76">
                  <c:v>-0.1018077058059029</c:v>
                </c:pt>
                <c:pt idx="77">
                  <c:v>-0.1018077058059029</c:v>
                </c:pt>
                <c:pt idx="78">
                  <c:v>0.86710493358213747</c:v>
                </c:pt>
                <c:pt idx="79">
                  <c:v>0.86710493358213747</c:v>
                </c:pt>
                <c:pt idx="80">
                  <c:v>0.86710493358213747</c:v>
                </c:pt>
                <c:pt idx="81">
                  <c:v>0.86710493358213747</c:v>
                </c:pt>
                <c:pt idx="82">
                  <c:v>0.86160021571319789</c:v>
                </c:pt>
                <c:pt idx="83">
                  <c:v>0.86160021571319789</c:v>
                </c:pt>
                <c:pt idx="84">
                  <c:v>0.86160021571319789</c:v>
                </c:pt>
                <c:pt idx="85">
                  <c:v>0.86160021571319789</c:v>
                </c:pt>
                <c:pt idx="86">
                  <c:v>0.59190560042782348</c:v>
                </c:pt>
                <c:pt idx="87">
                  <c:v>0.59190560042782348</c:v>
                </c:pt>
                <c:pt idx="88">
                  <c:v>0.59190560042782348</c:v>
                </c:pt>
                <c:pt idx="89">
                  <c:v>0.59190560042782348</c:v>
                </c:pt>
                <c:pt idx="90">
                  <c:v>0.73851245753325334</c:v>
                </c:pt>
                <c:pt idx="91">
                  <c:v>0.73851245753325334</c:v>
                </c:pt>
                <c:pt idx="92">
                  <c:v>0.73851245753325334</c:v>
                </c:pt>
                <c:pt idx="93">
                  <c:v>0.73851245753325334</c:v>
                </c:pt>
                <c:pt idx="94">
                  <c:v>0.68485482665072694</c:v>
                </c:pt>
                <c:pt idx="95">
                  <c:v>0.68485482665072694</c:v>
                </c:pt>
                <c:pt idx="96">
                  <c:v>0.68485482665072694</c:v>
                </c:pt>
                <c:pt idx="97">
                  <c:v>0.68485482665072694</c:v>
                </c:pt>
                <c:pt idx="98">
                  <c:v>-2.9567303162600381E-2</c:v>
                </c:pt>
                <c:pt idx="99">
                  <c:v>-2.9567303162600381E-2</c:v>
                </c:pt>
                <c:pt idx="100">
                  <c:v>-2.9567303162600381E-2</c:v>
                </c:pt>
                <c:pt idx="101">
                  <c:v>-2.9567303162600381E-2</c:v>
                </c:pt>
                <c:pt idx="102">
                  <c:v>9.0869507630926452E-2</c:v>
                </c:pt>
                <c:pt idx="103">
                  <c:v>9.0869507630926452E-2</c:v>
                </c:pt>
                <c:pt idx="104">
                  <c:v>0.9601184888395623</c:v>
                </c:pt>
                <c:pt idx="105">
                  <c:v>0.9601184888395623</c:v>
                </c:pt>
                <c:pt idx="106">
                  <c:v>0.9601184888395623</c:v>
                </c:pt>
                <c:pt idx="107">
                  <c:v>0.9601184888395623</c:v>
                </c:pt>
                <c:pt idx="108">
                  <c:v>0.91810496949040077</c:v>
                </c:pt>
                <c:pt idx="109">
                  <c:v>0.91810496949040077</c:v>
                </c:pt>
                <c:pt idx="110">
                  <c:v>0.91810496949040077</c:v>
                </c:pt>
                <c:pt idx="111">
                  <c:v>0.91810496949040077</c:v>
                </c:pt>
                <c:pt idx="112">
                  <c:v>0.84141991326698506</c:v>
                </c:pt>
                <c:pt idx="113">
                  <c:v>0.84141991326698506</c:v>
                </c:pt>
                <c:pt idx="114">
                  <c:v>0.84141991326698506</c:v>
                </c:pt>
                <c:pt idx="115">
                  <c:v>0.84141991326698506</c:v>
                </c:pt>
                <c:pt idx="116">
                  <c:v>0.58353512654831619</c:v>
                </c:pt>
                <c:pt idx="117">
                  <c:v>0.58353512654831619</c:v>
                </c:pt>
                <c:pt idx="118">
                  <c:v>0.58353512654831619</c:v>
                </c:pt>
                <c:pt idx="119">
                  <c:v>0.58353512654831619</c:v>
                </c:pt>
                <c:pt idx="120">
                  <c:v>0.19885093325215261</c:v>
                </c:pt>
                <c:pt idx="121">
                  <c:v>0.19885093325215261</c:v>
                </c:pt>
                <c:pt idx="122">
                  <c:v>0.19885093325215261</c:v>
                </c:pt>
                <c:pt idx="123">
                  <c:v>0.19885093325215261</c:v>
                </c:pt>
                <c:pt idx="124">
                  <c:v>0.1653796609584316</c:v>
                </c:pt>
                <c:pt idx="125">
                  <c:v>0.1653796609584316</c:v>
                </c:pt>
                <c:pt idx="126">
                  <c:v>0.1653796609584316</c:v>
                </c:pt>
                <c:pt idx="127">
                  <c:v>0.1653796609584316</c:v>
                </c:pt>
                <c:pt idx="128">
                  <c:v>0.29060327203809921</c:v>
                </c:pt>
                <c:pt idx="129">
                  <c:v>0.29060327203809921</c:v>
                </c:pt>
                <c:pt idx="130">
                  <c:v>0.92712779855354743</c:v>
                </c:pt>
                <c:pt idx="131">
                  <c:v>0.92712779855354743</c:v>
                </c:pt>
                <c:pt idx="132">
                  <c:v>0.92712779855354743</c:v>
                </c:pt>
                <c:pt idx="133">
                  <c:v>0.92712779855354743</c:v>
                </c:pt>
                <c:pt idx="134">
                  <c:v>0.90405876958573828</c:v>
                </c:pt>
                <c:pt idx="135">
                  <c:v>0.90405876958573828</c:v>
                </c:pt>
                <c:pt idx="136">
                  <c:v>0.90405876958573828</c:v>
                </c:pt>
                <c:pt idx="137">
                  <c:v>0.90405876958573828</c:v>
                </c:pt>
                <c:pt idx="138">
                  <c:v>0.92165748687256943</c:v>
                </c:pt>
                <c:pt idx="139">
                  <c:v>0.92165748687256943</c:v>
                </c:pt>
                <c:pt idx="140">
                  <c:v>0.92165748687256943</c:v>
                </c:pt>
                <c:pt idx="141">
                  <c:v>0.92165748687256943</c:v>
                </c:pt>
                <c:pt idx="142">
                  <c:v>0.93042435960578862</c:v>
                </c:pt>
                <c:pt idx="143">
                  <c:v>0.93042435960578862</c:v>
                </c:pt>
                <c:pt idx="144">
                  <c:v>0.93042435960578862</c:v>
                </c:pt>
                <c:pt idx="145">
                  <c:v>0.93042435960578862</c:v>
                </c:pt>
                <c:pt idx="146">
                  <c:v>0.65431551417529998</c:v>
                </c:pt>
                <c:pt idx="147">
                  <c:v>0.65431551417529998</c:v>
                </c:pt>
                <c:pt idx="148">
                  <c:v>0.65431551417529998</c:v>
                </c:pt>
                <c:pt idx="149">
                  <c:v>0.65431551417529998</c:v>
                </c:pt>
                <c:pt idx="150">
                  <c:v>7.4630748449780043E-3</c:v>
                </c:pt>
                <c:pt idx="151">
                  <c:v>7.4630748449780043E-3</c:v>
                </c:pt>
                <c:pt idx="152">
                  <c:v>7.4630748449780043E-3</c:v>
                </c:pt>
                <c:pt idx="153">
                  <c:v>7.4630748449780043E-3</c:v>
                </c:pt>
                <c:pt idx="154">
                  <c:v>-2.2259896152862169E-2</c:v>
                </c:pt>
                <c:pt idx="155">
                  <c:v>-2.2259896152862169E-2</c:v>
                </c:pt>
                <c:pt idx="156">
                  <c:v>0.95435812659996266</c:v>
                </c:pt>
                <c:pt idx="157">
                  <c:v>0.95435812659996266</c:v>
                </c:pt>
                <c:pt idx="158">
                  <c:v>0.95435812659996266</c:v>
                </c:pt>
                <c:pt idx="159">
                  <c:v>0.95435812659996266</c:v>
                </c:pt>
                <c:pt idx="160">
                  <c:v>0.9340270359183438</c:v>
                </c:pt>
                <c:pt idx="161">
                  <c:v>0.9340270359183438</c:v>
                </c:pt>
                <c:pt idx="162">
                  <c:v>0.9340270359183438</c:v>
                </c:pt>
                <c:pt idx="163">
                  <c:v>0.9340270359183438</c:v>
                </c:pt>
                <c:pt idx="164">
                  <c:v>0.82302044815068109</c:v>
                </c:pt>
                <c:pt idx="165">
                  <c:v>0.82302044815068109</c:v>
                </c:pt>
                <c:pt idx="166">
                  <c:v>0.82302044815068109</c:v>
                </c:pt>
                <c:pt idx="167">
                  <c:v>0.82302044815068109</c:v>
                </c:pt>
                <c:pt idx="168">
                  <c:v>0.83256444009002695</c:v>
                </c:pt>
                <c:pt idx="169">
                  <c:v>0.83256444009002695</c:v>
                </c:pt>
                <c:pt idx="170">
                  <c:v>0.83256444009002695</c:v>
                </c:pt>
                <c:pt idx="171">
                  <c:v>0.83256444009002695</c:v>
                </c:pt>
                <c:pt idx="172">
                  <c:v>0.6431194191189592</c:v>
                </c:pt>
                <c:pt idx="173">
                  <c:v>0.6431194191189592</c:v>
                </c:pt>
                <c:pt idx="174">
                  <c:v>0.6431194191189592</c:v>
                </c:pt>
                <c:pt idx="175">
                  <c:v>0.6431194191189592</c:v>
                </c:pt>
                <c:pt idx="176">
                  <c:v>0.32092170257034919</c:v>
                </c:pt>
                <c:pt idx="177">
                  <c:v>0.32092170257034919</c:v>
                </c:pt>
                <c:pt idx="178">
                  <c:v>0.32092170257034919</c:v>
                </c:pt>
                <c:pt idx="179">
                  <c:v>0.32092170257034919</c:v>
                </c:pt>
                <c:pt idx="180">
                  <c:v>0.35395753132631119</c:v>
                </c:pt>
                <c:pt idx="181">
                  <c:v>0.35395753132631119</c:v>
                </c:pt>
                <c:pt idx="182">
                  <c:v>0.93164971955174003</c:v>
                </c:pt>
                <c:pt idx="183">
                  <c:v>0.93164971955174003</c:v>
                </c:pt>
                <c:pt idx="184">
                  <c:v>0.93164971955174003</c:v>
                </c:pt>
                <c:pt idx="185">
                  <c:v>0.93164971955174003</c:v>
                </c:pt>
                <c:pt idx="186">
                  <c:v>0.91416680466678835</c:v>
                </c:pt>
                <c:pt idx="187">
                  <c:v>0.91416680466678835</c:v>
                </c:pt>
                <c:pt idx="188">
                  <c:v>0.91416680466678835</c:v>
                </c:pt>
                <c:pt idx="189">
                  <c:v>0.91416680466678835</c:v>
                </c:pt>
                <c:pt idx="190">
                  <c:v>0.90204063425666803</c:v>
                </c:pt>
                <c:pt idx="191">
                  <c:v>0.90204063425666803</c:v>
                </c:pt>
                <c:pt idx="192">
                  <c:v>0.90204063425666803</c:v>
                </c:pt>
                <c:pt idx="193">
                  <c:v>0.90204063425666803</c:v>
                </c:pt>
                <c:pt idx="194">
                  <c:v>0.92248033597353918</c:v>
                </c:pt>
                <c:pt idx="195">
                  <c:v>0.92248033597353918</c:v>
                </c:pt>
                <c:pt idx="196">
                  <c:v>0.92248033597353918</c:v>
                </c:pt>
                <c:pt idx="197">
                  <c:v>0.92248033597353918</c:v>
                </c:pt>
                <c:pt idx="198">
                  <c:v>0.69071195379939176</c:v>
                </c:pt>
                <c:pt idx="199">
                  <c:v>0.69071195379939176</c:v>
                </c:pt>
                <c:pt idx="200">
                  <c:v>0.69071195379939176</c:v>
                </c:pt>
                <c:pt idx="201">
                  <c:v>0.69071195379939176</c:v>
                </c:pt>
                <c:pt idx="202">
                  <c:v>6.0061203852044547E-2</c:v>
                </c:pt>
                <c:pt idx="203">
                  <c:v>6.0061203852044547E-2</c:v>
                </c:pt>
                <c:pt idx="204">
                  <c:v>6.0061203852044547E-2</c:v>
                </c:pt>
                <c:pt idx="205">
                  <c:v>6.0061203852044547E-2</c:v>
                </c:pt>
                <c:pt idx="206">
                  <c:v>0.13475190754493399</c:v>
                </c:pt>
                <c:pt idx="207">
                  <c:v>0.13475190754493399</c:v>
                </c:pt>
                <c:pt idx="208">
                  <c:v>0.94574295007118003</c:v>
                </c:pt>
                <c:pt idx="209">
                  <c:v>0.94574295007118003</c:v>
                </c:pt>
                <c:pt idx="210">
                  <c:v>0.94574295007118003</c:v>
                </c:pt>
                <c:pt idx="211">
                  <c:v>0.94574295007118003</c:v>
                </c:pt>
                <c:pt idx="212">
                  <c:v>0.88432599874750706</c:v>
                </c:pt>
                <c:pt idx="213">
                  <c:v>0.88432599874750706</c:v>
                </c:pt>
                <c:pt idx="214">
                  <c:v>0.88432599874750706</c:v>
                </c:pt>
                <c:pt idx="215">
                  <c:v>0.88432599874750706</c:v>
                </c:pt>
                <c:pt idx="216">
                  <c:v>0.81381208879363764</c:v>
                </c:pt>
                <c:pt idx="217">
                  <c:v>0.81381208879363764</c:v>
                </c:pt>
                <c:pt idx="218">
                  <c:v>0.81381208879363764</c:v>
                </c:pt>
                <c:pt idx="219">
                  <c:v>0.81381208879363764</c:v>
                </c:pt>
                <c:pt idx="220">
                  <c:v>0.89381893378563049</c:v>
                </c:pt>
                <c:pt idx="221">
                  <c:v>0.89381893378563049</c:v>
                </c:pt>
                <c:pt idx="222">
                  <c:v>0.89381893378563049</c:v>
                </c:pt>
                <c:pt idx="223">
                  <c:v>0.89381893378563049</c:v>
                </c:pt>
                <c:pt idx="224">
                  <c:v>0.90524855781111691</c:v>
                </c:pt>
                <c:pt idx="225">
                  <c:v>0.90524855781111691</c:v>
                </c:pt>
                <c:pt idx="226">
                  <c:v>0.90524855781111691</c:v>
                </c:pt>
                <c:pt idx="227">
                  <c:v>0.90524855781111691</c:v>
                </c:pt>
                <c:pt idx="228">
                  <c:v>0.58193671258721102</c:v>
                </c:pt>
                <c:pt idx="229">
                  <c:v>0.58193671258721102</c:v>
                </c:pt>
                <c:pt idx="230">
                  <c:v>0.58193671258721102</c:v>
                </c:pt>
                <c:pt idx="231">
                  <c:v>0.58193671258721102</c:v>
                </c:pt>
                <c:pt idx="232">
                  <c:v>0.60408164837066136</c:v>
                </c:pt>
                <c:pt idx="233">
                  <c:v>0.60408164837066136</c:v>
                </c:pt>
                <c:pt idx="234">
                  <c:v>0.91994322807589268</c:v>
                </c:pt>
                <c:pt idx="235">
                  <c:v>0.91994322807589268</c:v>
                </c:pt>
                <c:pt idx="236">
                  <c:v>0.91994322807589268</c:v>
                </c:pt>
                <c:pt idx="237">
                  <c:v>0.91994322807589268</c:v>
                </c:pt>
                <c:pt idx="238">
                  <c:v>0.8204401437541583</c:v>
                </c:pt>
                <c:pt idx="239">
                  <c:v>0.8204401437541583</c:v>
                </c:pt>
                <c:pt idx="240">
                  <c:v>0.8204401437541583</c:v>
                </c:pt>
                <c:pt idx="241">
                  <c:v>0.8204401437541583</c:v>
                </c:pt>
                <c:pt idx="242">
                  <c:v>0.20372319717267059</c:v>
                </c:pt>
                <c:pt idx="243">
                  <c:v>0.20372319717267059</c:v>
                </c:pt>
                <c:pt idx="244">
                  <c:v>0.20372319717267059</c:v>
                </c:pt>
                <c:pt idx="245">
                  <c:v>0.20372319717267059</c:v>
                </c:pt>
                <c:pt idx="246">
                  <c:v>0.25055247475281461</c:v>
                </c:pt>
                <c:pt idx="247">
                  <c:v>0.25055247475281461</c:v>
                </c:pt>
                <c:pt idx="248">
                  <c:v>0.25055247475281461</c:v>
                </c:pt>
                <c:pt idx="249">
                  <c:v>0.25055247475281461</c:v>
                </c:pt>
                <c:pt idx="250">
                  <c:v>0.29518356966946802</c:v>
                </c:pt>
                <c:pt idx="251">
                  <c:v>0.29518356966946802</c:v>
                </c:pt>
                <c:pt idx="252">
                  <c:v>0.29518356966946802</c:v>
                </c:pt>
                <c:pt idx="253">
                  <c:v>0.29518356966946802</c:v>
                </c:pt>
                <c:pt idx="254">
                  <c:v>4.3141098767000223E-2</c:v>
                </c:pt>
                <c:pt idx="255">
                  <c:v>4.3141098767000223E-2</c:v>
                </c:pt>
                <c:pt idx="256">
                  <c:v>4.3141098767000223E-2</c:v>
                </c:pt>
                <c:pt idx="257">
                  <c:v>4.3141098767000223E-2</c:v>
                </c:pt>
                <c:pt idx="258">
                  <c:v>9.3006789852331434E-2</c:v>
                </c:pt>
                <c:pt idx="259">
                  <c:v>9.3006789852331434E-2</c:v>
                </c:pt>
              </c:numCache>
            </c:numRef>
          </c:xVal>
          <c:yVal>
            <c:numRef>
              <c:f>data_stock_corr_since2020!$G$2:$G$261</c:f>
              <c:numCache>
                <c:formatCode>General</c:formatCode>
                <c:ptCount val="26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0</c:v>
                </c:pt>
                <c:pt idx="25">
                  <c:v>0</c:v>
                </c:pt>
                <c:pt idx="26">
                  <c:v>-5.8720213186906536</c:v>
                </c:pt>
                <c:pt idx="27">
                  <c:v>3.5084821711300487</c:v>
                </c:pt>
                <c:pt idx="28">
                  <c:v>-6.1107535820139915</c:v>
                </c:pt>
                <c:pt idx="29">
                  <c:v>2.2459230282070131</c:v>
                </c:pt>
                <c:pt idx="30">
                  <c:v>1.9428126002794937</c:v>
                </c:pt>
                <c:pt idx="31">
                  <c:v>8.311464590272255E-2</c:v>
                </c:pt>
                <c:pt idx="32">
                  <c:v>-0.62319540430046239</c:v>
                </c:pt>
                <c:pt idx="33">
                  <c:v>1.5244104334755164</c:v>
                </c:pt>
                <c:pt idx="34">
                  <c:v>1.2985802285253398</c:v>
                </c:pt>
                <c:pt idx="35">
                  <c:v>1.1286019302321901</c:v>
                </c:pt>
                <c:pt idx="36">
                  <c:v>0.27459955625362209</c:v>
                </c:pt>
                <c:pt idx="37">
                  <c:v>1.9291371195943738</c:v>
                </c:pt>
                <c:pt idx="38">
                  <c:v>1.3883640898298362</c:v>
                </c:pt>
                <c:pt idx="39">
                  <c:v>0.10822182527690605</c:v>
                </c:pt>
                <c:pt idx="40">
                  <c:v>-0.22744129975502081</c:v>
                </c:pt>
                <c:pt idx="41">
                  <c:v>0.3161099745136402</c:v>
                </c:pt>
                <c:pt idx="42">
                  <c:v>-0.27505597868087905</c:v>
                </c:pt>
                <c:pt idx="43">
                  <c:v>-5.2551522415263063E-2</c:v>
                </c:pt>
                <c:pt idx="44">
                  <c:v>-0.26942607773384397</c:v>
                </c:pt>
                <c:pt idx="45">
                  <c:v>-0.18241471680150112</c:v>
                </c:pt>
                <c:pt idx="46">
                  <c:v>-0.26624808616432227</c:v>
                </c:pt>
                <c:pt idx="47">
                  <c:v>-1.9512226852114511E-2</c:v>
                </c:pt>
                <c:pt idx="48">
                  <c:v>-0.3989585451423473</c:v>
                </c:pt>
                <c:pt idx="49">
                  <c:v>0.20939697133562885</c:v>
                </c:pt>
                <c:pt idx="50">
                  <c:v>0</c:v>
                </c:pt>
                <c:pt idx="51">
                  <c:v>0</c:v>
                </c:pt>
                <c:pt idx="52">
                  <c:v>-5.5117432414984107</c:v>
                </c:pt>
                <c:pt idx="53">
                  <c:v>1.0663028045156304</c:v>
                </c:pt>
                <c:pt idx="54">
                  <c:v>-6.0477828073613109</c:v>
                </c:pt>
                <c:pt idx="55">
                  <c:v>1.9676759169072984</c:v>
                </c:pt>
                <c:pt idx="56">
                  <c:v>0.31461082759038206</c:v>
                </c:pt>
                <c:pt idx="57">
                  <c:v>1.097113718613111</c:v>
                </c:pt>
                <c:pt idx="58">
                  <c:v>-2.0409268972643462</c:v>
                </c:pt>
                <c:pt idx="59">
                  <c:v>0.42604586480458417</c:v>
                </c:pt>
                <c:pt idx="60">
                  <c:v>-2.6609443169839953</c:v>
                </c:pt>
                <c:pt idx="61">
                  <c:v>0.37338056935970299</c:v>
                </c:pt>
                <c:pt idx="62">
                  <c:v>-2.1229358469342294</c:v>
                </c:pt>
                <c:pt idx="63">
                  <c:v>0.37386578423211692</c:v>
                </c:pt>
                <c:pt idx="64">
                  <c:v>-0.19093583944082815</c:v>
                </c:pt>
                <c:pt idx="65">
                  <c:v>-0.54354189717324675</c:v>
                </c:pt>
                <c:pt idx="66">
                  <c:v>-3.2259227434105444</c:v>
                </c:pt>
                <c:pt idx="67">
                  <c:v>-1.0064641370532392</c:v>
                </c:pt>
                <c:pt idx="68">
                  <c:v>-0.76398245054191438</c:v>
                </c:pt>
                <c:pt idx="69">
                  <c:v>0.15197449145164205</c:v>
                </c:pt>
                <c:pt idx="70">
                  <c:v>-1.3181654375038181</c:v>
                </c:pt>
                <c:pt idx="71">
                  <c:v>-8.7013171124686664E-2</c:v>
                </c:pt>
                <c:pt idx="72">
                  <c:v>-0.35308220120580563</c:v>
                </c:pt>
                <c:pt idx="73">
                  <c:v>0.16956839292984849</c:v>
                </c:pt>
                <c:pt idx="74">
                  <c:v>-0.67387334670426191</c:v>
                </c:pt>
                <c:pt idx="75">
                  <c:v>0.37008740234464971</c:v>
                </c:pt>
                <c:pt idx="76">
                  <c:v>0</c:v>
                </c:pt>
                <c:pt idx="77">
                  <c:v>0</c:v>
                </c:pt>
                <c:pt idx="78">
                  <c:v>-13.076741440445701</c:v>
                </c:pt>
                <c:pt idx="79">
                  <c:v>0.82436876065597886</c:v>
                </c:pt>
                <c:pt idx="80">
                  <c:v>-13.449524977065238</c:v>
                </c:pt>
                <c:pt idx="81">
                  <c:v>-2.2018192403305132</c:v>
                </c:pt>
                <c:pt idx="82">
                  <c:v>1.1184606927194407</c:v>
                </c:pt>
                <c:pt idx="83">
                  <c:v>1.8458632295773425</c:v>
                </c:pt>
                <c:pt idx="84">
                  <c:v>-0.50686163990971256</c:v>
                </c:pt>
                <c:pt idx="85">
                  <c:v>0.58806104979523433</c:v>
                </c:pt>
                <c:pt idx="86">
                  <c:v>0.64788894209388648</c:v>
                </c:pt>
                <c:pt idx="87">
                  <c:v>1.6280433106379038</c:v>
                </c:pt>
                <c:pt idx="88">
                  <c:v>-0.60227924273788158</c:v>
                </c:pt>
                <c:pt idx="89">
                  <c:v>2.149623075816363</c:v>
                </c:pt>
                <c:pt idx="90">
                  <c:v>1.4759385035830395</c:v>
                </c:pt>
                <c:pt idx="91">
                  <c:v>6.5493966740925114E-2</c:v>
                </c:pt>
                <c:pt idx="92">
                  <c:v>-0.94199003346141597</c:v>
                </c:pt>
                <c:pt idx="93">
                  <c:v>0.49429728762396685</c:v>
                </c:pt>
                <c:pt idx="94">
                  <c:v>1.7363603942146351</c:v>
                </c:pt>
                <c:pt idx="95">
                  <c:v>0.42996620634170712</c:v>
                </c:pt>
                <c:pt idx="96">
                  <c:v>1.432026290013092</c:v>
                </c:pt>
                <c:pt idx="97">
                  <c:v>1.2521726761369569</c:v>
                </c:pt>
                <c:pt idx="98">
                  <c:v>0.4397199192889798</c:v>
                </c:pt>
                <c:pt idx="99">
                  <c:v>-8.2255734956584892E-2</c:v>
                </c:pt>
                <c:pt idx="100">
                  <c:v>0.83836493177998594</c:v>
                </c:pt>
                <c:pt idx="101">
                  <c:v>0.23477837424939674</c:v>
                </c:pt>
                <c:pt idx="102">
                  <c:v>0</c:v>
                </c:pt>
                <c:pt idx="103">
                  <c:v>0</c:v>
                </c:pt>
                <c:pt idx="104">
                  <c:v>-3.6230506117637438</c:v>
                </c:pt>
                <c:pt idx="105">
                  <c:v>1.7496128021536563</c:v>
                </c:pt>
                <c:pt idx="106">
                  <c:v>-3.6875295267387962</c:v>
                </c:pt>
                <c:pt idx="107">
                  <c:v>3.812344683053138</c:v>
                </c:pt>
                <c:pt idx="108">
                  <c:v>-0.25859743194969287</c:v>
                </c:pt>
                <c:pt idx="109">
                  <c:v>-0.76255561777172076</c:v>
                </c:pt>
                <c:pt idx="110">
                  <c:v>-1.0319888097993339</c:v>
                </c:pt>
                <c:pt idx="111">
                  <c:v>-9.7992979043315831E-2</c:v>
                </c:pt>
                <c:pt idx="112">
                  <c:v>-2.0671616710759921</c:v>
                </c:pt>
                <c:pt idx="113">
                  <c:v>-1.5677906220824354</c:v>
                </c:pt>
                <c:pt idx="114">
                  <c:v>-1.9916383255658392</c:v>
                </c:pt>
                <c:pt idx="115">
                  <c:v>-0.84304938846227129</c:v>
                </c:pt>
                <c:pt idx="116">
                  <c:v>-1.5379932664356266</c:v>
                </c:pt>
                <c:pt idx="117">
                  <c:v>-1.4350651524638591</c:v>
                </c:pt>
                <c:pt idx="118">
                  <c:v>-2.96232576895608</c:v>
                </c:pt>
                <c:pt idx="119">
                  <c:v>-1.4958963214910126</c:v>
                </c:pt>
                <c:pt idx="120">
                  <c:v>5.5454419377964248E-2</c:v>
                </c:pt>
                <c:pt idx="121">
                  <c:v>1.1596069734324581</c:v>
                </c:pt>
                <c:pt idx="122">
                  <c:v>-0.49398677856419337</c:v>
                </c:pt>
                <c:pt idx="123">
                  <c:v>0.84187322906342721</c:v>
                </c:pt>
                <c:pt idx="124">
                  <c:v>-0.74460636681637882</c:v>
                </c:pt>
                <c:pt idx="125">
                  <c:v>0.72418125285179868</c:v>
                </c:pt>
                <c:pt idx="126">
                  <c:v>-0.5607547780382397</c:v>
                </c:pt>
                <c:pt idx="127">
                  <c:v>-0.17606213387669556</c:v>
                </c:pt>
                <c:pt idx="128">
                  <c:v>0</c:v>
                </c:pt>
                <c:pt idx="129">
                  <c:v>0</c:v>
                </c:pt>
                <c:pt idx="130">
                  <c:v>-9.1974015560336042</c:v>
                </c:pt>
                <c:pt idx="131">
                  <c:v>1.4391287067798215</c:v>
                </c:pt>
                <c:pt idx="132">
                  <c:v>-9.4157638701608679</c:v>
                </c:pt>
                <c:pt idx="133">
                  <c:v>0.33628419121901221</c:v>
                </c:pt>
                <c:pt idx="134">
                  <c:v>0.77492257463683512</c:v>
                </c:pt>
                <c:pt idx="135">
                  <c:v>2.7609048047935403E-2</c:v>
                </c:pt>
                <c:pt idx="136">
                  <c:v>-0.83094601408312574</c:v>
                </c:pt>
                <c:pt idx="137">
                  <c:v>0.85548580385178141</c:v>
                </c:pt>
                <c:pt idx="138">
                  <c:v>-1.0044763978131481</c:v>
                </c:pt>
                <c:pt idx="139">
                  <c:v>0.13221272000764106</c:v>
                </c:pt>
                <c:pt idx="140">
                  <c:v>-1.4498059135976793</c:v>
                </c:pt>
                <c:pt idx="141">
                  <c:v>-0.33728125818969223</c:v>
                </c:pt>
                <c:pt idx="142">
                  <c:v>1.362740568589244</c:v>
                </c:pt>
                <c:pt idx="143">
                  <c:v>0.799970788141108</c:v>
                </c:pt>
                <c:pt idx="144">
                  <c:v>3.3137959113811011E-2</c:v>
                </c:pt>
                <c:pt idx="145">
                  <c:v>1.0779868195341884</c:v>
                </c:pt>
                <c:pt idx="146">
                  <c:v>0.16738745154850099</c:v>
                </c:pt>
                <c:pt idx="147">
                  <c:v>0.27545247469052403</c:v>
                </c:pt>
                <c:pt idx="148">
                  <c:v>-4.1217278471559204E-3</c:v>
                </c:pt>
                <c:pt idx="149">
                  <c:v>0.68596377940700104</c:v>
                </c:pt>
                <c:pt idx="150">
                  <c:v>6.3031178006735966E-2</c:v>
                </c:pt>
                <c:pt idx="151">
                  <c:v>0.18847413300152815</c:v>
                </c:pt>
                <c:pt idx="152">
                  <c:v>-0.37378753748365889</c:v>
                </c:pt>
                <c:pt idx="153">
                  <c:v>0.31295676387087734</c:v>
                </c:pt>
                <c:pt idx="154">
                  <c:v>0</c:v>
                </c:pt>
                <c:pt idx="155">
                  <c:v>0</c:v>
                </c:pt>
                <c:pt idx="156">
                  <c:v>3.4578095605905887</c:v>
                </c:pt>
                <c:pt idx="157">
                  <c:v>9.3237810475628535</c:v>
                </c:pt>
                <c:pt idx="158">
                  <c:v>3.6187658069427835</c:v>
                </c:pt>
                <c:pt idx="159">
                  <c:v>14.933429444226089</c:v>
                </c:pt>
                <c:pt idx="160">
                  <c:v>12.176886461707223</c:v>
                </c:pt>
                <c:pt idx="161">
                  <c:v>0.5617185951764796</c:v>
                </c:pt>
                <c:pt idx="162">
                  <c:v>9.0402581837302627</c:v>
                </c:pt>
                <c:pt idx="163">
                  <c:v>10.52537395238202</c:v>
                </c:pt>
                <c:pt idx="164">
                  <c:v>2.8975720388514441</c:v>
                </c:pt>
                <c:pt idx="165">
                  <c:v>0.11836057066008809</c:v>
                </c:pt>
                <c:pt idx="166">
                  <c:v>3.0134574969968924</c:v>
                </c:pt>
                <c:pt idx="167">
                  <c:v>2.607758140674961</c:v>
                </c:pt>
                <c:pt idx="168">
                  <c:v>-6.6927658082332888</c:v>
                </c:pt>
                <c:pt idx="169">
                  <c:v>-2.5855542962976177</c:v>
                </c:pt>
                <c:pt idx="170">
                  <c:v>-7.955341703093274</c:v>
                </c:pt>
                <c:pt idx="171">
                  <c:v>-9.0375833468898072</c:v>
                </c:pt>
                <c:pt idx="172">
                  <c:v>0.57631554946716701</c:v>
                </c:pt>
                <c:pt idx="173">
                  <c:v>4.1610059157908612</c:v>
                </c:pt>
                <c:pt idx="174">
                  <c:v>-1.3475656933011551</c:v>
                </c:pt>
                <c:pt idx="175">
                  <c:v>2.3766670965922447</c:v>
                </c:pt>
                <c:pt idx="176">
                  <c:v>3.7555055239175816</c:v>
                </c:pt>
                <c:pt idx="177">
                  <c:v>-2.8716445193852991</c:v>
                </c:pt>
                <c:pt idx="178">
                  <c:v>4.186398837203722</c:v>
                </c:pt>
                <c:pt idx="179">
                  <c:v>4.4019772197251861</c:v>
                </c:pt>
                <c:pt idx="180">
                  <c:v>0</c:v>
                </c:pt>
                <c:pt idx="181">
                  <c:v>0</c:v>
                </c:pt>
                <c:pt idx="182">
                  <c:v>-9.8107396813353134</c:v>
                </c:pt>
                <c:pt idx="183">
                  <c:v>0.47316871767660729</c:v>
                </c:pt>
                <c:pt idx="184">
                  <c:v>-10.090165875589653</c:v>
                </c:pt>
                <c:pt idx="185">
                  <c:v>0.13961409785200196</c:v>
                </c:pt>
                <c:pt idx="186">
                  <c:v>4.3860333621503482</c:v>
                </c:pt>
                <c:pt idx="187">
                  <c:v>2.2077938630119469</c:v>
                </c:pt>
                <c:pt idx="188">
                  <c:v>1.8874102730208113</c:v>
                </c:pt>
                <c:pt idx="189">
                  <c:v>4.2301947873575489</c:v>
                </c:pt>
                <c:pt idx="190">
                  <c:v>0.58569431791028492</c:v>
                </c:pt>
                <c:pt idx="191">
                  <c:v>1.0277214587440522</c:v>
                </c:pt>
                <c:pt idx="192">
                  <c:v>0.46115485843316062</c:v>
                </c:pt>
                <c:pt idx="193">
                  <c:v>2.428959206215525</c:v>
                </c:pt>
                <c:pt idx="194">
                  <c:v>0.69953692902983344</c:v>
                </c:pt>
                <c:pt idx="195">
                  <c:v>0.3227009071263518</c:v>
                </c:pt>
                <c:pt idx="196">
                  <c:v>-0.83701733507933507</c:v>
                </c:pt>
                <c:pt idx="197">
                  <c:v>-0.19232404471208708</c:v>
                </c:pt>
                <c:pt idx="198">
                  <c:v>-0.26756306953106568</c:v>
                </c:pt>
                <c:pt idx="199">
                  <c:v>-8.4118151145665343E-2</c:v>
                </c:pt>
                <c:pt idx="200">
                  <c:v>-0.50358721299028975</c:v>
                </c:pt>
                <c:pt idx="201">
                  <c:v>-0.35185080229070154</c:v>
                </c:pt>
                <c:pt idx="202">
                  <c:v>-0.37629081703927114</c:v>
                </c:pt>
                <c:pt idx="203">
                  <c:v>0.30154220637721435</c:v>
                </c:pt>
                <c:pt idx="204">
                  <c:v>-0.43658647742987933</c:v>
                </c:pt>
                <c:pt idx="205">
                  <c:v>-3.1208783804359541E-3</c:v>
                </c:pt>
                <c:pt idx="206">
                  <c:v>0</c:v>
                </c:pt>
                <c:pt idx="207">
                  <c:v>0</c:v>
                </c:pt>
                <c:pt idx="208">
                  <c:v>-5.1870723493020137</c:v>
                </c:pt>
                <c:pt idx="209">
                  <c:v>1.4182708153157462</c:v>
                </c:pt>
                <c:pt idx="210">
                  <c:v>-5.5233877578965265</c:v>
                </c:pt>
                <c:pt idx="211">
                  <c:v>2.9439454385808403</c:v>
                </c:pt>
                <c:pt idx="212">
                  <c:v>3.8584405374490256</c:v>
                </c:pt>
                <c:pt idx="213">
                  <c:v>2.0469395382772038</c:v>
                </c:pt>
                <c:pt idx="214">
                  <c:v>1.0561243309838426</c:v>
                </c:pt>
                <c:pt idx="215">
                  <c:v>3.6815274398948827</c:v>
                </c:pt>
                <c:pt idx="216">
                  <c:v>1.5403141268462113</c:v>
                </c:pt>
                <c:pt idx="217">
                  <c:v>0.24027154732824307</c:v>
                </c:pt>
                <c:pt idx="218">
                  <c:v>1.3102425391146273</c:v>
                </c:pt>
                <c:pt idx="219">
                  <c:v>1.6179605359437201</c:v>
                </c:pt>
                <c:pt idx="220">
                  <c:v>-1.2332667915025379</c:v>
                </c:pt>
                <c:pt idx="221">
                  <c:v>-1.1646182848044611</c:v>
                </c:pt>
                <c:pt idx="222">
                  <c:v>-2.1529435732412807</c:v>
                </c:pt>
                <c:pt idx="223">
                  <c:v>-2.3856877313900817</c:v>
                </c:pt>
                <c:pt idx="224">
                  <c:v>-3.2333375546518051E-2</c:v>
                </c:pt>
                <c:pt idx="225">
                  <c:v>0.21729749415612565</c:v>
                </c:pt>
                <c:pt idx="226">
                  <c:v>-0.12243536174728198</c:v>
                </c:pt>
                <c:pt idx="227">
                  <c:v>0.2982196320767394</c:v>
                </c:pt>
                <c:pt idx="228">
                  <c:v>1.1664057740270906E-2</c:v>
                </c:pt>
                <c:pt idx="229">
                  <c:v>-0.13369066632513404</c:v>
                </c:pt>
                <c:pt idx="230">
                  <c:v>9.6561946396513942E-2</c:v>
                </c:pt>
                <c:pt idx="231">
                  <c:v>0.28046899053471286</c:v>
                </c:pt>
                <c:pt idx="232">
                  <c:v>0</c:v>
                </c:pt>
                <c:pt idx="233">
                  <c:v>0</c:v>
                </c:pt>
                <c:pt idx="234">
                  <c:v>-10.260788720529403</c:v>
                </c:pt>
                <c:pt idx="235">
                  <c:v>0.72965359060849089</c:v>
                </c:pt>
                <c:pt idx="236">
                  <c:v>-10.276302834282514</c:v>
                </c:pt>
                <c:pt idx="237">
                  <c:v>-1.7957222419949357</c:v>
                </c:pt>
                <c:pt idx="238">
                  <c:v>4.9176366349780842E-2</c:v>
                </c:pt>
                <c:pt idx="239">
                  <c:v>0.86703084261086261</c:v>
                </c:pt>
                <c:pt idx="240">
                  <c:v>-0.40807185936133461</c:v>
                </c:pt>
                <c:pt idx="241">
                  <c:v>1.46572942535055</c:v>
                </c:pt>
                <c:pt idx="242">
                  <c:v>1.4313467273622811</c:v>
                </c:pt>
                <c:pt idx="243">
                  <c:v>0.16648728936240431</c:v>
                </c:pt>
                <c:pt idx="244">
                  <c:v>1.65373321511687</c:v>
                </c:pt>
                <c:pt idx="245">
                  <c:v>0.94714374205589991</c:v>
                </c:pt>
                <c:pt idx="246">
                  <c:v>2.3359588026966547</c:v>
                </c:pt>
                <c:pt idx="247">
                  <c:v>0.82603710498769489</c:v>
                </c:pt>
                <c:pt idx="248">
                  <c:v>0.39242832347734202</c:v>
                </c:pt>
                <c:pt idx="249">
                  <c:v>0.61415875922665375</c:v>
                </c:pt>
                <c:pt idx="250">
                  <c:v>0.877059487557313</c:v>
                </c:pt>
                <c:pt idx="251">
                  <c:v>0.53893400861308405</c:v>
                </c:pt>
                <c:pt idx="252">
                  <c:v>0.43349115215204903</c:v>
                </c:pt>
                <c:pt idx="253">
                  <c:v>0.45622753459714716</c:v>
                </c:pt>
                <c:pt idx="254">
                  <c:v>-6.8744074650670672E-3</c:v>
                </c:pt>
                <c:pt idx="255">
                  <c:v>-5.4520243395466128E-2</c:v>
                </c:pt>
                <c:pt idx="256">
                  <c:v>-3.1093439656520117E-2</c:v>
                </c:pt>
                <c:pt idx="257">
                  <c:v>9.3612324681175973E-2</c:v>
                </c:pt>
                <c:pt idx="258">
                  <c:v>0</c:v>
                </c:pt>
                <c:pt idx="259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205-49A6-908E-6599F5B47E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national-semiconductor index correlation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data_stock_corr_till2019!$H$2:$H$313</c:f>
              <c:numCache>
                <c:formatCode>General</c:formatCode>
                <c:ptCount val="312"/>
                <c:pt idx="0">
                  <c:v>0.84405172952214014</c:v>
                </c:pt>
                <c:pt idx="1">
                  <c:v>0.84405172952214014</c:v>
                </c:pt>
                <c:pt idx="2">
                  <c:v>0.86375015188608173</c:v>
                </c:pt>
                <c:pt idx="3">
                  <c:v>0.86375015188608173</c:v>
                </c:pt>
                <c:pt idx="4">
                  <c:v>0.86375015188608173</c:v>
                </c:pt>
                <c:pt idx="5">
                  <c:v>0.86375015188608173</c:v>
                </c:pt>
                <c:pt idx="6">
                  <c:v>0.53923405826348692</c:v>
                </c:pt>
                <c:pt idx="7">
                  <c:v>0.53923405826348692</c:v>
                </c:pt>
                <c:pt idx="8">
                  <c:v>0.53923405826348692</c:v>
                </c:pt>
                <c:pt idx="9">
                  <c:v>0.53923405826348692</c:v>
                </c:pt>
                <c:pt idx="10">
                  <c:v>-0.13290468332128169</c:v>
                </c:pt>
                <c:pt idx="11">
                  <c:v>-0.13290468332128169</c:v>
                </c:pt>
                <c:pt idx="12">
                  <c:v>-0.13290468332128169</c:v>
                </c:pt>
                <c:pt idx="13">
                  <c:v>-0.13290468332128169</c:v>
                </c:pt>
                <c:pt idx="14">
                  <c:v>0.15905090344588599</c:v>
                </c:pt>
                <c:pt idx="15">
                  <c:v>0.15905090344588599</c:v>
                </c:pt>
                <c:pt idx="16">
                  <c:v>0.15905090344588599</c:v>
                </c:pt>
                <c:pt idx="17">
                  <c:v>0.15905090344588599</c:v>
                </c:pt>
                <c:pt idx="18">
                  <c:v>0.52904236060662513</c:v>
                </c:pt>
                <c:pt idx="19">
                  <c:v>0.52904236060662513</c:v>
                </c:pt>
                <c:pt idx="20">
                  <c:v>0.52904236060662513</c:v>
                </c:pt>
                <c:pt idx="21">
                  <c:v>0.52904236060662513</c:v>
                </c:pt>
                <c:pt idx="22">
                  <c:v>0.76433492494395139</c:v>
                </c:pt>
                <c:pt idx="23">
                  <c:v>0.76433492494395139</c:v>
                </c:pt>
                <c:pt idx="24">
                  <c:v>0.76433492494395139</c:v>
                </c:pt>
                <c:pt idx="25">
                  <c:v>0.76433492494395139</c:v>
                </c:pt>
                <c:pt idx="26">
                  <c:v>0.70974761126512598</c:v>
                </c:pt>
                <c:pt idx="27">
                  <c:v>0.70974761126512598</c:v>
                </c:pt>
                <c:pt idx="28">
                  <c:v>0.70974761126512598</c:v>
                </c:pt>
                <c:pt idx="29">
                  <c:v>0.70974761126512598</c:v>
                </c:pt>
                <c:pt idx="30">
                  <c:v>0.95570461099392501</c:v>
                </c:pt>
                <c:pt idx="31">
                  <c:v>0.95570461099392501</c:v>
                </c:pt>
                <c:pt idx="32">
                  <c:v>0.95570461099392501</c:v>
                </c:pt>
                <c:pt idx="33">
                  <c:v>0.95570461099392501</c:v>
                </c:pt>
                <c:pt idx="34">
                  <c:v>0.76745955333446914</c:v>
                </c:pt>
                <c:pt idx="35">
                  <c:v>0.76745955333446914</c:v>
                </c:pt>
                <c:pt idx="36">
                  <c:v>0.81973101760919642</c:v>
                </c:pt>
                <c:pt idx="37">
                  <c:v>0.81973101760919642</c:v>
                </c:pt>
                <c:pt idx="38">
                  <c:v>0.81973101760919642</c:v>
                </c:pt>
                <c:pt idx="39">
                  <c:v>0.81973101760919642</c:v>
                </c:pt>
                <c:pt idx="40">
                  <c:v>0.69331955515361221</c:v>
                </c:pt>
                <c:pt idx="41">
                  <c:v>0.69331955515361221</c:v>
                </c:pt>
                <c:pt idx="42">
                  <c:v>0.69331955515361221</c:v>
                </c:pt>
                <c:pt idx="43">
                  <c:v>0.69331955515361221</c:v>
                </c:pt>
                <c:pt idx="44">
                  <c:v>8.0999733416350986E-2</c:v>
                </c:pt>
                <c:pt idx="45">
                  <c:v>8.0999733416350986E-2</c:v>
                </c:pt>
                <c:pt idx="46">
                  <c:v>8.0999733416350986E-2</c:v>
                </c:pt>
                <c:pt idx="47">
                  <c:v>8.0999733416350986E-2</c:v>
                </c:pt>
                <c:pt idx="48">
                  <c:v>0.2294452116555474</c:v>
                </c:pt>
                <c:pt idx="49">
                  <c:v>0.2294452116555474</c:v>
                </c:pt>
                <c:pt idx="50">
                  <c:v>0.2294452116555474</c:v>
                </c:pt>
                <c:pt idx="51">
                  <c:v>0.2294452116555474</c:v>
                </c:pt>
                <c:pt idx="52">
                  <c:v>0.52852209699415054</c:v>
                </c:pt>
                <c:pt idx="53">
                  <c:v>0.52852209699415054</c:v>
                </c:pt>
                <c:pt idx="54">
                  <c:v>0.52852209699415054</c:v>
                </c:pt>
                <c:pt idx="55">
                  <c:v>0.52852209699415054</c:v>
                </c:pt>
                <c:pt idx="56">
                  <c:v>0.74248837679873125</c:v>
                </c:pt>
                <c:pt idx="57">
                  <c:v>0.74248837679873125</c:v>
                </c:pt>
                <c:pt idx="58">
                  <c:v>0.74248837679873125</c:v>
                </c:pt>
                <c:pt idx="59">
                  <c:v>0.74248837679873125</c:v>
                </c:pt>
                <c:pt idx="60">
                  <c:v>0.87942205352349401</c:v>
                </c:pt>
                <c:pt idx="61">
                  <c:v>0.87942205352349401</c:v>
                </c:pt>
                <c:pt idx="62">
                  <c:v>0.87942205352349401</c:v>
                </c:pt>
                <c:pt idx="63">
                  <c:v>0.87942205352349401</c:v>
                </c:pt>
                <c:pt idx="64">
                  <c:v>0.94798441449834092</c:v>
                </c:pt>
                <c:pt idx="65">
                  <c:v>0.94798441449834092</c:v>
                </c:pt>
                <c:pt idx="66">
                  <c:v>0.94798441449834092</c:v>
                </c:pt>
                <c:pt idx="67">
                  <c:v>0.94798441449834092</c:v>
                </c:pt>
                <c:pt idx="68">
                  <c:v>0.85547195387252284</c:v>
                </c:pt>
                <c:pt idx="69">
                  <c:v>0.85547195387252284</c:v>
                </c:pt>
                <c:pt idx="70">
                  <c:v>0.85819884210171127</c:v>
                </c:pt>
                <c:pt idx="71">
                  <c:v>0.85819884210171127</c:v>
                </c:pt>
                <c:pt idx="72">
                  <c:v>0.85819884210171127</c:v>
                </c:pt>
                <c:pt idx="73">
                  <c:v>0.85819884210171127</c:v>
                </c:pt>
                <c:pt idx="74">
                  <c:v>0.74606709497390522</c:v>
                </c:pt>
                <c:pt idx="75">
                  <c:v>0.74606709497390522</c:v>
                </c:pt>
                <c:pt idx="76">
                  <c:v>0.74606709497390522</c:v>
                </c:pt>
                <c:pt idx="77">
                  <c:v>0.74606709497390522</c:v>
                </c:pt>
                <c:pt idx="78">
                  <c:v>8.1447093601964587E-2</c:v>
                </c:pt>
                <c:pt idx="79">
                  <c:v>8.1447093601964587E-2</c:v>
                </c:pt>
                <c:pt idx="80">
                  <c:v>8.1447093601964587E-2</c:v>
                </c:pt>
                <c:pt idx="81">
                  <c:v>8.1447093601964587E-2</c:v>
                </c:pt>
                <c:pt idx="82">
                  <c:v>0.29731514481803739</c:v>
                </c:pt>
                <c:pt idx="83">
                  <c:v>0.29731514481803739</c:v>
                </c:pt>
                <c:pt idx="84">
                  <c:v>0.29731514481803739</c:v>
                </c:pt>
                <c:pt idx="85">
                  <c:v>0.29731514481803739</c:v>
                </c:pt>
                <c:pt idx="86">
                  <c:v>0.60343555846157637</c:v>
                </c:pt>
                <c:pt idx="87">
                  <c:v>0.60343555846157637</c:v>
                </c:pt>
                <c:pt idx="88">
                  <c:v>0.60343555846157637</c:v>
                </c:pt>
                <c:pt idx="89">
                  <c:v>0.60343555846157637</c:v>
                </c:pt>
                <c:pt idx="90">
                  <c:v>0.82120507713586166</c:v>
                </c:pt>
                <c:pt idx="91">
                  <c:v>0.82120507713586166</c:v>
                </c:pt>
                <c:pt idx="92">
                  <c:v>0.82120507713586166</c:v>
                </c:pt>
                <c:pt idx="93">
                  <c:v>0.82120507713586166</c:v>
                </c:pt>
                <c:pt idx="94">
                  <c:v>0.63417632525182588</c:v>
                </c:pt>
                <c:pt idx="95">
                  <c:v>0.63417632525182588</c:v>
                </c:pt>
                <c:pt idx="96">
                  <c:v>0.63417632525182588</c:v>
                </c:pt>
                <c:pt idx="97">
                  <c:v>0.63417632525182588</c:v>
                </c:pt>
                <c:pt idx="98">
                  <c:v>0.82793739835477054</c:v>
                </c:pt>
                <c:pt idx="99">
                  <c:v>0.82793739835477054</c:v>
                </c:pt>
                <c:pt idx="100">
                  <c:v>0.82793739835477054</c:v>
                </c:pt>
                <c:pt idx="101">
                  <c:v>0.82793739835477054</c:v>
                </c:pt>
                <c:pt idx="102">
                  <c:v>0.62377758549174633</c:v>
                </c:pt>
                <c:pt idx="103">
                  <c:v>0.62377758549174633</c:v>
                </c:pt>
                <c:pt idx="104">
                  <c:v>0.48398462678037191</c:v>
                </c:pt>
                <c:pt idx="105">
                  <c:v>0.48398462678037191</c:v>
                </c:pt>
                <c:pt idx="106">
                  <c:v>0.48398462678037191</c:v>
                </c:pt>
                <c:pt idx="107">
                  <c:v>0.48398462678037191</c:v>
                </c:pt>
                <c:pt idx="108">
                  <c:v>0.26402469726120398</c:v>
                </c:pt>
                <c:pt idx="109">
                  <c:v>0.26402469726120398</c:v>
                </c:pt>
                <c:pt idx="110">
                  <c:v>0.26402469726120398</c:v>
                </c:pt>
                <c:pt idx="111">
                  <c:v>0.26402469726120398</c:v>
                </c:pt>
                <c:pt idx="112">
                  <c:v>-0.12579054882825261</c:v>
                </c:pt>
                <c:pt idx="113">
                  <c:v>-0.12579054882825261</c:v>
                </c:pt>
                <c:pt idx="114">
                  <c:v>-0.12579054882825261</c:v>
                </c:pt>
                <c:pt idx="115">
                  <c:v>-0.12579054882825261</c:v>
                </c:pt>
                <c:pt idx="116">
                  <c:v>0.33584162128485229</c:v>
                </c:pt>
                <c:pt idx="117">
                  <c:v>0.33584162128485229</c:v>
                </c:pt>
                <c:pt idx="118">
                  <c:v>0.33584162128485229</c:v>
                </c:pt>
                <c:pt idx="119">
                  <c:v>0.33584162128485229</c:v>
                </c:pt>
                <c:pt idx="120">
                  <c:v>0.5384352042804752</c:v>
                </c:pt>
                <c:pt idx="121">
                  <c:v>0.5384352042804752</c:v>
                </c:pt>
                <c:pt idx="122">
                  <c:v>0.5384352042804752</c:v>
                </c:pt>
                <c:pt idx="123">
                  <c:v>0.5384352042804752</c:v>
                </c:pt>
                <c:pt idx="124">
                  <c:v>0.76844861224739902</c:v>
                </c:pt>
                <c:pt idx="125">
                  <c:v>0.76844861224739902</c:v>
                </c:pt>
                <c:pt idx="126">
                  <c:v>0.76844861224739902</c:v>
                </c:pt>
                <c:pt idx="127">
                  <c:v>0.76844861224739902</c:v>
                </c:pt>
                <c:pt idx="128">
                  <c:v>0.54937504833741979</c:v>
                </c:pt>
                <c:pt idx="129">
                  <c:v>0.54937504833741979</c:v>
                </c:pt>
                <c:pt idx="130">
                  <c:v>0.54937504833741979</c:v>
                </c:pt>
                <c:pt idx="131">
                  <c:v>0.54937504833741979</c:v>
                </c:pt>
                <c:pt idx="132">
                  <c:v>0.8375403037033835</c:v>
                </c:pt>
                <c:pt idx="133">
                  <c:v>0.8375403037033835</c:v>
                </c:pt>
                <c:pt idx="134">
                  <c:v>0.8375403037033835</c:v>
                </c:pt>
                <c:pt idx="135">
                  <c:v>0.8375403037033835</c:v>
                </c:pt>
                <c:pt idx="136">
                  <c:v>0.21524731915347789</c:v>
                </c:pt>
                <c:pt idx="137">
                  <c:v>0.21524731915347789</c:v>
                </c:pt>
                <c:pt idx="138">
                  <c:v>0.21524731915347789</c:v>
                </c:pt>
                <c:pt idx="139">
                  <c:v>0.21524731915347789</c:v>
                </c:pt>
                <c:pt idx="140">
                  <c:v>0.62859282370307934</c:v>
                </c:pt>
                <c:pt idx="141">
                  <c:v>0.62859282370307934</c:v>
                </c:pt>
                <c:pt idx="142">
                  <c:v>0.62859282370307934</c:v>
                </c:pt>
                <c:pt idx="143">
                  <c:v>0.62859282370307934</c:v>
                </c:pt>
                <c:pt idx="144">
                  <c:v>0.71940483524885424</c:v>
                </c:pt>
                <c:pt idx="145">
                  <c:v>0.71940483524885424</c:v>
                </c:pt>
                <c:pt idx="146">
                  <c:v>0.71940483524885424</c:v>
                </c:pt>
                <c:pt idx="147">
                  <c:v>0.71940483524885424</c:v>
                </c:pt>
                <c:pt idx="148">
                  <c:v>0.33002959137272642</c:v>
                </c:pt>
                <c:pt idx="149">
                  <c:v>0.33002959137272642</c:v>
                </c:pt>
                <c:pt idx="150">
                  <c:v>0.33002959137272642</c:v>
                </c:pt>
                <c:pt idx="151">
                  <c:v>0.33002959137272642</c:v>
                </c:pt>
                <c:pt idx="152">
                  <c:v>0.85330044822257167</c:v>
                </c:pt>
                <c:pt idx="153">
                  <c:v>0.85330044822257167</c:v>
                </c:pt>
                <c:pt idx="154">
                  <c:v>0.85330044822257167</c:v>
                </c:pt>
                <c:pt idx="155">
                  <c:v>0.85330044822257167</c:v>
                </c:pt>
                <c:pt idx="156">
                  <c:v>0.86455349240999857</c:v>
                </c:pt>
                <c:pt idx="157">
                  <c:v>0.86455349240999857</c:v>
                </c:pt>
                <c:pt idx="158">
                  <c:v>0.83359266727057346</c:v>
                </c:pt>
                <c:pt idx="159">
                  <c:v>0.83359266727057346</c:v>
                </c:pt>
                <c:pt idx="160">
                  <c:v>0.83359266727057346</c:v>
                </c:pt>
                <c:pt idx="161">
                  <c:v>0.83359266727057346</c:v>
                </c:pt>
                <c:pt idx="162">
                  <c:v>0.6952933760342126</c:v>
                </c:pt>
                <c:pt idx="163">
                  <c:v>0.6952933760342126</c:v>
                </c:pt>
                <c:pt idx="164">
                  <c:v>0.6952933760342126</c:v>
                </c:pt>
                <c:pt idx="165">
                  <c:v>0.6952933760342126</c:v>
                </c:pt>
                <c:pt idx="166">
                  <c:v>-7.1145736829973161E-2</c:v>
                </c:pt>
                <c:pt idx="167">
                  <c:v>-7.1145736829973161E-2</c:v>
                </c:pt>
                <c:pt idx="168">
                  <c:v>-7.1145736829973161E-2</c:v>
                </c:pt>
                <c:pt idx="169">
                  <c:v>-7.1145736829973161E-2</c:v>
                </c:pt>
                <c:pt idx="170">
                  <c:v>6.2533223926305753E-2</c:v>
                </c:pt>
                <c:pt idx="171">
                  <c:v>6.2533223926305753E-2</c:v>
                </c:pt>
                <c:pt idx="172">
                  <c:v>6.2533223926305753E-2</c:v>
                </c:pt>
                <c:pt idx="173">
                  <c:v>6.2533223926305753E-2</c:v>
                </c:pt>
                <c:pt idx="174">
                  <c:v>0.40116276873655787</c:v>
                </c:pt>
                <c:pt idx="175">
                  <c:v>0.40116276873655787</c:v>
                </c:pt>
                <c:pt idx="176">
                  <c:v>0.40116276873655787</c:v>
                </c:pt>
                <c:pt idx="177">
                  <c:v>0.40116276873655787</c:v>
                </c:pt>
                <c:pt idx="178">
                  <c:v>0.74423388640620014</c:v>
                </c:pt>
                <c:pt idx="179">
                  <c:v>0.74423388640620014</c:v>
                </c:pt>
                <c:pt idx="180">
                  <c:v>0.74423388640620014</c:v>
                </c:pt>
                <c:pt idx="181">
                  <c:v>0.74423388640620014</c:v>
                </c:pt>
                <c:pt idx="182">
                  <c:v>0.5622454958802221</c:v>
                </c:pt>
                <c:pt idx="183">
                  <c:v>0.5622454958802221</c:v>
                </c:pt>
                <c:pt idx="184">
                  <c:v>0.5622454958802221</c:v>
                </c:pt>
                <c:pt idx="185">
                  <c:v>0.5622454958802221</c:v>
                </c:pt>
                <c:pt idx="186">
                  <c:v>0.89455061740559294</c:v>
                </c:pt>
                <c:pt idx="187">
                  <c:v>0.89455061740559294</c:v>
                </c:pt>
                <c:pt idx="188">
                  <c:v>0.89455061740559294</c:v>
                </c:pt>
                <c:pt idx="189">
                  <c:v>0.89455061740559294</c:v>
                </c:pt>
                <c:pt idx="190">
                  <c:v>0.62946516501811001</c:v>
                </c:pt>
                <c:pt idx="191">
                  <c:v>0.62946516501811001</c:v>
                </c:pt>
                <c:pt idx="192">
                  <c:v>0.80455270009552871</c:v>
                </c:pt>
                <c:pt idx="193">
                  <c:v>0.80455270009552871</c:v>
                </c:pt>
                <c:pt idx="194">
                  <c:v>0.80455270009552871</c:v>
                </c:pt>
                <c:pt idx="195">
                  <c:v>0.80455270009552871</c:v>
                </c:pt>
                <c:pt idx="196">
                  <c:v>0.8458141491316713</c:v>
                </c:pt>
                <c:pt idx="197">
                  <c:v>0.8458141491316713</c:v>
                </c:pt>
                <c:pt idx="198">
                  <c:v>0.8458141491316713</c:v>
                </c:pt>
                <c:pt idx="199">
                  <c:v>0.8458141491316713</c:v>
                </c:pt>
                <c:pt idx="200">
                  <c:v>0.49439163876765568</c:v>
                </c:pt>
                <c:pt idx="201">
                  <c:v>0.49439163876765568</c:v>
                </c:pt>
                <c:pt idx="202">
                  <c:v>0.49439163876765568</c:v>
                </c:pt>
                <c:pt idx="203">
                  <c:v>0.49439163876765568</c:v>
                </c:pt>
                <c:pt idx="204">
                  <c:v>2.5527266581010271E-2</c:v>
                </c:pt>
                <c:pt idx="205">
                  <c:v>2.5527266581010271E-2</c:v>
                </c:pt>
                <c:pt idx="206">
                  <c:v>2.5527266581010271E-2</c:v>
                </c:pt>
                <c:pt idx="207">
                  <c:v>2.5527266581010271E-2</c:v>
                </c:pt>
                <c:pt idx="208">
                  <c:v>0.25910164240467398</c:v>
                </c:pt>
                <c:pt idx="209">
                  <c:v>0.25910164240467398</c:v>
                </c:pt>
                <c:pt idx="210">
                  <c:v>0.25910164240467398</c:v>
                </c:pt>
                <c:pt idx="211">
                  <c:v>0.25910164240467398</c:v>
                </c:pt>
                <c:pt idx="212">
                  <c:v>0.54612187050093675</c:v>
                </c:pt>
                <c:pt idx="213">
                  <c:v>0.54612187050093675</c:v>
                </c:pt>
                <c:pt idx="214">
                  <c:v>0.54612187050093675</c:v>
                </c:pt>
                <c:pt idx="215">
                  <c:v>0.54612187050093675</c:v>
                </c:pt>
                <c:pt idx="216">
                  <c:v>0.34414813760761909</c:v>
                </c:pt>
                <c:pt idx="217">
                  <c:v>0.34414813760761909</c:v>
                </c:pt>
                <c:pt idx="218">
                  <c:v>0.34414813760761909</c:v>
                </c:pt>
                <c:pt idx="219">
                  <c:v>0.34414813760761909</c:v>
                </c:pt>
                <c:pt idx="220">
                  <c:v>0.79719383190250992</c:v>
                </c:pt>
                <c:pt idx="221">
                  <c:v>0.79719383190250992</c:v>
                </c:pt>
                <c:pt idx="222">
                  <c:v>0.79719383190250992</c:v>
                </c:pt>
                <c:pt idx="223">
                  <c:v>0.79719383190250992</c:v>
                </c:pt>
                <c:pt idx="224">
                  <c:v>0.81763903391524484</c:v>
                </c:pt>
                <c:pt idx="225">
                  <c:v>0.81763903391524484</c:v>
                </c:pt>
                <c:pt idx="226">
                  <c:v>0.82627094935362411</c:v>
                </c:pt>
                <c:pt idx="227">
                  <c:v>0.82627094935362411</c:v>
                </c:pt>
                <c:pt idx="228">
                  <c:v>0.82627094935362411</c:v>
                </c:pt>
                <c:pt idx="229">
                  <c:v>0.82627094935362411</c:v>
                </c:pt>
                <c:pt idx="230">
                  <c:v>0.5343188076695039</c:v>
                </c:pt>
                <c:pt idx="231">
                  <c:v>0.5343188076695039</c:v>
                </c:pt>
                <c:pt idx="232">
                  <c:v>0.5343188076695039</c:v>
                </c:pt>
                <c:pt idx="233">
                  <c:v>0.5343188076695039</c:v>
                </c:pt>
                <c:pt idx="234">
                  <c:v>-5.7968247493718331E-2</c:v>
                </c:pt>
                <c:pt idx="235">
                  <c:v>-5.7968247493718331E-2</c:v>
                </c:pt>
                <c:pt idx="236">
                  <c:v>-5.7968247493718331E-2</c:v>
                </c:pt>
                <c:pt idx="237">
                  <c:v>-5.7968247493718331E-2</c:v>
                </c:pt>
                <c:pt idx="238">
                  <c:v>9.8406764384742884E-2</c:v>
                </c:pt>
                <c:pt idx="239">
                  <c:v>9.8406764384742884E-2</c:v>
                </c:pt>
                <c:pt idx="240">
                  <c:v>9.8406764384742884E-2</c:v>
                </c:pt>
                <c:pt idx="241">
                  <c:v>9.8406764384742884E-2</c:v>
                </c:pt>
                <c:pt idx="242">
                  <c:v>9.8047794412941008E-2</c:v>
                </c:pt>
                <c:pt idx="243">
                  <c:v>9.8047794412941008E-2</c:v>
                </c:pt>
                <c:pt idx="244">
                  <c:v>9.8047794412941008E-2</c:v>
                </c:pt>
                <c:pt idx="245">
                  <c:v>9.8047794412941008E-2</c:v>
                </c:pt>
                <c:pt idx="246">
                  <c:v>0.4915804129855248</c:v>
                </c:pt>
                <c:pt idx="247">
                  <c:v>0.4915804129855248</c:v>
                </c:pt>
                <c:pt idx="248">
                  <c:v>0.4915804129855248</c:v>
                </c:pt>
                <c:pt idx="249">
                  <c:v>0.4915804129855248</c:v>
                </c:pt>
                <c:pt idx="250">
                  <c:v>0.58027035190863618</c:v>
                </c:pt>
                <c:pt idx="251">
                  <c:v>0.58027035190863618</c:v>
                </c:pt>
                <c:pt idx="252">
                  <c:v>0.58027035190863618</c:v>
                </c:pt>
                <c:pt idx="253">
                  <c:v>0.58027035190863618</c:v>
                </c:pt>
                <c:pt idx="254">
                  <c:v>0.91222891503210513</c:v>
                </c:pt>
                <c:pt idx="255">
                  <c:v>0.91222891503210513</c:v>
                </c:pt>
                <c:pt idx="256">
                  <c:v>0.91222891503210513</c:v>
                </c:pt>
                <c:pt idx="257">
                  <c:v>0.91222891503210513</c:v>
                </c:pt>
                <c:pt idx="258">
                  <c:v>0.93333849233642174</c:v>
                </c:pt>
                <c:pt idx="259">
                  <c:v>0.93333849233642174</c:v>
                </c:pt>
                <c:pt idx="260">
                  <c:v>0.8351428698232144</c:v>
                </c:pt>
                <c:pt idx="261">
                  <c:v>0.8351428698232144</c:v>
                </c:pt>
                <c:pt idx="262">
                  <c:v>0.8351428698232144</c:v>
                </c:pt>
                <c:pt idx="263">
                  <c:v>0.8351428698232144</c:v>
                </c:pt>
                <c:pt idx="264">
                  <c:v>0.56214323194141969</c:v>
                </c:pt>
                <c:pt idx="265">
                  <c:v>0.56214323194141969</c:v>
                </c:pt>
                <c:pt idx="266">
                  <c:v>0.56214323194141969</c:v>
                </c:pt>
                <c:pt idx="267">
                  <c:v>0.56214323194141969</c:v>
                </c:pt>
                <c:pt idx="268">
                  <c:v>-0.14283084201054749</c:v>
                </c:pt>
                <c:pt idx="269">
                  <c:v>-0.14283084201054749</c:v>
                </c:pt>
                <c:pt idx="270">
                  <c:v>-0.14283084201054749</c:v>
                </c:pt>
                <c:pt idx="271">
                  <c:v>-0.14283084201054749</c:v>
                </c:pt>
                <c:pt idx="272">
                  <c:v>0.17899868226077459</c:v>
                </c:pt>
                <c:pt idx="273">
                  <c:v>0.17899868226077459</c:v>
                </c:pt>
                <c:pt idx="274">
                  <c:v>0.17899868226077459</c:v>
                </c:pt>
                <c:pt idx="275">
                  <c:v>0.17899868226077459</c:v>
                </c:pt>
                <c:pt idx="276">
                  <c:v>0.60727245053268153</c:v>
                </c:pt>
                <c:pt idx="277">
                  <c:v>0.60727245053268153</c:v>
                </c:pt>
                <c:pt idx="278">
                  <c:v>0.60727245053268153</c:v>
                </c:pt>
                <c:pt idx="279">
                  <c:v>0.60727245053268153</c:v>
                </c:pt>
                <c:pt idx="280">
                  <c:v>0.79840954303689304</c:v>
                </c:pt>
                <c:pt idx="281">
                  <c:v>0.79840954303689304</c:v>
                </c:pt>
                <c:pt idx="282">
                  <c:v>0.79840954303689304</c:v>
                </c:pt>
                <c:pt idx="283">
                  <c:v>0.79840954303689304</c:v>
                </c:pt>
                <c:pt idx="284">
                  <c:v>0.59845318384970081</c:v>
                </c:pt>
                <c:pt idx="285">
                  <c:v>0.59845318384970081</c:v>
                </c:pt>
                <c:pt idx="286">
                  <c:v>0.59845318384970081</c:v>
                </c:pt>
                <c:pt idx="287">
                  <c:v>0.59845318384970081</c:v>
                </c:pt>
                <c:pt idx="288">
                  <c:v>0.87784580819211311</c:v>
                </c:pt>
                <c:pt idx="289">
                  <c:v>0.87784580819211311</c:v>
                </c:pt>
                <c:pt idx="290">
                  <c:v>0.87784580819211311</c:v>
                </c:pt>
                <c:pt idx="291">
                  <c:v>0.87784580819211311</c:v>
                </c:pt>
                <c:pt idx="292">
                  <c:v>0.20562428135181771</c:v>
                </c:pt>
                <c:pt idx="293">
                  <c:v>0.20562428135181771</c:v>
                </c:pt>
                <c:pt idx="294">
                  <c:v>0.20562428135181771</c:v>
                </c:pt>
                <c:pt idx="295">
                  <c:v>0.20562428135181771</c:v>
                </c:pt>
                <c:pt idx="296">
                  <c:v>0.19529332020678619</c:v>
                </c:pt>
                <c:pt idx="297">
                  <c:v>0.19529332020678619</c:v>
                </c:pt>
                <c:pt idx="298">
                  <c:v>0.19529332020678619</c:v>
                </c:pt>
                <c:pt idx="299">
                  <c:v>0.19529332020678619</c:v>
                </c:pt>
                <c:pt idx="300">
                  <c:v>0.69181063344816107</c:v>
                </c:pt>
                <c:pt idx="301">
                  <c:v>0.69181063344816107</c:v>
                </c:pt>
                <c:pt idx="302">
                  <c:v>0.69181063344816107</c:v>
                </c:pt>
                <c:pt idx="303">
                  <c:v>0.69181063344816107</c:v>
                </c:pt>
                <c:pt idx="304">
                  <c:v>0.57431309132740549</c:v>
                </c:pt>
                <c:pt idx="305">
                  <c:v>0.57431309132740549</c:v>
                </c:pt>
                <c:pt idx="306">
                  <c:v>0.57431309132740549</c:v>
                </c:pt>
                <c:pt idx="307">
                  <c:v>0.57431309132740549</c:v>
                </c:pt>
                <c:pt idx="308">
                  <c:v>0.8963180548310522</c:v>
                </c:pt>
                <c:pt idx="309">
                  <c:v>0.8963180548310522</c:v>
                </c:pt>
                <c:pt idx="310">
                  <c:v>0.8963180548310522</c:v>
                </c:pt>
                <c:pt idx="311">
                  <c:v>0.8963180548310522</c:v>
                </c:pt>
              </c:numCache>
            </c:numRef>
          </c:xVal>
          <c:yVal>
            <c:numRef>
              <c:f>data_stock_corr_till2019!$G$2:$G$313</c:f>
              <c:numCache>
                <c:formatCode>General</c:formatCode>
                <c:ptCount val="312"/>
                <c:pt idx="0">
                  <c:v>9.2616002622778915E-2</c:v>
                </c:pt>
                <c:pt idx="1">
                  <c:v>0.61454835947600683</c:v>
                </c:pt>
                <c:pt idx="2">
                  <c:v>-0.18521246864232244</c:v>
                </c:pt>
                <c:pt idx="3">
                  <c:v>-5.2795841261839671E-2</c:v>
                </c:pt>
                <c:pt idx="4">
                  <c:v>-1.2637784803558223</c:v>
                </c:pt>
                <c:pt idx="5">
                  <c:v>-3.9450123525116121E-2</c:v>
                </c:pt>
                <c:pt idx="6">
                  <c:v>-1.1913368759070364</c:v>
                </c:pt>
                <c:pt idx="7">
                  <c:v>-0.73724213590623755</c:v>
                </c:pt>
                <c:pt idx="8">
                  <c:v>-1.9978324758434329</c:v>
                </c:pt>
                <c:pt idx="9">
                  <c:v>-0.91195967368665976</c:v>
                </c:pt>
                <c:pt idx="10">
                  <c:v>-0.73775127444920263</c:v>
                </c:pt>
                <c:pt idx="11">
                  <c:v>0.20283128440671516</c:v>
                </c:pt>
                <c:pt idx="12">
                  <c:v>-0.87395035304667956</c:v>
                </c:pt>
                <c:pt idx="13">
                  <c:v>-0.77038759201291962</c:v>
                </c:pt>
                <c:pt idx="14">
                  <c:v>2.1335424718526896E-2</c:v>
                </c:pt>
                <c:pt idx="15">
                  <c:v>0.65778403978474742</c:v>
                </c:pt>
                <c:pt idx="16">
                  <c:v>-0.59414044609208405</c:v>
                </c:pt>
                <c:pt idx="17">
                  <c:v>0.45566821907582167</c:v>
                </c:pt>
                <c:pt idx="18">
                  <c:v>0.69243770785740977</c:v>
                </c:pt>
                <c:pt idx="19">
                  <c:v>0.65648168579866284</c:v>
                </c:pt>
                <c:pt idx="20">
                  <c:v>0.69667255164343178</c:v>
                </c:pt>
                <c:pt idx="21">
                  <c:v>0.67387131071388295</c:v>
                </c:pt>
                <c:pt idx="22">
                  <c:v>0.78616412906575106</c:v>
                </c:pt>
                <c:pt idx="23">
                  <c:v>-0.20364537794406878</c:v>
                </c:pt>
                <c:pt idx="24">
                  <c:v>0.74103491771630314</c:v>
                </c:pt>
                <c:pt idx="25">
                  <c:v>0.63932081158630116</c:v>
                </c:pt>
                <c:pt idx="26">
                  <c:v>-3.0890495413360419E-2</c:v>
                </c:pt>
                <c:pt idx="27">
                  <c:v>-0.37845503404507719</c:v>
                </c:pt>
                <c:pt idx="28">
                  <c:v>0.70436184472490981</c:v>
                </c:pt>
                <c:pt idx="29">
                  <c:v>-0.44071774143137299</c:v>
                </c:pt>
                <c:pt idx="30">
                  <c:v>-0.27128455696010012</c:v>
                </c:pt>
                <c:pt idx="31">
                  <c:v>0.1374653705052129</c:v>
                </c:pt>
                <c:pt idx="32">
                  <c:v>-0.47297799177851707</c:v>
                </c:pt>
                <c:pt idx="33">
                  <c:v>0.162437419674061</c:v>
                </c:pt>
                <c:pt idx="34">
                  <c:v>-0.26564230957886825</c:v>
                </c:pt>
                <c:pt idx="35">
                  <c:v>-0.44393497951385608</c:v>
                </c:pt>
                <c:pt idx="36">
                  <c:v>-0.73190998834913579</c:v>
                </c:pt>
                <c:pt idx="37">
                  <c:v>0.41662877211910709</c:v>
                </c:pt>
                <c:pt idx="38">
                  <c:v>-1.9946331412953566</c:v>
                </c:pt>
                <c:pt idx="39">
                  <c:v>0.23384031312051204</c:v>
                </c:pt>
                <c:pt idx="40">
                  <c:v>-0.43518371560798574</c:v>
                </c:pt>
                <c:pt idx="41">
                  <c:v>0.1631824151071698</c:v>
                </c:pt>
                <c:pt idx="42">
                  <c:v>-0.93831791482202453</c:v>
                </c:pt>
                <c:pt idx="43">
                  <c:v>0.26279764266585015</c:v>
                </c:pt>
                <c:pt idx="44">
                  <c:v>0.60804524034366203</c:v>
                </c:pt>
                <c:pt idx="45">
                  <c:v>0.82726288526369518</c:v>
                </c:pt>
                <c:pt idx="46">
                  <c:v>0.55985462173544898</c:v>
                </c:pt>
                <c:pt idx="47">
                  <c:v>0.30703964316712207</c:v>
                </c:pt>
                <c:pt idx="48">
                  <c:v>0.60184371182729057</c:v>
                </c:pt>
                <c:pt idx="49">
                  <c:v>0.20095810349653198</c:v>
                </c:pt>
                <c:pt idx="50">
                  <c:v>-9.5872444645270116E-2</c:v>
                </c:pt>
                <c:pt idx="51">
                  <c:v>0.37602266897304393</c:v>
                </c:pt>
                <c:pt idx="52">
                  <c:v>-0.11861033767558893</c:v>
                </c:pt>
                <c:pt idx="53">
                  <c:v>-4.7304590003143909E-2</c:v>
                </c:pt>
                <c:pt idx="54">
                  <c:v>-0.28042817709720791</c:v>
                </c:pt>
                <c:pt idx="55">
                  <c:v>-1.0856298219501959E-2</c:v>
                </c:pt>
                <c:pt idx="56">
                  <c:v>0.1507797162184652</c:v>
                </c:pt>
                <c:pt idx="57">
                  <c:v>-0.26884506369373296</c:v>
                </c:pt>
                <c:pt idx="58">
                  <c:v>-0.10249939779924788</c:v>
                </c:pt>
                <c:pt idx="59">
                  <c:v>-7.9783867035730927E-2</c:v>
                </c:pt>
                <c:pt idx="60">
                  <c:v>5.8211280770205098E-2</c:v>
                </c:pt>
                <c:pt idx="61">
                  <c:v>0.32816631924187512</c:v>
                </c:pt>
                <c:pt idx="62">
                  <c:v>0.17749745265910399</c:v>
                </c:pt>
                <c:pt idx="63">
                  <c:v>5.2215939373469133E-2</c:v>
                </c:pt>
                <c:pt idx="64">
                  <c:v>0.8982846201541661</c:v>
                </c:pt>
                <c:pt idx="65">
                  <c:v>1.2770204459163441</c:v>
                </c:pt>
                <c:pt idx="66">
                  <c:v>0.68058495597650426</c:v>
                </c:pt>
                <c:pt idx="67">
                  <c:v>1.1871434535654872</c:v>
                </c:pt>
                <c:pt idx="68">
                  <c:v>0.89939483995655589</c:v>
                </c:pt>
                <c:pt idx="69">
                  <c:v>1.1808560325801118</c:v>
                </c:pt>
                <c:pt idx="70">
                  <c:v>-5.4029254337575217E-2</c:v>
                </c:pt>
                <c:pt idx="71">
                  <c:v>-0.12697692728141019</c:v>
                </c:pt>
                <c:pt idx="72">
                  <c:v>-1.2429766151063308</c:v>
                </c:pt>
                <c:pt idx="73">
                  <c:v>2.1276684188162975E-2</c:v>
                </c:pt>
                <c:pt idx="74">
                  <c:v>-0.2668114338305837</c:v>
                </c:pt>
                <c:pt idx="75">
                  <c:v>0.10607414917842456</c:v>
                </c:pt>
                <c:pt idx="76">
                  <c:v>-1.1036026474346108</c:v>
                </c:pt>
                <c:pt idx="77">
                  <c:v>0.19098522298304116</c:v>
                </c:pt>
                <c:pt idx="78">
                  <c:v>0.50391511063603911</c:v>
                </c:pt>
                <c:pt idx="79">
                  <c:v>0.93895915127589302</c:v>
                </c:pt>
                <c:pt idx="80">
                  <c:v>0.38489933569674806</c:v>
                </c:pt>
                <c:pt idx="81">
                  <c:v>0.3604753690907021</c:v>
                </c:pt>
                <c:pt idx="82">
                  <c:v>0.41668627246598899</c:v>
                </c:pt>
                <c:pt idx="83">
                  <c:v>-0.19885935702409907</c:v>
                </c:pt>
                <c:pt idx="84">
                  <c:v>-0.47235285542918604</c:v>
                </c:pt>
                <c:pt idx="85">
                  <c:v>-0.3600890531802059</c:v>
                </c:pt>
                <c:pt idx="86">
                  <c:v>0.27860513231977801</c:v>
                </c:pt>
                <c:pt idx="87">
                  <c:v>0.24619510094493702</c:v>
                </c:pt>
                <c:pt idx="88">
                  <c:v>0.16032115441809891</c:v>
                </c:pt>
                <c:pt idx="89">
                  <c:v>0.56021580938968807</c:v>
                </c:pt>
                <c:pt idx="90">
                  <c:v>1.6647192282288961</c:v>
                </c:pt>
                <c:pt idx="91">
                  <c:v>0.98726553765954383</c:v>
                </c:pt>
                <c:pt idx="92">
                  <c:v>1.5726056100512928</c:v>
                </c:pt>
                <c:pt idx="93">
                  <c:v>1.4979471361736059</c:v>
                </c:pt>
                <c:pt idx="94">
                  <c:v>-0.85346390397992189</c:v>
                </c:pt>
                <c:pt idx="95">
                  <c:v>-0.45083812998151118</c:v>
                </c:pt>
                <c:pt idx="96">
                  <c:v>-0.58665416924442604</c:v>
                </c:pt>
                <c:pt idx="97">
                  <c:v>-1.0388815708978532</c:v>
                </c:pt>
                <c:pt idx="98">
                  <c:v>-0.72683828897076608</c:v>
                </c:pt>
                <c:pt idx="99">
                  <c:v>0.67371743677701046</c:v>
                </c:pt>
                <c:pt idx="100">
                  <c:v>-0.93999679709258999</c:v>
                </c:pt>
                <c:pt idx="101">
                  <c:v>0.56661972983481634</c:v>
                </c:pt>
                <c:pt idx="102">
                  <c:v>-1.3813318500744096</c:v>
                </c:pt>
                <c:pt idx="103">
                  <c:v>-1.4042156255031488</c:v>
                </c:pt>
                <c:pt idx="104">
                  <c:v>-3.5578433110301635</c:v>
                </c:pt>
                <c:pt idx="105">
                  <c:v>-1.468084985895092</c:v>
                </c:pt>
                <c:pt idx="106">
                  <c:v>-4.4179928139605931</c:v>
                </c:pt>
                <c:pt idx="107">
                  <c:v>-1.1441842892946601</c:v>
                </c:pt>
                <c:pt idx="108">
                  <c:v>6.4806094269020953E-3</c:v>
                </c:pt>
                <c:pt idx="109">
                  <c:v>-0.13080820497289203</c:v>
                </c:pt>
                <c:pt idx="110">
                  <c:v>-1.1063931545070063</c:v>
                </c:pt>
                <c:pt idx="111">
                  <c:v>3.6557650467966996E-2</c:v>
                </c:pt>
                <c:pt idx="112">
                  <c:v>0.97444544008665979</c:v>
                </c:pt>
                <c:pt idx="113">
                  <c:v>0.25951375517513608</c:v>
                </c:pt>
                <c:pt idx="114">
                  <c:v>0.5731581210036385</c:v>
                </c:pt>
                <c:pt idx="115">
                  <c:v>0.36104980792893904</c:v>
                </c:pt>
                <c:pt idx="116">
                  <c:v>2.2507531290568341</c:v>
                </c:pt>
                <c:pt idx="117">
                  <c:v>0.84755226971891684</c:v>
                </c:pt>
                <c:pt idx="118">
                  <c:v>1.9227190146805588</c:v>
                </c:pt>
                <c:pt idx="119">
                  <c:v>1.1642716744238411</c:v>
                </c:pt>
                <c:pt idx="120">
                  <c:v>0.20691362640356292</c:v>
                </c:pt>
                <c:pt idx="121">
                  <c:v>-0.32437575106588312</c:v>
                </c:pt>
                <c:pt idx="122">
                  <c:v>0.29294469454354299</c:v>
                </c:pt>
                <c:pt idx="123">
                  <c:v>0.27990361283777565</c:v>
                </c:pt>
                <c:pt idx="124">
                  <c:v>0.59955818573028896</c:v>
                </c:pt>
                <c:pt idx="125">
                  <c:v>-0.21335805850076506</c:v>
                </c:pt>
                <c:pt idx="126">
                  <c:v>0.35000728826492189</c:v>
                </c:pt>
                <c:pt idx="127">
                  <c:v>9.1706447057128937E-2</c:v>
                </c:pt>
                <c:pt idx="128">
                  <c:v>-0.17009025968066194</c:v>
                </c:pt>
                <c:pt idx="129">
                  <c:v>-0.19081445099353322</c:v>
                </c:pt>
                <c:pt idx="130">
                  <c:v>2.9647560491548042E-3</c:v>
                </c:pt>
                <c:pt idx="131">
                  <c:v>-0.48414216228142726</c:v>
                </c:pt>
                <c:pt idx="132">
                  <c:v>-0.21306976831362023</c:v>
                </c:pt>
                <c:pt idx="133">
                  <c:v>7.2237730363746921E-2</c:v>
                </c:pt>
                <c:pt idx="134">
                  <c:v>-0.41366958696250311</c:v>
                </c:pt>
                <c:pt idx="135">
                  <c:v>-0.15364893942900526</c:v>
                </c:pt>
                <c:pt idx="136">
                  <c:v>-0.14620954323508523</c:v>
                </c:pt>
                <c:pt idx="137">
                  <c:v>0.1253373978109007</c:v>
                </c:pt>
                <c:pt idx="138">
                  <c:v>-0.57280300136018747</c:v>
                </c:pt>
                <c:pt idx="139">
                  <c:v>0.12311761734483889</c:v>
                </c:pt>
                <c:pt idx="140">
                  <c:v>1.8786753011990158</c:v>
                </c:pt>
                <c:pt idx="141">
                  <c:v>1.7183218536184302</c:v>
                </c:pt>
                <c:pt idx="142">
                  <c:v>1.510323809035472</c:v>
                </c:pt>
                <c:pt idx="143">
                  <c:v>1.8590512359207483</c:v>
                </c:pt>
                <c:pt idx="144">
                  <c:v>2.4720940007392684</c:v>
                </c:pt>
                <c:pt idx="145">
                  <c:v>-4.9051166356071096E-2</c:v>
                </c:pt>
                <c:pt idx="146">
                  <c:v>2.5243960048727772</c:v>
                </c:pt>
                <c:pt idx="147">
                  <c:v>1.9527316757675739</c:v>
                </c:pt>
                <c:pt idx="148">
                  <c:v>-1.4684876877358761</c:v>
                </c:pt>
                <c:pt idx="149">
                  <c:v>-1.7034961062862728</c:v>
                </c:pt>
                <c:pt idx="150">
                  <c:v>-0.55948823596464492</c:v>
                </c:pt>
                <c:pt idx="151">
                  <c:v>-1.3340082792667409</c:v>
                </c:pt>
                <c:pt idx="152">
                  <c:v>-0.8335748506428422</c:v>
                </c:pt>
                <c:pt idx="153">
                  <c:v>-1.4110869060006026E-2</c:v>
                </c:pt>
                <c:pt idx="154">
                  <c:v>-0.9295559719103379</c:v>
                </c:pt>
                <c:pt idx="155">
                  <c:v>-0.29784066310397006</c:v>
                </c:pt>
                <c:pt idx="156">
                  <c:v>0.83612488664531526</c:v>
                </c:pt>
                <c:pt idx="157">
                  <c:v>0.67997235008080126</c:v>
                </c:pt>
                <c:pt idx="158">
                  <c:v>-0.32472647373697416</c:v>
                </c:pt>
                <c:pt idx="159">
                  <c:v>3.5343935314330999E-2</c:v>
                </c:pt>
                <c:pt idx="160">
                  <c:v>-1.8139364015399</c:v>
                </c:pt>
                <c:pt idx="161">
                  <c:v>-0.24613356157585023</c:v>
                </c:pt>
                <c:pt idx="162">
                  <c:v>0.54586999163456773</c:v>
                </c:pt>
                <c:pt idx="163">
                  <c:v>0.70642650900507031</c:v>
                </c:pt>
                <c:pt idx="164">
                  <c:v>-0.41064631977665855</c:v>
                </c:pt>
                <c:pt idx="165">
                  <c:v>1.0226418522737479</c:v>
                </c:pt>
                <c:pt idx="166">
                  <c:v>8.2625762713080086E-2</c:v>
                </c:pt>
                <c:pt idx="167">
                  <c:v>0.67469908808817769</c:v>
                </c:pt>
                <c:pt idx="168">
                  <c:v>-0.10261972066728997</c:v>
                </c:pt>
                <c:pt idx="169">
                  <c:v>1.7194448601227763E-2</c:v>
                </c:pt>
                <c:pt idx="170">
                  <c:v>0.29855354285163038</c:v>
                </c:pt>
                <c:pt idx="171">
                  <c:v>-8.9414898423502587E-2</c:v>
                </c:pt>
                <c:pt idx="172">
                  <c:v>-0.47972768132192978</c:v>
                </c:pt>
                <c:pt idx="173">
                  <c:v>-8.8439121019513678E-2</c:v>
                </c:pt>
                <c:pt idx="174">
                  <c:v>-0.6951946375147382</c:v>
                </c:pt>
                <c:pt idx="175">
                  <c:v>-0.52027408063893632</c:v>
                </c:pt>
                <c:pt idx="176">
                  <c:v>-0.9474050098037794</c:v>
                </c:pt>
                <c:pt idx="177">
                  <c:v>-0.59721808051947733</c:v>
                </c:pt>
                <c:pt idx="178">
                  <c:v>0.88730828907390391</c:v>
                </c:pt>
                <c:pt idx="179">
                  <c:v>0.63331091710201193</c:v>
                </c:pt>
                <c:pt idx="180">
                  <c:v>0.55799583927453589</c:v>
                </c:pt>
                <c:pt idx="181">
                  <c:v>0.89053149409434584</c:v>
                </c:pt>
                <c:pt idx="182">
                  <c:v>-0.17374369252594701</c:v>
                </c:pt>
                <c:pt idx="183">
                  <c:v>-9.4418697622485004E-2</c:v>
                </c:pt>
                <c:pt idx="184">
                  <c:v>-0.15383585632429808</c:v>
                </c:pt>
                <c:pt idx="185">
                  <c:v>-0.41758951411248901</c:v>
                </c:pt>
                <c:pt idx="186">
                  <c:v>0.4384166790122872</c:v>
                </c:pt>
                <c:pt idx="187">
                  <c:v>0.79261069491608427</c:v>
                </c:pt>
                <c:pt idx="188">
                  <c:v>0.24168578243425221</c:v>
                </c:pt>
                <c:pt idx="189">
                  <c:v>0.74602981041785821</c:v>
                </c:pt>
                <c:pt idx="190">
                  <c:v>0.50049004709387601</c:v>
                </c:pt>
                <c:pt idx="191">
                  <c:v>0.9413258690012245</c:v>
                </c:pt>
                <c:pt idx="192">
                  <c:v>-1.6280635865737629</c:v>
                </c:pt>
                <c:pt idx="193">
                  <c:v>-0.96922525562108064</c:v>
                </c:pt>
                <c:pt idx="194">
                  <c:v>-2.453635222613276</c:v>
                </c:pt>
                <c:pt idx="195">
                  <c:v>-1.0724333951104441</c:v>
                </c:pt>
                <c:pt idx="196">
                  <c:v>1.205057100905597</c:v>
                </c:pt>
                <c:pt idx="197">
                  <c:v>1.9567787515864445</c:v>
                </c:pt>
                <c:pt idx="198">
                  <c:v>0.35473491447531091</c:v>
                </c:pt>
                <c:pt idx="199">
                  <c:v>1.190812142791823</c:v>
                </c:pt>
                <c:pt idx="200">
                  <c:v>7.3473765864294371</c:v>
                </c:pt>
                <c:pt idx="201">
                  <c:v>4.4352299730116496</c:v>
                </c:pt>
                <c:pt idx="202">
                  <c:v>6.8741599328546545</c:v>
                </c:pt>
                <c:pt idx="203">
                  <c:v>7.3099334555518691</c:v>
                </c:pt>
                <c:pt idx="204">
                  <c:v>18.328578063419037</c:v>
                </c:pt>
                <c:pt idx="205">
                  <c:v>15.905810160190644</c:v>
                </c:pt>
                <c:pt idx="206">
                  <c:v>18.955022320797561</c:v>
                </c:pt>
                <c:pt idx="207">
                  <c:v>18.343702761513786</c:v>
                </c:pt>
                <c:pt idx="208">
                  <c:v>-3.3115780556468373</c:v>
                </c:pt>
                <c:pt idx="209">
                  <c:v>-2.9158948376772491</c:v>
                </c:pt>
                <c:pt idx="210">
                  <c:v>-2.3039111882363645</c:v>
                </c:pt>
                <c:pt idx="211">
                  <c:v>-3.6961635285906365</c:v>
                </c:pt>
                <c:pt idx="212">
                  <c:v>6.0228740309448732</c:v>
                </c:pt>
                <c:pt idx="213">
                  <c:v>4.7979924738822781</c:v>
                </c:pt>
                <c:pt idx="214">
                  <c:v>5.9524962396982399</c:v>
                </c:pt>
                <c:pt idx="215">
                  <c:v>5.6733497511086632</c:v>
                </c:pt>
                <c:pt idx="216">
                  <c:v>3.5391422005323694</c:v>
                </c:pt>
                <c:pt idx="217">
                  <c:v>-0.36708855616052638</c:v>
                </c:pt>
                <c:pt idx="218">
                  <c:v>3.8014603254516723</c:v>
                </c:pt>
                <c:pt idx="219">
                  <c:v>1.7637946495625059</c:v>
                </c:pt>
                <c:pt idx="220">
                  <c:v>0.2937881326285563</c:v>
                </c:pt>
                <c:pt idx="221">
                  <c:v>-0.81182975289263659</c:v>
                </c:pt>
                <c:pt idx="222">
                  <c:v>0.76508940488487553</c:v>
                </c:pt>
                <c:pt idx="223">
                  <c:v>1.0641944495974975</c:v>
                </c:pt>
                <c:pt idx="224">
                  <c:v>0.31332096396137299</c:v>
                </c:pt>
                <c:pt idx="225">
                  <c:v>-0.10643235308456145</c:v>
                </c:pt>
                <c:pt idx="226">
                  <c:v>-3.283682876216877</c:v>
                </c:pt>
                <c:pt idx="227">
                  <c:v>-0.93975532690563535</c:v>
                </c:pt>
                <c:pt idx="228">
                  <c:v>-4.5415254167541681</c:v>
                </c:pt>
                <c:pt idx="229">
                  <c:v>-1.8199453612782872</c:v>
                </c:pt>
                <c:pt idx="230">
                  <c:v>-1.3032488592122233</c:v>
                </c:pt>
                <c:pt idx="231">
                  <c:v>-1.3627956629979066E-2</c:v>
                </c:pt>
                <c:pt idx="232">
                  <c:v>-2.2873965098618703</c:v>
                </c:pt>
                <c:pt idx="233">
                  <c:v>-0.50253549354813787</c:v>
                </c:pt>
                <c:pt idx="234">
                  <c:v>-0.63559197615783425</c:v>
                </c:pt>
                <c:pt idx="235">
                  <c:v>0.46984491420454261</c:v>
                </c:pt>
                <c:pt idx="236">
                  <c:v>-0.64240153811903056</c:v>
                </c:pt>
                <c:pt idx="237">
                  <c:v>-0.49573337159642944</c:v>
                </c:pt>
                <c:pt idx="238">
                  <c:v>0.11412179495312647</c:v>
                </c:pt>
                <c:pt idx="239">
                  <c:v>-0.12380197599240972</c:v>
                </c:pt>
                <c:pt idx="240">
                  <c:v>-0.48713604095095231</c:v>
                </c:pt>
                <c:pt idx="241">
                  <c:v>0.13599178752260521</c:v>
                </c:pt>
                <c:pt idx="242">
                  <c:v>-0.1058406653404671</c:v>
                </c:pt>
                <c:pt idx="243">
                  <c:v>0.63759268194228436</c:v>
                </c:pt>
                <c:pt idx="244">
                  <c:v>-6.5542328540008077E-2</c:v>
                </c:pt>
                <c:pt idx="245">
                  <c:v>0.25497274041926299</c:v>
                </c:pt>
                <c:pt idx="246">
                  <c:v>0.77488781643401738</c:v>
                </c:pt>
                <c:pt idx="247">
                  <c:v>0.22303711004873605</c:v>
                </c:pt>
                <c:pt idx="248">
                  <c:v>0.34231121806944209</c:v>
                </c:pt>
                <c:pt idx="249">
                  <c:v>0.74890781392368888</c:v>
                </c:pt>
                <c:pt idx="250">
                  <c:v>-0.62187743480216839</c:v>
                </c:pt>
                <c:pt idx="251">
                  <c:v>-0.46981863171250737</c:v>
                </c:pt>
                <c:pt idx="252">
                  <c:v>-0.45306326954054732</c:v>
                </c:pt>
                <c:pt idx="253">
                  <c:v>-0.77439182435587239</c:v>
                </c:pt>
                <c:pt idx="254">
                  <c:v>-0.73330529565166769</c:v>
                </c:pt>
                <c:pt idx="255">
                  <c:v>0.31282812569793611</c:v>
                </c:pt>
                <c:pt idx="256">
                  <c:v>-0.79138299663360767</c:v>
                </c:pt>
                <c:pt idx="257">
                  <c:v>0.31688392304130802</c:v>
                </c:pt>
                <c:pt idx="258">
                  <c:v>-4.4869424188079154E-2</c:v>
                </c:pt>
                <c:pt idx="259">
                  <c:v>-0.16273935738707901</c:v>
                </c:pt>
                <c:pt idx="260">
                  <c:v>-1.4862389038890746</c:v>
                </c:pt>
                <c:pt idx="261">
                  <c:v>-0.70761224838733949</c:v>
                </c:pt>
                <c:pt idx="262">
                  <c:v>-2.6486668808434137</c:v>
                </c:pt>
                <c:pt idx="263">
                  <c:v>-0.10024508264757004</c:v>
                </c:pt>
                <c:pt idx="264">
                  <c:v>-0.23830578037063171</c:v>
                </c:pt>
                <c:pt idx="265">
                  <c:v>0.99271178751701716</c:v>
                </c:pt>
                <c:pt idx="266">
                  <c:v>-0.69436298449679079</c:v>
                </c:pt>
                <c:pt idx="267">
                  <c:v>0.8027116295009934</c:v>
                </c:pt>
                <c:pt idx="268">
                  <c:v>1.3553618816128583</c:v>
                </c:pt>
                <c:pt idx="269">
                  <c:v>0.72324209611805812</c:v>
                </c:pt>
                <c:pt idx="270">
                  <c:v>0.70542793172322216</c:v>
                </c:pt>
                <c:pt idx="271">
                  <c:v>0.43792540256365298</c:v>
                </c:pt>
                <c:pt idx="272">
                  <c:v>0.66075179047467292</c:v>
                </c:pt>
                <c:pt idx="273">
                  <c:v>2.7912869879358926E-2</c:v>
                </c:pt>
                <c:pt idx="274">
                  <c:v>0.71728036681706908</c:v>
                </c:pt>
                <c:pt idx="275">
                  <c:v>0.44124858238985798</c:v>
                </c:pt>
                <c:pt idx="276">
                  <c:v>0.25837958787036319</c:v>
                </c:pt>
                <c:pt idx="277">
                  <c:v>0.73200384369860516</c:v>
                </c:pt>
                <c:pt idx="278">
                  <c:v>0.65826627678273919</c:v>
                </c:pt>
                <c:pt idx="279">
                  <c:v>0.71349901011999117</c:v>
                </c:pt>
                <c:pt idx="280">
                  <c:v>1.0914375503477329</c:v>
                </c:pt>
                <c:pt idx="281">
                  <c:v>-0.46496850488224206</c:v>
                </c:pt>
                <c:pt idx="282">
                  <c:v>0.77378648218358492</c:v>
                </c:pt>
                <c:pt idx="283">
                  <c:v>0.63236498765517979</c:v>
                </c:pt>
                <c:pt idx="284">
                  <c:v>-0.49220694854774294</c:v>
                </c:pt>
                <c:pt idx="285">
                  <c:v>-0.60915575871749095</c:v>
                </c:pt>
                <c:pt idx="286">
                  <c:v>0.41068430201465511</c:v>
                </c:pt>
                <c:pt idx="287">
                  <c:v>-0.72275559772991471</c:v>
                </c:pt>
                <c:pt idx="288">
                  <c:v>-0.12859335988762766</c:v>
                </c:pt>
                <c:pt idx="289">
                  <c:v>0.56885798608977911</c:v>
                </c:pt>
                <c:pt idx="290">
                  <c:v>-0.32154765833279697</c:v>
                </c:pt>
                <c:pt idx="291">
                  <c:v>0.6408810234895721</c:v>
                </c:pt>
                <c:pt idx="292">
                  <c:v>0.27908288694357686</c:v>
                </c:pt>
                <c:pt idx="293">
                  <c:v>-0.16405386466369909</c:v>
                </c:pt>
                <c:pt idx="294">
                  <c:v>8.4088127918840794E-2</c:v>
                </c:pt>
                <c:pt idx="295">
                  <c:v>-6.4609841282320168E-2</c:v>
                </c:pt>
                <c:pt idx="296">
                  <c:v>0.32534337819466397</c:v>
                </c:pt>
                <c:pt idx="297">
                  <c:v>1.0550904016198952</c:v>
                </c:pt>
                <c:pt idx="298">
                  <c:v>0.14602905922159692</c:v>
                </c:pt>
                <c:pt idx="299">
                  <c:v>0.5261694887334849</c:v>
                </c:pt>
                <c:pt idx="300">
                  <c:v>2.0165120904442619</c:v>
                </c:pt>
                <c:pt idx="301">
                  <c:v>0.63151210674854008</c:v>
                </c:pt>
                <c:pt idx="302">
                  <c:v>1.5169148839265081</c:v>
                </c:pt>
                <c:pt idx="303">
                  <c:v>1.4222126188508</c:v>
                </c:pt>
                <c:pt idx="304">
                  <c:v>0.84121405179820208</c:v>
                </c:pt>
                <c:pt idx="305">
                  <c:v>0.73645045202355286</c:v>
                </c:pt>
                <c:pt idx="306">
                  <c:v>1.3359790738157751</c:v>
                </c:pt>
                <c:pt idx="307">
                  <c:v>0.56998726219637108</c:v>
                </c:pt>
                <c:pt idx="308">
                  <c:v>0.86923730155660284</c:v>
                </c:pt>
                <c:pt idx="309">
                  <c:v>0.75821702215020981</c:v>
                </c:pt>
                <c:pt idx="310">
                  <c:v>0.67142489045585174</c:v>
                </c:pt>
                <c:pt idx="311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ED-4852-8900-3CED827D1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National vs. semiconductor index correlation (8Q rolling, annualized)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AI incoming investment share -- full sample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data_ai_inv_share_full!$H$2:$H$441</c:f>
              <c:numCache>
                <c:formatCode>General</c:formatCode>
                <c:ptCount val="440"/>
                <c:pt idx="0">
                  <c:v>7.6773113441487876E-3</c:v>
                </c:pt>
                <c:pt idx="1">
                  <c:v>7.6773113441487876E-3</c:v>
                </c:pt>
                <c:pt idx="2">
                  <c:v>7.6773113441487876E-3</c:v>
                </c:pt>
                <c:pt idx="3">
                  <c:v>7.6773113441487876E-3</c:v>
                </c:pt>
                <c:pt idx="4">
                  <c:v>5.3022968855759911E-2</c:v>
                </c:pt>
                <c:pt idx="5">
                  <c:v>5.3022968855759911E-2</c:v>
                </c:pt>
                <c:pt idx="6">
                  <c:v>5.3022968855759911E-2</c:v>
                </c:pt>
                <c:pt idx="7">
                  <c:v>5.3022968855759911E-2</c:v>
                </c:pt>
                <c:pt idx="8">
                  <c:v>5.9589469522748573E-2</c:v>
                </c:pt>
                <c:pt idx="9">
                  <c:v>5.9589469522748573E-2</c:v>
                </c:pt>
                <c:pt idx="10">
                  <c:v>5.9589469522748573E-2</c:v>
                </c:pt>
                <c:pt idx="11">
                  <c:v>5.9589469522748573E-2</c:v>
                </c:pt>
                <c:pt idx="12">
                  <c:v>9.6177469626261142E-2</c:v>
                </c:pt>
                <c:pt idx="13">
                  <c:v>9.6177469626261142E-2</c:v>
                </c:pt>
                <c:pt idx="14">
                  <c:v>9.6177469626261142E-2</c:v>
                </c:pt>
                <c:pt idx="15">
                  <c:v>9.6177469626261142E-2</c:v>
                </c:pt>
                <c:pt idx="16">
                  <c:v>0.1056000115914431</c:v>
                </c:pt>
                <c:pt idx="17">
                  <c:v>0.1056000115914431</c:v>
                </c:pt>
                <c:pt idx="18">
                  <c:v>0.1056000115914431</c:v>
                </c:pt>
                <c:pt idx="19">
                  <c:v>0.1056000115914431</c:v>
                </c:pt>
                <c:pt idx="20">
                  <c:v>0.12677194132347211</c:v>
                </c:pt>
                <c:pt idx="21">
                  <c:v>0.12677194132347211</c:v>
                </c:pt>
                <c:pt idx="22">
                  <c:v>0.12677194132347211</c:v>
                </c:pt>
                <c:pt idx="23">
                  <c:v>0.12677194132347211</c:v>
                </c:pt>
                <c:pt idx="24">
                  <c:v>0.16609569206651981</c:v>
                </c:pt>
                <c:pt idx="25">
                  <c:v>0.16609569206651981</c:v>
                </c:pt>
                <c:pt idx="26">
                  <c:v>0.16609569206651981</c:v>
                </c:pt>
                <c:pt idx="27">
                  <c:v>0.16609569206651981</c:v>
                </c:pt>
                <c:pt idx="28">
                  <c:v>0.16058654708636669</c:v>
                </c:pt>
                <c:pt idx="29">
                  <c:v>0.16058654708636669</c:v>
                </c:pt>
                <c:pt idx="30">
                  <c:v>0.16058654708636669</c:v>
                </c:pt>
                <c:pt idx="31">
                  <c:v>0.16058654708636669</c:v>
                </c:pt>
                <c:pt idx="32">
                  <c:v>0.34832254059447909</c:v>
                </c:pt>
                <c:pt idx="33">
                  <c:v>0.34832254059447909</c:v>
                </c:pt>
                <c:pt idx="34">
                  <c:v>0.34832254059447909</c:v>
                </c:pt>
                <c:pt idx="35">
                  <c:v>0.34832254059447909</c:v>
                </c:pt>
                <c:pt idx="36">
                  <c:v>0.30910634856214708</c:v>
                </c:pt>
                <c:pt idx="37">
                  <c:v>0.30910634856214708</c:v>
                </c:pt>
                <c:pt idx="38">
                  <c:v>0.30910634856214708</c:v>
                </c:pt>
                <c:pt idx="39">
                  <c:v>0.30910634856214708</c:v>
                </c:pt>
                <c:pt idx="40">
                  <c:v>0.17315909372686161</c:v>
                </c:pt>
                <c:pt idx="41">
                  <c:v>0.17315909372686161</c:v>
                </c:pt>
                <c:pt idx="42">
                  <c:v>0.17315909372686161</c:v>
                </c:pt>
                <c:pt idx="43">
                  <c:v>0.17315909372686161</c:v>
                </c:pt>
                <c:pt idx="44">
                  <c:v>0.48977750567916351</c:v>
                </c:pt>
                <c:pt idx="45">
                  <c:v>0.48977750567916351</c:v>
                </c:pt>
                <c:pt idx="46">
                  <c:v>0.48977750567916351</c:v>
                </c:pt>
                <c:pt idx="47">
                  <c:v>0.48977750567916351</c:v>
                </c:pt>
                <c:pt idx="48">
                  <c:v>0.1513774400939549</c:v>
                </c:pt>
                <c:pt idx="49">
                  <c:v>0.1513774400939549</c:v>
                </c:pt>
                <c:pt idx="50">
                  <c:v>0.1513774400939549</c:v>
                </c:pt>
                <c:pt idx="51">
                  <c:v>0.1513774400939549</c:v>
                </c:pt>
                <c:pt idx="52">
                  <c:v>0.66525710185055431</c:v>
                </c:pt>
                <c:pt idx="53">
                  <c:v>0.66525710185055431</c:v>
                </c:pt>
                <c:pt idx="54">
                  <c:v>0.66525710185055431</c:v>
                </c:pt>
                <c:pt idx="55">
                  <c:v>0.66525710185055431</c:v>
                </c:pt>
                <c:pt idx="56">
                  <c:v>0.31283116111195841</c:v>
                </c:pt>
                <c:pt idx="57">
                  <c:v>0.31283116111195841</c:v>
                </c:pt>
                <c:pt idx="58">
                  <c:v>0.31283116111195841</c:v>
                </c:pt>
                <c:pt idx="59">
                  <c:v>0.31283116111195841</c:v>
                </c:pt>
                <c:pt idx="60">
                  <c:v>0.35492531336208027</c:v>
                </c:pt>
                <c:pt idx="61">
                  <c:v>0.35492531336208027</c:v>
                </c:pt>
                <c:pt idx="62">
                  <c:v>0.35492531336208027</c:v>
                </c:pt>
                <c:pt idx="63">
                  <c:v>0.35492531336208027</c:v>
                </c:pt>
                <c:pt idx="64">
                  <c:v>0.8845732944795045</c:v>
                </c:pt>
                <c:pt idx="65">
                  <c:v>0.8845732944795045</c:v>
                </c:pt>
                <c:pt idx="66">
                  <c:v>0.8845732944795045</c:v>
                </c:pt>
                <c:pt idx="67">
                  <c:v>0.8845732944795045</c:v>
                </c:pt>
                <c:pt idx="68">
                  <c:v>0.78222990278386606</c:v>
                </c:pt>
                <c:pt idx="69">
                  <c:v>0.78222990278386606</c:v>
                </c:pt>
                <c:pt idx="70">
                  <c:v>0.78222990278386606</c:v>
                </c:pt>
                <c:pt idx="71">
                  <c:v>0.78222990278386606</c:v>
                </c:pt>
                <c:pt idx="72">
                  <c:v>0.90172560603950691</c:v>
                </c:pt>
                <c:pt idx="73">
                  <c:v>0.90172560603950691</c:v>
                </c:pt>
                <c:pt idx="74">
                  <c:v>0.90172560603950691</c:v>
                </c:pt>
                <c:pt idx="75">
                  <c:v>0.90172560603950691</c:v>
                </c:pt>
                <c:pt idx="76">
                  <c:v>0.70099774387898239</c:v>
                </c:pt>
                <c:pt idx="77">
                  <c:v>0.70099774387898239</c:v>
                </c:pt>
                <c:pt idx="78">
                  <c:v>0.70099774387898239</c:v>
                </c:pt>
                <c:pt idx="79">
                  <c:v>0.70099774387898239</c:v>
                </c:pt>
                <c:pt idx="80">
                  <c:v>1.1240323327321109</c:v>
                </c:pt>
                <c:pt idx="81">
                  <c:v>1.1240323327321109</c:v>
                </c:pt>
                <c:pt idx="82">
                  <c:v>1.1240323327321109</c:v>
                </c:pt>
                <c:pt idx="83">
                  <c:v>1.1240323327321109</c:v>
                </c:pt>
                <c:pt idx="84">
                  <c:v>1.388852621215412</c:v>
                </c:pt>
                <c:pt idx="85">
                  <c:v>1.388852621215412</c:v>
                </c:pt>
                <c:pt idx="86">
                  <c:v>1.388852621215412</c:v>
                </c:pt>
                <c:pt idx="87">
                  <c:v>1.388852621215412</c:v>
                </c:pt>
                <c:pt idx="88">
                  <c:v>1.1031766805101459</c:v>
                </c:pt>
                <c:pt idx="89">
                  <c:v>1.1031766805101459</c:v>
                </c:pt>
                <c:pt idx="90">
                  <c:v>1.1031766805101459</c:v>
                </c:pt>
                <c:pt idx="91">
                  <c:v>1.1031766805101459</c:v>
                </c:pt>
                <c:pt idx="92">
                  <c:v>1.7278102370699631</c:v>
                </c:pt>
                <c:pt idx="93">
                  <c:v>1.7278102370699631</c:v>
                </c:pt>
                <c:pt idx="94">
                  <c:v>1.7278102370699631</c:v>
                </c:pt>
                <c:pt idx="95">
                  <c:v>1.7278102370699631</c:v>
                </c:pt>
                <c:pt idx="96">
                  <c:v>2.4831104150519061</c:v>
                </c:pt>
                <c:pt idx="97">
                  <c:v>2.4831104150519061</c:v>
                </c:pt>
                <c:pt idx="98">
                  <c:v>2.4831104150519061</c:v>
                </c:pt>
                <c:pt idx="99">
                  <c:v>2.4831104150519061</c:v>
                </c:pt>
                <c:pt idx="100">
                  <c:v>2.6363043986490182</c:v>
                </c:pt>
                <c:pt idx="101">
                  <c:v>2.6363043986490182</c:v>
                </c:pt>
                <c:pt idx="102">
                  <c:v>2.6363043986490182</c:v>
                </c:pt>
                <c:pt idx="103">
                  <c:v>2.6363043986490182</c:v>
                </c:pt>
                <c:pt idx="104">
                  <c:v>3.7776131748386681</c:v>
                </c:pt>
                <c:pt idx="105">
                  <c:v>3.7776131748386681</c:v>
                </c:pt>
                <c:pt idx="106">
                  <c:v>3.7776131748386681</c:v>
                </c:pt>
                <c:pt idx="107">
                  <c:v>3.7776131748386681</c:v>
                </c:pt>
                <c:pt idx="108">
                  <c:v>4.1207891005128294</c:v>
                </c:pt>
                <c:pt idx="109">
                  <c:v>4.1207891005128294</c:v>
                </c:pt>
                <c:pt idx="110">
                  <c:v>4.1207891005128294</c:v>
                </c:pt>
                <c:pt idx="111">
                  <c:v>4.1207891005128294</c:v>
                </c:pt>
                <c:pt idx="112">
                  <c:v>6.8156919307247312</c:v>
                </c:pt>
                <c:pt idx="113">
                  <c:v>6.8156919307247312</c:v>
                </c:pt>
                <c:pt idx="114">
                  <c:v>6.8156919307247312</c:v>
                </c:pt>
                <c:pt idx="115">
                  <c:v>6.8156919307247312</c:v>
                </c:pt>
                <c:pt idx="116">
                  <c:v>8.1761583775401121</c:v>
                </c:pt>
                <c:pt idx="117">
                  <c:v>8.1761583775401121</c:v>
                </c:pt>
                <c:pt idx="118">
                  <c:v>8.1761583775401121</c:v>
                </c:pt>
                <c:pt idx="119">
                  <c:v>8.1761583775401121</c:v>
                </c:pt>
                <c:pt idx="120">
                  <c:v>7.6870184113631561</c:v>
                </c:pt>
                <c:pt idx="121">
                  <c:v>7.6870184113631561</c:v>
                </c:pt>
                <c:pt idx="122">
                  <c:v>7.6870184113631561</c:v>
                </c:pt>
                <c:pt idx="123">
                  <c:v>7.6870184113631561</c:v>
                </c:pt>
                <c:pt idx="124">
                  <c:v>7.109230495453148</c:v>
                </c:pt>
                <c:pt idx="125">
                  <c:v>7.109230495453148</c:v>
                </c:pt>
                <c:pt idx="126">
                  <c:v>7.109230495453148</c:v>
                </c:pt>
                <c:pt idx="127">
                  <c:v>7.109230495453148</c:v>
                </c:pt>
                <c:pt idx="128">
                  <c:v>7.280321526767084</c:v>
                </c:pt>
                <c:pt idx="129">
                  <c:v>7.280321526767084</c:v>
                </c:pt>
                <c:pt idx="130">
                  <c:v>7.280321526767084</c:v>
                </c:pt>
                <c:pt idx="131">
                  <c:v>7.280321526767084</c:v>
                </c:pt>
                <c:pt idx="132">
                  <c:v>0.2475573113650236</c:v>
                </c:pt>
                <c:pt idx="133">
                  <c:v>0.2475573113650236</c:v>
                </c:pt>
                <c:pt idx="134">
                  <c:v>0.2475573113650236</c:v>
                </c:pt>
                <c:pt idx="135">
                  <c:v>0.2475573113650236</c:v>
                </c:pt>
                <c:pt idx="136">
                  <c:v>0.32671076843180541</c:v>
                </c:pt>
                <c:pt idx="137">
                  <c:v>0.32671076843180541</c:v>
                </c:pt>
                <c:pt idx="138">
                  <c:v>0.32671076843180541</c:v>
                </c:pt>
                <c:pt idx="139">
                  <c:v>0.32671076843180541</c:v>
                </c:pt>
                <c:pt idx="140">
                  <c:v>0.31053671124002452</c:v>
                </c:pt>
                <c:pt idx="141">
                  <c:v>0.31053671124002452</c:v>
                </c:pt>
                <c:pt idx="142">
                  <c:v>0.31053671124002452</c:v>
                </c:pt>
                <c:pt idx="143">
                  <c:v>0.31053671124002452</c:v>
                </c:pt>
                <c:pt idx="144">
                  <c:v>0.37142317776040679</c:v>
                </c:pt>
                <c:pt idx="145">
                  <c:v>0.37142317776040679</c:v>
                </c:pt>
                <c:pt idx="146">
                  <c:v>0.37142317776040679</c:v>
                </c:pt>
                <c:pt idx="147">
                  <c:v>0.37142317776040679</c:v>
                </c:pt>
                <c:pt idx="148">
                  <c:v>0.4611968442438833</c:v>
                </c:pt>
                <c:pt idx="149">
                  <c:v>0.4611968442438833</c:v>
                </c:pt>
                <c:pt idx="150">
                  <c:v>0.4611968442438833</c:v>
                </c:pt>
                <c:pt idx="151">
                  <c:v>0.4611968442438833</c:v>
                </c:pt>
                <c:pt idx="152">
                  <c:v>0.60415892118981396</c:v>
                </c:pt>
                <c:pt idx="153">
                  <c:v>0.60415892118981396</c:v>
                </c:pt>
                <c:pt idx="154">
                  <c:v>0.60415892118981396</c:v>
                </c:pt>
                <c:pt idx="155">
                  <c:v>0.60415892118981396</c:v>
                </c:pt>
                <c:pt idx="156">
                  <c:v>0.95674972420897775</c:v>
                </c:pt>
                <c:pt idx="157">
                  <c:v>0.95674972420897775</c:v>
                </c:pt>
                <c:pt idx="158">
                  <c:v>0.95674972420897775</c:v>
                </c:pt>
                <c:pt idx="159">
                  <c:v>0.95674972420897775</c:v>
                </c:pt>
                <c:pt idx="160">
                  <c:v>0.7506448684246857</c:v>
                </c:pt>
                <c:pt idx="161">
                  <c:v>0.7506448684246857</c:v>
                </c:pt>
                <c:pt idx="162">
                  <c:v>0.7506448684246857</c:v>
                </c:pt>
                <c:pt idx="163">
                  <c:v>0.7506448684246857</c:v>
                </c:pt>
                <c:pt idx="164">
                  <c:v>0.99080783677360684</c:v>
                </c:pt>
                <c:pt idx="165">
                  <c:v>0.99080783677360684</c:v>
                </c:pt>
                <c:pt idx="166">
                  <c:v>0.99080783677360684</c:v>
                </c:pt>
                <c:pt idx="167">
                  <c:v>0.99080783677360684</c:v>
                </c:pt>
                <c:pt idx="168">
                  <c:v>0.80485602708870874</c:v>
                </c:pt>
                <c:pt idx="169">
                  <c:v>0.80485602708870874</c:v>
                </c:pt>
                <c:pt idx="170">
                  <c:v>0.80485602708870874</c:v>
                </c:pt>
                <c:pt idx="171">
                  <c:v>0.80485602708870874</c:v>
                </c:pt>
                <c:pt idx="172">
                  <c:v>0.90409953771843354</c:v>
                </c:pt>
                <c:pt idx="173">
                  <c:v>0.90409953771843354</c:v>
                </c:pt>
                <c:pt idx="174">
                  <c:v>0.90409953771843354</c:v>
                </c:pt>
                <c:pt idx="175">
                  <c:v>0.90409953771843354</c:v>
                </c:pt>
                <c:pt idx="176">
                  <c:v>0.60506274617036004</c:v>
                </c:pt>
                <c:pt idx="177">
                  <c:v>0.60506274617036004</c:v>
                </c:pt>
                <c:pt idx="178">
                  <c:v>0.60506274617036004</c:v>
                </c:pt>
                <c:pt idx="179">
                  <c:v>0.60506274617036004</c:v>
                </c:pt>
                <c:pt idx="180">
                  <c:v>0.52473108957558956</c:v>
                </c:pt>
                <c:pt idx="181">
                  <c:v>0.52473108957558956</c:v>
                </c:pt>
                <c:pt idx="182">
                  <c:v>0.52473108957558956</c:v>
                </c:pt>
                <c:pt idx="183">
                  <c:v>0.52473108957558956</c:v>
                </c:pt>
                <c:pt idx="184">
                  <c:v>1.0157922572339311</c:v>
                </c:pt>
                <c:pt idx="185">
                  <c:v>1.0157922572339311</c:v>
                </c:pt>
                <c:pt idx="186">
                  <c:v>1.0157922572339311</c:v>
                </c:pt>
                <c:pt idx="187">
                  <c:v>1.0157922572339311</c:v>
                </c:pt>
                <c:pt idx="188">
                  <c:v>1.179774587977132</c:v>
                </c:pt>
                <c:pt idx="189">
                  <c:v>1.179774587977132</c:v>
                </c:pt>
                <c:pt idx="190">
                  <c:v>1.179774587977132</c:v>
                </c:pt>
                <c:pt idx="191">
                  <c:v>1.179774587977132</c:v>
                </c:pt>
                <c:pt idx="192">
                  <c:v>1.607545862030811</c:v>
                </c:pt>
                <c:pt idx="193">
                  <c:v>1.607545862030811</c:v>
                </c:pt>
                <c:pt idx="194">
                  <c:v>1.607545862030811</c:v>
                </c:pt>
                <c:pt idx="195">
                  <c:v>1.607545862030811</c:v>
                </c:pt>
                <c:pt idx="196">
                  <c:v>1.637512686458964</c:v>
                </c:pt>
                <c:pt idx="197">
                  <c:v>1.637512686458964</c:v>
                </c:pt>
                <c:pt idx="198">
                  <c:v>1.637512686458964</c:v>
                </c:pt>
                <c:pt idx="199">
                  <c:v>1.637512686458964</c:v>
                </c:pt>
                <c:pt idx="200">
                  <c:v>1.5297339340232221</c:v>
                </c:pt>
                <c:pt idx="201">
                  <c:v>1.5297339340232221</c:v>
                </c:pt>
                <c:pt idx="202">
                  <c:v>1.5297339340232221</c:v>
                </c:pt>
                <c:pt idx="203">
                  <c:v>1.5297339340232221</c:v>
                </c:pt>
                <c:pt idx="204">
                  <c:v>1.409708663565979</c:v>
                </c:pt>
                <c:pt idx="205">
                  <c:v>1.409708663565979</c:v>
                </c:pt>
                <c:pt idx="206">
                  <c:v>1.409708663565979</c:v>
                </c:pt>
                <c:pt idx="207">
                  <c:v>1.409708663565979</c:v>
                </c:pt>
                <c:pt idx="208">
                  <c:v>1.308722193926259</c:v>
                </c:pt>
                <c:pt idx="209">
                  <c:v>1.308722193926259</c:v>
                </c:pt>
                <c:pt idx="210">
                  <c:v>1.308722193926259</c:v>
                </c:pt>
                <c:pt idx="211">
                  <c:v>1.308722193926259</c:v>
                </c:pt>
                <c:pt idx="212">
                  <c:v>2.465185230482875</c:v>
                </c:pt>
                <c:pt idx="213">
                  <c:v>2.465185230482875</c:v>
                </c:pt>
                <c:pt idx="214">
                  <c:v>2.465185230482875</c:v>
                </c:pt>
                <c:pt idx="215">
                  <c:v>2.465185230482875</c:v>
                </c:pt>
                <c:pt idx="216">
                  <c:v>1.3132536844973679</c:v>
                </c:pt>
                <c:pt idx="217">
                  <c:v>1.3132536844973679</c:v>
                </c:pt>
                <c:pt idx="218">
                  <c:v>1.3132536844973679</c:v>
                </c:pt>
                <c:pt idx="219">
                  <c:v>1.3132536844973679</c:v>
                </c:pt>
                <c:pt idx="220">
                  <c:v>1.7249833491190609</c:v>
                </c:pt>
                <c:pt idx="221">
                  <c:v>1.7249833491190609</c:v>
                </c:pt>
                <c:pt idx="222">
                  <c:v>1.7249833491190609</c:v>
                </c:pt>
                <c:pt idx="223">
                  <c:v>1.7249833491190609</c:v>
                </c:pt>
                <c:pt idx="224">
                  <c:v>3.5710800648607801</c:v>
                </c:pt>
                <c:pt idx="225">
                  <c:v>3.5710800648607801</c:v>
                </c:pt>
                <c:pt idx="226">
                  <c:v>3.5710800648607801</c:v>
                </c:pt>
                <c:pt idx="227">
                  <c:v>3.5710800648607801</c:v>
                </c:pt>
                <c:pt idx="228">
                  <c:v>5.2254768121978712</c:v>
                </c:pt>
                <c:pt idx="229">
                  <c:v>5.2254768121978712</c:v>
                </c:pt>
                <c:pt idx="230">
                  <c:v>5.2254768121978712</c:v>
                </c:pt>
                <c:pt idx="231">
                  <c:v>5.2254768121978712</c:v>
                </c:pt>
                <c:pt idx="232">
                  <c:v>5.4419309718861699</c:v>
                </c:pt>
                <c:pt idx="233">
                  <c:v>5.4419309718861699</c:v>
                </c:pt>
                <c:pt idx="234">
                  <c:v>5.4419309718861699</c:v>
                </c:pt>
                <c:pt idx="235">
                  <c:v>5.4419309718861699</c:v>
                </c:pt>
                <c:pt idx="236">
                  <c:v>5.1734932935653699</c:v>
                </c:pt>
                <c:pt idx="237">
                  <c:v>5.1734932935653699</c:v>
                </c:pt>
                <c:pt idx="238">
                  <c:v>5.1734932935653699</c:v>
                </c:pt>
                <c:pt idx="239">
                  <c:v>5.1734932935653699</c:v>
                </c:pt>
                <c:pt idx="240">
                  <c:v>6.3305576015426448</c:v>
                </c:pt>
                <c:pt idx="241">
                  <c:v>6.3305576015426448</c:v>
                </c:pt>
                <c:pt idx="242">
                  <c:v>6.3305576015426448</c:v>
                </c:pt>
                <c:pt idx="243">
                  <c:v>6.3305576015426448</c:v>
                </c:pt>
                <c:pt idx="244">
                  <c:v>7.3790518114153141</c:v>
                </c:pt>
                <c:pt idx="245">
                  <c:v>7.3790518114153141</c:v>
                </c:pt>
                <c:pt idx="246">
                  <c:v>7.3790518114153141</c:v>
                </c:pt>
                <c:pt idx="247">
                  <c:v>7.3790518114153141</c:v>
                </c:pt>
                <c:pt idx="248">
                  <c:v>9.6347394516842577</c:v>
                </c:pt>
                <c:pt idx="249">
                  <c:v>9.6347394516842577</c:v>
                </c:pt>
                <c:pt idx="250">
                  <c:v>9.6347394516842577</c:v>
                </c:pt>
                <c:pt idx="251">
                  <c:v>9.6347394516842577</c:v>
                </c:pt>
                <c:pt idx="252">
                  <c:v>10.29193780166767</c:v>
                </c:pt>
                <c:pt idx="253">
                  <c:v>10.29193780166767</c:v>
                </c:pt>
                <c:pt idx="254">
                  <c:v>10.29193780166767</c:v>
                </c:pt>
                <c:pt idx="255">
                  <c:v>10.29193780166767</c:v>
                </c:pt>
                <c:pt idx="256">
                  <c:v>11.0988927927906</c:v>
                </c:pt>
                <c:pt idx="257">
                  <c:v>11.0988927927906</c:v>
                </c:pt>
                <c:pt idx="258">
                  <c:v>11.0988927927906</c:v>
                </c:pt>
                <c:pt idx="259">
                  <c:v>11.0988927927906</c:v>
                </c:pt>
                <c:pt idx="260">
                  <c:v>10.19774333808712</c:v>
                </c:pt>
                <c:pt idx="261">
                  <c:v>10.19774333808712</c:v>
                </c:pt>
                <c:pt idx="262">
                  <c:v>10.19774333808712</c:v>
                </c:pt>
                <c:pt idx="263">
                  <c:v>10.19774333808712</c:v>
                </c:pt>
                <c:pt idx="264">
                  <c:v>4.0724219866131062E-2</c:v>
                </c:pt>
                <c:pt idx="265">
                  <c:v>4.0724219866131062E-2</c:v>
                </c:pt>
                <c:pt idx="266">
                  <c:v>4.0724219866131062E-2</c:v>
                </c:pt>
                <c:pt idx="267">
                  <c:v>4.0724219866131062E-2</c:v>
                </c:pt>
                <c:pt idx="268">
                  <c:v>4.946154241423438E-2</c:v>
                </c:pt>
                <c:pt idx="269">
                  <c:v>4.946154241423438E-2</c:v>
                </c:pt>
                <c:pt idx="270">
                  <c:v>4.946154241423438E-2</c:v>
                </c:pt>
                <c:pt idx="271">
                  <c:v>4.946154241423438E-2</c:v>
                </c:pt>
                <c:pt idx="272">
                  <c:v>7.3230975957205416E-2</c:v>
                </c:pt>
                <c:pt idx="273">
                  <c:v>7.3230975957205416E-2</c:v>
                </c:pt>
                <c:pt idx="274">
                  <c:v>7.3230975957205416E-2</c:v>
                </c:pt>
                <c:pt idx="275">
                  <c:v>7.3230975957205416E-2</c:v>
                </c:pt>
                <c:pt idx="276">
                  <c:v>6.4420530915232005E-2</c:v>
                </c:pt>
                <c:pt idx="277">
                  <c:v>6.4420530915232005E-2</c:v>
                </c:pt>
                <c:pt idx="278">
                  <c:v>6.4420530915232005E-2</c:v>
                </c:pt>
                <c:pt idx="279">
                  <c:v>6.4420530915232005E-2</c:v>
                </c:pt>
                <c:pt idx="280">
                  <c:v>8.451228512832766E-2</c:v>
                </c:pt>
                <c:pt idx="281">
                  <c:v>8.451228512832766E-2</c:v>
                </c:pt>
                <c:pt idx="282">
                  <c:v>8.451228512832766E-2</c:v>
                </c:pt>
                <c:pt idx="283">
                  <c:v>8.451228512832766E-2</c:v>
                </c:pt>
                <c:pt idx="284">
                  <c:v>8.2963646418187362E-2</c:v>
                </c:pt>
                <c:pt idx="285">
                  <c:v>8.2963646418187362E-2</c:v>
                </c:pt>
                <c:pt idx="286">
                  <c:v>8.2963646418187362E-2</c:v>
                </c:pt>
                <c:pt idx="287">
                  <c:v>8.2963646418187362E-2</c:v>
                </c:pt>
                <c:pt idx="288">
                  <c:v>0.1125684434133815</c:v>
                </c:pt>
                <c:pt idx="289">
                  <c:v>0.1125684434133815</c:v>
                </c:pt>
                <c:pt idx="290">
                  <c:v>0.1125684434133815</c:v>
                </c:pt>
                <c:pt idx="291">
                  <c:v>0.1125684434133815</c:v>
                </c:pt>
                <c:pt idx="292">
                  <c:v>0.12710526929016649</c:v>
                </c:pt>
                <c:pt idx="293">
                  <c:v>0.12710526929016649</c:v>
                </c:pt>
                <c:pt idx="294">
                  <c:v>0.12710526929016649</c:v>
                </c:pt>
                <c:pt idx="295">
                  <c:v>0.12710526929016649</c:v>
                </c:pt>
                <c:pt idx="296">
                  <c:v>8.2843043821704931E-2</c:v>
                </c:pt>
                <c:pt idx="297">
                  <c:v>8.2843043821704931E-2</c:v>
                </c:pt>
                <c:pt idx="298">
                  <c:v>8.2843043821704931E-2</c:v>
                </c:pt>
                <c:pt idx="299">
                  <c:v>8.2843043821704931E-2</c:v>
                </c:pt>
                <c:pt idx="300">
                  <c:v>0.1177447291038284</c:v>
                </c:pt>
                <c:pt idx="301">
                  <c:v>0.1177447291038284</c:v>
                </c:pt>
                <c:pt idx="302">
                  <c:v>0.1177447291038284</c:v>
                </c:pt>
                <c:pt idx="303">
                  <c:v>0.1177447291038284</c:v>
                </c:pt>
                <c:pt idx="304">
                  <c:v>0.1147657704770987</c:v>
                </c:pt>
                <c:pt idx="305">
                  <c:v>0.1147657704770987</c:v>
                </c:pt>
                <c:pt idx="306">
                  <c:v>0.1147657704770987</c:v>
                </c:pt>
                <c:pt idx="307">
                  <c:v>0.1147657704770987</c:v>
                </c:pt>
                <c:pt idx="308">
                  <c:v>6.4495721704754719E-2</c:v>
                </c:pt>
                <c:pt idx="309">
                  <c:v>6.4495721704754719E-2</c:v>
                </c:pt>
                <c:pt idx="310">
                  <c:v>6.4495721704754719E-2</c:v>
                </c:pt>
                <c:pt idx="311">
                  <c:v>6.4495721704754719E-2</c:v>
                </c:pt>
                <c:pt idx="312">
                  <c:v>4.895947464224041E-2</c:v>
                </c:pt>
                <c:pt idx="313">
                  <c:v>4.895947464224041E-2</c:v>
                </c:pt>
                <c:pt idx="314">
                  <c:v>4.895947464224041E-2</c:v>
                </c:pt>
                <c:pt idx="315">
                  <c:v>4.895947464224041E-2</c:v>
                </c:pt>
                <c:pt idx="316">
                  <c:v>4.7872991480586879E-2</c:v>
                </c:pt>
                <c:pt idx="317">
                  <c:v>4.7872991480586879E-2</c:v>
                </c:pt>
                <c:pt idx="318">
                  <c:v>4.7872991480586879E-2</c:v>
                </c:pt>
                <c:pt idx="319">
                  <c:v>4.7872991480586879E-2</c:v>
                </c:pt>
                <c:pt idx="320">
                  <c:v>7.9752209883890743E-2</c:v>
                </c:pt>
                <c:pt idx="321">
                  <c:v>7.9752209883890743E-2</c:v>
                </c:pt>
                <c:pt idx="322">
                  <c:v>7.9752209883890743E-2</c:v>
                </c:pt>
                <c:pt idx="323">
                  <c:v>7.9752209883890743E-2</c:v>
                </c:pt>
                <c:pt idx="324">
                  <c:v>7.456030390779872E-2</c:v>
                </c:pt>
                <c:pt idx="325">
                  <c:v>7.456030390779872E-2</c:v>
                </c:pt>
                <c:pt idx="326">
                  <c:v>7.456030390779872E-2</c:v>
                </c:pt>
                <c:pt idx="327">
                  <c:v>7.456030390779872E-2</c:v>
                </c:pt>
                <c:pt idx="328">
                  <c:v>0.10567749457490171</c:v>
                </c:pt>
                <c:pt idx="329">
                  <c:v>0.10567749457490171</c:v>
                </c:pt>
                <c:pt idx="330">
                  <c:v>0.10567749457490171</c:v>
                </c:pt>
                <c:pt idx="331">
                  <c:v>0.10567749457490171</c:v>
                </c:pt>
                <c:pt idx="332">
                  <c:v>0.19431646820822901</c:v>
                </c:pt>
                <c:pt idx="333">
                  <c:v>0.19431646820822901</c:v>
                </c:pt>
                <c:pt idx="334">
                  <c:v>0.19431646820822901</c:v>
                </c:pt>
                <c:pt idx="335">
                  <c:v>0.19431646820822901</c:v>
                </c:pt>
                <c:pt idx="336">
                  <c:v>0.18202263906573379</c:v>
                </c:pt>
                <c:pt idx="337">
                  <c:v>0.18202263906573379</c:v>
                </c:pt>
                <c:pt idx="338">
                  <c:v>0.18202263906573379</c:v>
                </c:pt>
                <c:pt idx="339">
                  <c:v>0.18202263906573379</c:v>
                </c:pt>
                <c:pt idx="340">
                  <c:v>0.177052568927489</c:v>
                </c:pt>
                <c:pt idx="341">
                  <c:v>0.177052568927489</c:v>
                </c:pt>
                <c:pt idx="342">
                  <c:v>0.177052568927489</c:v>
                </c:pt>
                <c:pt idx="343">
                  <c:v>0.177052568927489</c:v>
                </c:pt>
                <c:pt idx="344">
                  <c:v>0.27455983249816451</c:v>
                </c:pt>
                <c:pt idx="345">
                  <c:v>0.27455983249816451</c:v>
                </c:pt>
                <c:pt idx="346">
                  <c:v>0.27455983249816451</c:v>
                </c:pt>
                <c:pt idx="347">
                  <c:v>0.27455983249816451</c:v>
                </c:pt>
                <c:pt idx="348">
                  <c:v>0.40820851895901789</c:v>
                </c:pt>
                <c:pt idx="349">
                  <c:v>0.40820851895901789</c:v>
                </c:pt>
                <c:pt idx="350">
                  <c:v>0.40820851895901789</c:v>
                </c:pt>
                <c:pt idx="351">
                  <c:v>0.40820851895901789</c:v>
                </c:pt>
                <c:pt idx="352">
                  <c:v>0.64469227395689221</c:v>
                </c:pt>
                <c:pt idx="353">
                  <c:v>0.64469227395689221</c:v>
                </c:pt>
                <c:pt idx="354">
                  <c:v>0.64469227395689221</c:v>
                </c:pt>
                <c:pt idx="355">
                  <c:v>0.64469227395689221</c:v>
                </c:pt>
                <c:pt idx="356">
                  <c:v>0.88869438219391805</c:v>
                </c:pt>
                <c:pt idx="357">
                  <c:v>0.88869438219391805</c:v>
                </c:pt>
                <c:pt idx="358">
                  <c:v>0.88869438219391805</c:v>
                </c:pt>
                <c:pt idx="359">
                  <c:v>0.88869438219391805</c:v>
                </c:pt>
                <c:pt idx="360">
                  <c:v>0.91375556201106944</c:v>
                </c:pt>
                <c:pt idx="361">
                  <c:v>0.91375556201106944</c:v>
                </c:pt>
                <c:pt idx="362">
                  <c:v>0.91375556201106944</c:v>
                </c:pt>
                <c:pt idx="363">
                  <c:v>0.91375556201106944</c:v>
                </c:pt>
                <c:pt idx="364">
                  <c:v>1.074386415797439</c:v>
                </c:pt>
                <c:pt idx="365">
                  <c:v>1.074386415797439</c:v>
                </c:pt>
                <c:pt idx="366">
                  <c:v>1.074386415797439</c:v>
                </c:pt>
                <c:pt idx="367">
                  <c:v>1.074386415797439</c:v>
                </c:pt>
                <c:pt idx="368">
                  <c:v>1.104616251936025</c:v>
                </c:pt>
                <c:pt idx="369">
                  <c:v>1.104616251936025</c:v>
                </c:pt>
                <c:pt idx="370">
                  <c:v>1.104616251936025</c:v>
                </c:pt>
                <c:pt idx="371">
                  <c:v>1.104616251936025</c:v>
                </c:pt>
                <c:pt idx="372">
                  <c:v>1.670735682705939</c:v>
                </c:pt>
                <c:pt idx="373">
                  <c:v>1.670735682705939</c:v>
                </c:pt>
                <c:pt idx="374">
                  <c:v>1.670735682705939</c:v>
                </c:pt>
                <c:pt idx="375">
                  <c:v>1.670735682705939</c:v>
                </c:pt>
                <c:pt idx="376">
                  <c:v>1.619800877878083</c:v>
                </c:pt>
                <c:pt idx="377">
                  <c:v>1.619800877878083</c:v>
                </c:pt>
                <c:pt idx="378">
                  <c:v>1.619800877878083</c:v>
                </c:pt>
                <c:pt idx="379">
                  <c:v>1.619800877878083</c:v>
                </c:pt>
                <c:pt idx="380">
                  <c:v>1.8443544310864439</c:v>
                </c:pt>
                <c:pt idx="381">
                  <c:v>1.8443544310864439</c:v>
                </c:pt>
                <c:pt idx="382">
                  <c:v>1.8443544310864439</c:v>
                </c:pt>
                <c:pt idx="383">
                  <c:v>1.8443544310864439</c:v>
                </c:pt>
                <c:pt idx="384">
                  <c:v>1.8588080393447699</c:v>
                </c:pt>
                <c:pt idx="385">
                  <c:v>1.8588080393447699</c:v>
                </c:pt>
                <c:pt idx="386">
                  <c:v>1.8588080393447699</c:v>
                </c:pt>
                <c:pt idx="387">
                  <c:v>1.8588080393447699</c:v>
                </c:pt>
                <c:pt idx="388">
                  <c:v>1.8225943435336369</c:v>
                </c:pt>
                <c:pt idx="389">
                  <c:v>1.8225943435336369</c:v>
                </c:pt>
                <c:pt idx="390">
                  <c:v>1.8225943435336369</c:v>
                </c:pt>
                <c:pt idx="391">
                  <c:v>1.8225943435336369</c:v>
                </c:pt>
                <c:pt idx="392">
                  <c:v>2.036323027173855</c:v>
                </c:pt>
                <c:pt idx="393">
                  <c:v>2.036323027173855</c:v>
                </c:pt>
                <c:pt idx="394">
                  <c:v>2.036323027173855</c:v>
                </c:pt>
                <c:pt idx="395">
                  <c:v>2.036323027173855</c:v>
                </c:pt>
                <c:pt idx="396">
                  <c:v>0.13691232060579539</c:v>
                </c:pt>
                <c:pt idx="397">
                  <c:v>0.13691232060579539</c:v>
                </c:pt>
                <c:pt idx="398">
                  <c:v>0.13691232060579539</c:v>
                </c:pt>
                <c:pt idx="399">
                  <c:v>0.13691232060579539</c:v>
                </c:pt>
                <c:pt idx="400">
                  <c:v>0.15111381049456349</c:v>
                </c:pt>
                <c:pt idx="401">
                  <c:v>0.15111381049456349</c:v>
                </c:pt>
                <c:pt idx="402">
                  <c:v>0.15111381049456349</c:v>
                </c:pt>
                <c:pt idx="403">
                  <c:v>0.15111381049456349</c:v>
                </c:pt>
                <c:pt idx="404">
                  <c:v>0.1244056097882334</c:v>
                </c:pt>
                <c:pt idx="405">
                  <c:v>0.1244056097882334</c:v>
                </c:pt>
                <c:pt idx="406">
                  <c:v>0.1244056097882334</c:v>
                </c:pt>
                <c:pt idx="407">
                  <c:v>0.1244056097882334</c:v>
                </c:pt>
                <c:pt idx="408">
                  <c:v>0.22120896228110681</c:v>
                </c:pt>
                <c:pt idx="409">
                  <c:v>0.22120896228110681</c:v>
                </c:pt>
                <c:pt idx="410">
                  <c:v>0.22120896228110681</c:v>
                </c:pt>
                <c:pt idx="411">
                  <c:v>0.22120896228110681</c:v>
                </c:pt>
                <c:pt idx="412">
                  <c:v>0.39465021894302132</c:v>
                </c:pt>
                <c:pt idx="413">
                  <c:v>0.39465021894302132</c:v>
                </c:pt>
                <c:pt idx="414">
                  <c:v>0.39465021894302132</c:v>
                </c:pt>
                <c:pt idx="415">
                  <c:v>0.39465021894302132</c:v>
                </c:pt>
                <c:pt idx="416">
                  <c:v>0.25858418693050872</c:v>
                </c:pt>
                <c:pt idx="417">
                  <c:v>0.25858418693050872</c:v>
                </c:pt>
                <c:pt idx="418">
                  <c:v>0.25858418693050872</c:v>
                </c:pt>
                <c:pt idx="419">
                  <c:v>0.25858418693050872</c:v>
                </c:pt>
                <c:pt idx="420">
                  <c:v>0.42343876473384962</c:v>
                </c:pt>
                <c:pt idx="421">
                  <c:v>0.42343876473384962</c:v>
                </c:pt>
                <c:pt idx="422">
                  <c:v>0.42343876473384962</c:v>
                </c:pt>
                <c:pt idx="423">
                  <c:v>0.42343876473384962</c:v>
                </c:pt>
                <c:pt idx="424">
                  <c:v>0.42339525951042151</c:v>
                </c:pt>
                <c:pt idx="425">
                  <c:v>0.42339525951042151</c:v>
                </c:pt>
                <c:pt idx="426">
                  <c:v>0.42339525951042151</c:v>
                </c:pt>
                <c:pt idx="427">
                  <c:v>0.42339525951042151</c:v>
                </c:pt>
                <c:pt idx="428">
                  <c:v>0.2332189462001916</c:v>
                </c:pt>
                <c:pt idx="429">
                  <c:v>0.2332189462001916</c:v>
                </c:pt>
                <c:pt idx="430">
                  <c:v>0.2332189462001916</c:v>
                </c:pt>
                <c:pt idx="431">
                  <c:v>0.2332189462001916</c:v>
                </c:pt>
                <c:pt idx="432">
                  <c:v>0.30099524076358469</c:v>
                </c:pt>
                <c:pt idx="433">
                  <c:v>0.30099524076358469</c:v>
                </c:pt>
                <c:pt idx="434">
                  <c:v>0.30099524076358469</c:v>
                </c:pt>
                <c:pt idx="435">
                  <c:v>0.30099524076358469</c:v>
                </c:pt>
                <c:pt idx="436">
                  <c:v>0.1926127574837464</c:v>
                </c:pt>
                <c:pt idx="437">
                  <c:v>0.1926127574837464</c:v>
                </c:pt>
                <c:pt idx="438">
                  <c:v>0.1926127574837464</c:v>
                </c:pt>
                <c:pt idx="439">
                  <c:v>0.1926127574837464</c:v>
                </c:pt>
              </c:numCache>
            </c:numRef>
          </c:xVal>
          <c:yVal>
            <c:numRef>
              <c:f>data_ai_inv_share_full!$G$2:$G$441</c:f>
              <c:numCache>
                <c:formatCode>General</c:formatCode>
                <c:ptCount val="440"/>
                <c:pt idx="0">
                  <c:v>2.1335424718526896E-2</c:v>
                </c:pt>
                <c:pt idx="1">
                  <c:v>0.65778403978474742</c:v>
                </c:pt>
                <c:pt idx="2">
                  <c:v>-0.59414044609208405</c:v>
                </c:pt>
                <c:pt idx="3">
                  <c:v>0.45566821907582167</c:v>
                </c:pt>
                <c:pt idx="4">
                  <c:v>0.69243770785740977</c:v>
                </c:pt>
                <c:pt idx="5">
                  <c:v>0.65648168579866284</c:v>
                </c:pt>
                <c:pt idx="6">
                  <c:v>0.69667255164343178</c:v>
                </c:pt>
                <c:pt idx="7">
                  <c:v>0.67387131071388295</c:v>
                </c:pt>
                <c:pt idx="8">
                  <c:v>0.78616412906575106</c:v>
                </c:pt>
                <c:pt idx="9">
                  <c:v>-0.20364537794406878</c:v>
                </c:pt>
                <c:pt idx="10">
                  <c:v>0.74103491771630314</c:v>
                </c:pt>
                <c:pt idx="11">
                  <c:v>0.63932081158630116</c:v>
                </c:pt>
                <c:pt idx="12">
                  <c:v>-3.0890495413360419E-2</c:v>
                </c:pt>
                <c:pt idx="13">
                  <c:v>-0.37845503404507719</c:v>
                </c:pt>
                <c:pt idx="14">
                  <c:v>0.70436184472490981</c:v>
                </c:pt>
                <c:pt idx="15">
                  <c:v>-0.44071774143137299</c:v>
                </c:pt>
                <c:pt idx="16">
                  <c:v>-0.27128455696010012</c:v>
                </c:pt>
                <c:pt idx="17">
                  <c:v>0.1374653705052129</c:v>
                </c:pt>
                <c:pt idx="18">
                  <c:v>-0.47297799177851707</c:v>
                </c:pt>
                <c:pt idx="19">
                  <c:v>0.162437419674061</c:v>
                </c:pt>
                <c:pt idx="20">
                  <c:v>-7.9847948866310681</c:v>
                </c:pt>
                <c:pt idx="21">
                  <c:v>0.46118188805930949</c:v>
                </c:pt>
                <c:pt idx="22">
                  <c:v>-8.2206600102329226</c:v>
                </c:pt>
                <c:pt idx="23">
                  <c:v>-1.0768855115855178</c:v>
                </c:pt>
                <c:pt idx="24">
                  <c:v>0.76893286752627699</c:v>
                </c:pt>
                <c:pt idx="25">
                  <c:v>0.48171699050076189</c:v>
                </c:pt>
                <c:pt idx="26">
                  <c:v>-0.12040772358579854</c:v>
                </c:pt>
                <c:pt idx="27">
                  <c:v>1.4769560816494312</c:v>
                </c:pt>
                <c:pt idx="28">
                  <c:v>0.40154250941074832</c:v>
                </c:pt>
                <c:pt idx="29">
                  <c:v>0.64298889545450244</c:v>
                </c:pt>
                <c:pt idx="30">
                  <c:v>1.0084359083347181</c:v>
                </c:pt>
                <c:pt idx="31">
                  <c:v>1.3702545552891778</c:v>
                </c:pt>
                <c:pt idx="32">
                  <c:v>-0.98019515889366993</c:v>
                </c:pt>
                <c:pt idx="33">
                  <c:v>-0.13027453123457455</c:v>
                </c:pt>
                <c:pt idx="34">
                  <c:v>-2.5508576021803226</c:v>
                </c:pt>
                <c:pt idx="35">
                  <c:v>-1.0702367914746427</c:v>
                </c:pt>
                <c:pt idx="36">
                  <c:v>-1.8366159871647127</c:v>
                </c:pt>
                <c:pt idx="37">
                  <c:v>-0.21195285203919834</c:v>
                </c:pt>
                <c:pt idx="38">
                  <c:v>-2.4463356446785758</c:v>
                </c:pt>
                <c:pt idx="39">
                  <c:v>-1.1247210626404764</c:v>
                </c:pt>
                <c:pt idx="40">
                  <c:v>-4.0626120301336499E-2</c:v>
                </c:pt>
                <c:pt idx="41">
                  <c:v>0.6380507018262298</c:v>
                </c:pt>
                <c:pt idx="42">
                  <c:v>-0.64960653009995739</c:v>
                </c:pt>
                <c:pt idx="43">
                  <c:v>1.235120832270407</c:v>
                </c:pt>
                <c:pt idx="44">
                  <c:v>0.60184371182729057</c:v>
                </c:pt>
                <c:pt idx="45">
                  <c:v>0.20095810349653198</c:v>
                </c:pt>
                <c:pt idx="46">
                  <c:v>-9.5872444645270116E-2</c:v>
                </c:pt>
                <c:pt idx="47">
                  <c:v>0.37602266897304393</c:v>
                </c:pt>
                <c:pt idx="48">
                  <c:v>-0.11861033767558893</c:v>
                </c:pt>
                <c:pt idx="49">
                  <c:v>-4.7304590003143909E-2</c:v>
                </c:pt>
                <c:pt idx="50">
                  <c:v>-0.28042817709720791</c:v>
                </c:pt>
                <c:pt idx="51">
                  <c:v>-1.0856298219501959E-2</c:v>
                </c:pt>
                <c:pt idx="52">
                  <c:v>0.1507797162184652</c:v>
                </c:pt>
                <c:pt idx="53">
                  <c:v>-0.26884506369373296</c:v>
                </c:pt>
                <c:pt idx="54">
                  <c:v>-0.10249939779924788</c:v>
                </c:pt>
                <c:pt idx="55">
                  <c:v>-7.9783867035730927E-2</c:v>
                </c:pt>
                <c:pt idx="56">
                  <c:v>5.8211280770205098E-2</c:v>
                </c:pt>
                <c:pt idx="57">
                  <c:v>0.32816631924187512</c:v>
                </c:pt>
                <c:pt idx="58">
                  <c:v>0.17749745265910399</c:v>
                </c:pt>
                <c:pt idx="59">
                  <c:v>5.2215939373469133E-2</c:v>
                </c:pt>
                <c:pt idx="60">
                  <c:v>0.8982846201541661</c:v>
                </c:pt>
                <c:pt idx="61">
                  <c:v>1.2770204459163441</c:v>
                </c:pt>
                <c:pt idx="62">
                  <c:v>0.68058495597650426</c:v>
                </c:pt>
                <c:pt idx="63">
                  <c:v>1.1871434535654872</c:v>
                </c:pt>
                <c:pt idx="64">
                  <c:v>-5.8720213186906536</c:v>
                </c:pt>
                <c:pt idx="65">
                  <c:v>3.5084821711300487</c:v>
                </c:pt>
                <c:pt idx="66">
                  <c:v>-6.1107535820139915</c:v>
                </c:pt>
                <c:pt idx="67">
                  <c:v>2.2459230282070131</c:v>
                </c:pt>
                <c:pt idx="68">
                  <c:v>1.9428126002794937</c:v>
                </c:pt>
                <c:pt idx="69">
                  <c:v>8.311464590272255E-2</c:v>
                </c:pt>
                <c:pt idx="70">
                  <c:v>-0.62319540430046239</c:v>
                </c:pt>
                <c:pt idx="71">
                  <c:v>1.5244104334755164</c:v>
                </c:pt>
                <c:pt idx="72">
                  <c:v>1.2985802285253398</c:v>
                </c:pt>
                <c:pt idx="73">
                  <c:v>1.1286019302321901</c:v>
                </c:pt>
                <c:pt idx="74">
                  <c:v>0.27459955625362209</c:v>
                </c:pt>
                <c:pt idx="75">
                  <c:v>1.9291371195943738</c:v>
                </c:pt>
                <c:pt idx="76">
                  <c:v>1.3883640898298362</c:v>
                </c:pt>
                <c:pt idx="77">
                  <c:v>0.10822182527690605</c:v>
                </c:pt>
                <c:pt idx="78">
                  <c:v>-0.22744129975502081</c:v>
                </c:pt>
                <c:pt idx="79">
                  <c:v>0.3161099745136402</c:v>
                </c:pt>
                <c:pt idx="80">
                  <c:v>-0.27505597868087905</c:v>
                </c:pt>
                <c:pt idx="81">
                  <c:v>-5.2551522415263063E-2</c:v>
                </c:pt>
                <c:pt idx="82">
                  <c:v>-0.26942607773384397</c:v>
                </c:pt>
                <c:pt idx="83">
                  <c:v>-0.18241471680150112</c:v>
                </c:pt>
                <c:pt idx="84">
                  <c:v>-0.26624808616432227</c:v>
                </c:pt>
                <c:pt idx="85">
                  <c:v>-1.9512226852114511E-2</c:v>
                </c:pt>
                <c:pt idx="86">
                  <c:v>-0.3989585451423473</c:v>
                </c:pt>
                <c:pt idx="87">
                  <c:v>0.20939697133562885</c:v>
                </c:pt>
                <c:pt idx="88">
                  <c:v>0.41668627246598899</c:v>
                </c:pt>
                <c:pt idx="89">
                  <c:v>-0.19885935702409907</c:v>
                </c:pt>
                <c:pt idx="90">
                  <c:v>-0.47235285542918604</c:v>
                </c:pt>
                <c:pt idx="91">
                  <c:v>-0.3600890531802059</c:v>
                </c:pt>
                <c:pt idx="92">
                  <c:v>0.27860513231977801</c:v>
                </c:pt>
                <c:pt idx="93">
                  <c:v>0.24619510094493702</c:v>
                </c:pt>
                <c:pt idx="94">
                  <c:v>0.16032115441809891</c:v>
                </c:pt>
                <c:pt idx="95">
                  <c:v>0.56021580938968807</c:v>
                </c:pt>
                <c:pt idx="96">
                  <c:v>1.6647192282288961</c:v>
                </c:pt>
                <c:pt idx="97">
                  <c:v>0.98726553765954383</c:v>
                </c:pt>
                <c:pt idx="98">
                  <c:v>1.5726056100512928</c:v>
                </c:pt>
                <c:pt idx="99">
                  <c:v>1.4979471361736059</c:v>
                </c:pt>
                <c:pt idx="100">
                  <c:v>-0.85346390397992189</c:v>
                </c:pt>
                <c:pt idx="101">
                  <c:v>-0.45083812998151118</c:v>
                </c:pt>
                <c:pt idx="102">
                  <c:v>-0.58665416924442604</c:v>
                </c:pt>
                <c:pt idx="103">
                  <c:v>-1.0388815708978532</c:v>
                </c:pt>
                <c:pt idx="104">
                  <c:v>-0.72683828897076608</c:v>
                </c:pt>
                <c:pt idx="105">
                  <c:v>0.67371743677701046</c:v>
                </c:pt>
                <c:pt idx="106">
                  <c:v>-0.93999679709258999</c:v>
                </c:pt>
                <c:pt idx="107">
                  <c:v>0.56661972983481634</c:v>
                </c:pt>
                <c:pt idx="108">
                  <c:v>-5.5117432414984107</c:v>
                </c:pt>
                <c:pt idx="109">
                  <c:v>1.0663028045156304</c:v>
                </c:pt>
                <c:pt idx="110">
                  <c:v>-6.0477828073613109</c:v>
                </c:pt>
                <c:pt idx="111">
                  <c:v>1.9676759169072984</c:v>
                </c:pt>
                <c:pt idx="112">
                  <c:v>0.31461082759038206</c:v>
                </c:pt>
                <c:pt idx="113">
                  <c:v>1.097113718613111</c:v>
                </c:pt>
                <c:pt idx="114">
                  <c:v>-2.0409268972643462</c:v>
                </c:pt>
                <c:pt idx="115">
                  <c:v>0.42604586480458417</c:v>
                </c:pt>
                <c:pt idx="116">
                  <c:v>-2.6609443169839953</c:v>
                </c:pt>
                <c:pt idx="117">
                  <c:v>0.37338056935970299</c:v>
                </c:pt>
                <c:pt idx="118">
                  <c:v>-2.1229358469342294</c:v>
                </c:pt>
                <c:pt idx="119">
                  <c:v>0.37386578423211692</c:v>
                </c:pt>
                <c:pt idx="120">
                  <c:v>-0.19093583944082815</c:v>
                </c:pt>
                <c:pt idx="121">
                  <c:v>-0.54354189717324675</c:v>
                </c:pt>
                <c:pt idx="122">
                  <c:v>-3.2259227434105444</c:v>
                </c:pt>
                <c:pt idx="123">
                  <c:v>-1.0064641370532392</c:v>
                </c:pt>
                <c:pt idx="124">
                  <c:v>-0.76398245054191438</c:v>
                </c:pt>
                <c:pt idx="125">
                  <c:v>0.15197449145164205</c:v>
                </c:pt>
                <c:pt idx="126">
                  <c:v>-1.3181654375038181</c:v>
                </c:pt>
                <c:pt idx="127">
                  <c:v>-8.7013171124686664E-2</c:v>
                </c:pt>
                <c:pt idx="128">
                  <c:v>-0.35308220120580563</c:v>
                </c:pt>
                <c:pt idx="129">
                  <c:v>0.16956839292984849</c:v>
                </c:pt>
                <c:pt idx="130">
                  <c:v>-0.67387334670426191</c:v>
                </c:pt>
                <c:pt idx="131">
                  <c:v>0.37008740234464971</c:v>
                </c:pt>
                <c:pt idx="132">
                  <c:v>2.2507531290568341</c:v>
                </c:pt>
                <c:pt idx="133">
                  <c:v>0.84755226971891684</c:v>
                </c:pt>
                <c:pt idx="134">
                  <c:v>1.9227190146805588</c:v>
                </c:pt>
                <c:pt idx="135">
                  <c:v>1.1642716744238411</c:v>
                </c:pt>
                <c:pt idx="136">
                  <c:v>0.20691362640356292</c:v>
                </c:pt>
                <c:pt idx="137">
                  <c:v>-0.32437575106588312</c:v>
                </c:pt>
                <c:pt idx="138">
                  <c:v>0.29294469454354299</c:v>
                </c:pt>
                <c:pt idx="139">
                  <c:v>0.27990361283777565</c:v>
                </c:pt>
                <c:pt idx="140">
                  <c:v>0.59955818573028896</c:v>
                </c:pt>
                <c:pt idx="141">
                  <c:v>-0.21335805850076506</c:v>
                </c:pt>
                <c:pt idx="142">
                  <c:v>0.35000728826492189</c:v>
                </c:pt>
                <c:pt idx="143">
                  <c:v>9.1706447057128937E-2</c:v>
                </c:pt>
                <c:pt idx="144">
                  <c:v>-0.17009025968066194</c:v>
                </c:pt>
                <c:pt idx="145">
                  <c:v>-0.19081445099353322</c:v>
                </c:pt>
                <c:pt idx="146">
                  <c:v>2.9647560491548042E-3</c:v>
                </c:pt>
                <c:pt idx="147">
                  <c:v>-0.48414216228142726</c:v>
                </c:pt>
                <c:pt idx="148">
                  <c:v>-0.21306976831362023</c:v>
                </c:pt>
                <c:pt idx="149">
                  <c:v>7.2237730363746921E-2</c:v>
                </c:pt>
                <c:pt idx="150">
                  <c:v>-0.41366958696250311</c:v>
                </c:pt>
                <c:pt idx="151">
                  <c:v>-0.15364893942900526</c:v>
                </c:pt>
                <c:pt idx="152">
                  <c:v>-13.076741440445701</c:v>
                </c:pt>
                <c:pt idx="153">
                  <c:v>0.82436876065597886</c:v>
                </c:pt>
                <c:pt idx="154">
                  <c:v>-13.449524977065238</c:v>
                </c:pt>
                <c:pt idx="155">
                  <c:v>-2.2018192403305132</c:v>
                </c:pt>
                <c:pt idx="156">
                  <c:v>1.1184606927194407</c:v>
                </c:pt>
                <c:pt idx="157">
                  <c:v>1.8458632295773425</c:v>
                </c:pt>
                <c:pt idx="158">
                  <c:v>-0.50686163990971256</c:v>
                </c:pt>
                <c:pt idx="159">
                  <c:v>0.58806104979523433</c:v>
                </c:pt>
                <c:pt idx="160">
                  <c:v>0.64788894209388648</c:v>
                </c:pt>
                <c:pt idx="161">
                  <c:v>1.6280433106379038</c:v>
                </c:pt>
                <c:pt idx="162">
                  <c:v>-0.60227924273788158</c:v>
                </c:pt>
                <c:pt idx="163">
                  <c:v>2.149623075816363</c:v>
                </c:pt>
                <c:pt idx="164">
                  <c:v>1.4759385035830395</c:v>
                </c:pt>
                <c:pt idx="165">
                  <c:v>6.5493966740925114E-2</c:v>
                </c:pt>
                <c:pt idx="166">
                  <c:v>-0.94199003346141597</c:v>
                </c:pt>
                <c:pt idx="167">
                  <c:v>0.49429728762396685</c:v>
                </c:pt>
                <c:pt idx="168">
                  <c:v>1.7363603942146351</c:v>
                </c:pt>
                <c:pt idx="169">
                  <c:v>0.42996620634170712</c:v>
                </c:pt>
                <c:pt idx="170">
                  <c:v>1.432026290013092</c:v>
                </c:pt>
                <c:pt idx="171">
                  <c:v>1.2521726761369569</c:v>
                </c:pt>
                <c:pt idx="172">
                  <c:v>0.4397199192889798</c:v>
                </c:pt>
                <c:pt idx="173">
                  <c:v>-8.2255734956584892E-2</c:v>
                </c:pt>
                <c:pt idx="174">
                  <c:v>0.83836493177998594</c:v>
                </c:pt>
                <c:pt idx="175">
                  <c:v>0.23477837424939674</c:v>
                </c:pt>
                <c:pt idx="176">
                  <c:v>-0.14620954323508523</c:v>
                </c:pt>
                <c:pt idx="177">
                  <c:v>0.1253373978109007</c:v>
                </c:pt>
                <c:pt idx="178">
                  <c:v>-0.57280300136018747</c:v>
                </c:pt>
                <c:pt idx="179">
                  <c:v>0.12311761734483889</c:v>
                </c:pt>
                <c:pt idx="180">
                  <c:v>1.8786753011990158</c:v>
                </c:pt>
                <c:pt idx="181">
                  <c:v>1.7183218536184302</c:v>
                </c:pt>
                <c:pt idx="182">
                  <c:v>1.510323809035472</c:v>
                </c:pt>
                <c:pt idx="183">
                  <c:v>1.8590512359207483</c:v>
                </c:pt>
                <c:pt idx="184">
                  <c:v>2.4720940007392684</c:v>
                </c:pt>
                <c:pt idx="185">
                  <c:v>-4.9051166356071096E-2</c:v>
                </c:pt>
                <c:pt idx="186">
                  <c:v>2.5243960048727772</c:v>
                </c:pt>
                <c:pt idx="187">
                  <c:v>1.9527316757675739</c:v>
                </c:pt>
                <c:pt idx="188">
                  <c:v>-1.4684876877358761</c:v>
                </c:pt>
                <c:pt idx="189">
                  <c:v>-1.7034961062862728</c:v>
                </c:pt>
                <c:pt idx="190">
                  <c:v>-0.55948823596464492</c:v>
                </c:pt>
                <c:pt idx="191">
                  <c:v>-1.3340082792667409</c:v>
                </c:pt>
                <c:pt idx="192">
                  <c:v>-0.8335748506428422</c:v>
                </c:pt>
                <c:pt idx="193">
                  <c:v>-1.4110869060006026E-2</c:v>
                </c:pt>
                <c:pt idx="194">
                  <c:v>-0.9295559719103379</c:v>
                </c:pt>
                <c:pt idx="195">
                  <c:v>-0.29784066310397006</c:v>
                </c:pt>
                <c:pt idx="196">
                  <c:v>-3.6230506117637438</c:v>
                </c:pt>
                <c:pt idx="197">
                  <c:v>1.7496128021536563</c:v>
                </c:pt>
                <c:pt idx="198">
                  <c:v>-3.6875295267387962</c:v>
                </c:pt>
                <c:pt idx="199">
                  <c:v>3.812344683053138</c:v>
                </c:pt>
                <c:pt idx="200">
                  <c:v>-0.25859743194969287</c:v>
                </c:pt>
                <c:pt idx="201">
                  <c:v>-0.76255561777172076</c:v>
                </c:pt>
                <c:pt idx="202">
                  <c:v>-1.0319888097993339</c:v>
                </c:pt>
                <c:pt idx="203">
                  <c:v>-9.7992979043315831E-2</c:v>
                </c:pt>
                <c:pt idx="204">
                  <c:v>-2.0671616710759921</c:v>
                </c:pt>
                <c:pt idx="205">
                  <c:v>-1.5677906220824354</c:v>
                </c:pt>
                <c:pt idx="206">
                  <c:v>-1.9916383255658392</c:v>
                </c:pt>
                <c:pt idx="207">
                  <c:v>-0.84304938846227129</c:v>
                </c:pt>
                <c:pt idx="208">
                  <c:v>-1.5379932664356266</c:v>
                </c:pt>
                <c:pt idx="209">
                  <c:v>-1.4350651524638591</c:v>
                </c:pt>
                <c:pt idx="210">
                  <c:v>-2.96232576895608</c:v>
                </c:pt>
                <c:pt idx="211">
                  <c:v>-1.4958963214910126</c:v>
                </c:pt>
                <c:pt idx="212">
                  <c:v>5.5454419377964248E-2</c:v>
                </c:pt>
                <c:pt idx="213">
                  <c:v>1.1596069734324581</c:v>
                </c:pt>
                <c:pt idx="214">
                  <c:v>-0.49398677856419337</c:v>
                </c:pt>
                <c:pt idx="215">
                  <c:v>0.84187322906342721</c:v>
                </c:pt>
                <c:pt idx="216">
                  <c:v>-0.74460636681637882</c:v>
                </c:pt>
                <c:pt idx="217">
                  <c:v>0.72418125285179868</c:v>
                </c:pt>
                <c:pt idx="218">
                  <c:v>-0.5607547780382397</c:v>
                </c:pt>
                <c:pt idx="219">
                  <c:v>-0.17606213387669556</c:v>
                </c:pt>
                <c:pt idx="220">
                  <c:v>0.29855354285163038</c:v>
                </c:pt>
                <c:pt idx="221">
                  <c:v>-8.9414898423502587E-2</c:v>
                </c:pt>
                <c:pt idx="222">
                  <c:v>-0.47972768132192978</c:v>
                </c:pt>
                <c:pt idx="223">
                  <c:v>-8.8439121019513678E-2</c:v>
                </c:pt>
                <c:pt idx="224">
                  <c:v>-0.6951946375147382</c:v>
                </c:pt>
                <c:pt idx="225">
                  <c:v>-0.52027408063893632</c:v>
                </c:pt>
                <c:pt idx="226">
                  <c:v>-0.9474050098037794</c:v>
                </c:pt>
                <c:pt idx="227">
                  <c:v>-0.59721808051947733</c:v>
                </c:pt>
                <c:pt idx="228">
                  <c:v>0.88730828907390391</c:v>
                </c:pt>
                <c:pt idx="229">
                  <c:v>0.63331091710201193</c:v>
                </c:pt>
                <c:pt idx="230">
                  <c:v>0.55799583927453589</c:v>
                </c:pt>
                <c:pt idx="231">
                  <c:v>0.89053149409434584</c:v>
                </c:pt>
                <c:pt idx="232">
                  <c:v>-0.17374369252594701</c:v>
                </c:pt>
                <c:pt idx="233">
                  <c:v>-9.4418697622485004E-2</c:v>
                </c:pt>
                <c:pt idx="234">
                  <c:v>-0.15383585632429808</c:v>
                </c:pt>
                <c:pt idx="235">
                  <c:v>-0.41758951411248901</c:v>
                </c:pt>
                <c:pt idx="236">
                  <c:v>0.4384166790122872</c:v>
                </c:pt>
                <c:pt idx="237">
                  <c:v>0.79261069491608427</c:v>
                </c:pt>
                <c:pt idx="238">
                  <c:v>0.24168578243425221</c:v>
                </c:pt>
                <c:pt idx="239">
                  <c:v>0.74602981041785821</c:v>
                </c:pt>
                <c:pt idx="240">
                  <c:v>-9.1974015560336042</c:v>
                </c:pt>
                <c:pt idx="241">
                  <c:v>1.4391287067798215</c:v>
                </c:pt>
                <c:pt idx="242">
                  <c:v>-9.4157638701608679</c:v>
                </c:pt>
                <c:pt idx="243">
                  <c:v>0.33628419121901221</c:v>
                </c:pt>
                <c:pt idx="244">
                  <c:v>0.77492257463683512</c:v>
                </c:pt>
                <c:pt idx="245">
                  <c:v>2.7609048047935403E-2</c:v>
                </c:pt>
                <c:pt idx="246">
                  <c:v>-0.83094601408312574</c:v>
                </c:pt>
                <c:pt idx="247">
                  <c:v>0.85548580385178141</c:v>
                </c:pt>
                <c:pt idx="248">
                  <c:v>-1.0044763978131481</c:v>
                </c:pt>
                <c:pt idx="249">
                  <c:v>0.13221272000764106</c:v>
                </c:pt>
                <c:pt idx="250">
                  <c:v>-1.4498059135976793</c:v>
                </c:pt>
                <c:pt idx="251">
                  <c:v>-0.33728125818969223</c:v>
                </c:pt>
                <c:pt idx="252">
                  <c:v>1.362740568589244</c:v>
                </c:pt>
                <c:pt idx="253">
                  <c:v>0.799970788141108</c:v>
                </c:pt>
                <c:pt idx="254">
                  <c:v>3.3137959113811011E-2</c:v>
                </c:pt>
                <c:pt idx="255">
                  <c:v>1.0779868195341884</c:v>
                </c:pt>
                <c:pt idx="256">
                  <c:v>0.16738745154850099</c:v>
                </c:pt>
                <c:pt idx="257">
                  <c:v>0.27545247469052403</c:v>
                </c:pt>
                <c:pt idx="258">
                  <c:v>-4.1217278471559204E-3</c:v>
                </c:pt>
                <c:pt idx="259">
                  <c:v>0.68596377940700104</c:v>
                </c:pt>
                <c:pt idx="260">
                  <c:v>6.3031178006735966E-2</c:v>
                </c:pt>
                <c:pt idx="261">
                  <c:v>0.18847413300152815</c:v>
                </c:pt>
                <c:pt idx="262">
                  <c:v>-0.37378753748365889</c:v>
                </c:pt>
                <c:pt idx="263">
                  <c:v>0.31295676387087734</c:v>
                </c:pt>
                <c:pt idx="264">
                  <c:v>18.328578063419037</c:v>
                </c:pt>
                <c:pt idx="265">
                  <c:v>15.905810160190644</c:v>
                </c:pt>
                <c:pt idx="266">
                  <c:v>18.955022320797561</c:v>
                </c:pt>
                <c:pt idx="267">
                  <c:v>18.343702761513786</c:v>
                </c:pt>
                <c:pt idx="268">
                  <c:v>-3.3115780556468373</c:v>
                </c:pt>
                <c:pt idx="269">
                  <c:v>-2.9158948376772491</c:v>
                </c:pt>
                <c:pt idx="270">
                  <c:v>-2.3039111882363645</c:v>
                </c:pt>
                <c:pt idx="271">
                  <c:v>-3.6961635285906365</c:v>
                </c:pt>
                <c:pt idx="272">
                  <c:v>6.0228740309448732</c:v>
                </c:pt>
                <c:pt idx="273">
                  <c:v>4.7979924738822781</c:v>
                </c:pt>
                <c:pt idx="274">
                  <c:v>5.9524962396982399</c:v>
                </c:pt>
                <c:pt idx="275">
                  <c:v>5.6733497511086632</c:v>
                </c:pt>
                <c:pt idx="276">
                  <c:v>3.5391422005323694</c:v>
                </c:pt>
                <c:pt idx="277">
                  <c:v>-0.36708855616052638</c:v>
                </c:pt>
                <c:pt idx="278">
                  <c:v>3.8014603254516723</c:v>
                </c:pt>
                <c:pt idx="279">
                  <c:v>1.7637946495625059</c:v>
                </c:pt>
                <c:pt idx="280">
                  <c:v>0.2937881326285563</c:v>
                </c:pt>
                <c:pt idx="281">
                  <c:v>-0.81182975289263659</c:v>
                </c:pt>
                <c:pt idx="282">
                  <c:v>0.76508940488487553</c:v>
                </c:pt>
                <c:pt idx="283">
                  <c:v>1.0641944495974975</c:v>
                </c:pt>
                <c:pt idx="284">
                  <c:v>3.4578095605905887</c:v>
                </c:pt>
                <c:pt idx="285">
                  <c:v>9.3237810475628535</c:v>
                </c:pt>
                <c:pt idx="286">
                  <c:v>3.6187658069427835</c:v>
                </c:pt>
                <c:pt idx="287">
                  <c:v>14.933429444226089</c:v>
                </c:pt>
                <c:pt idx="288">
                  <c:v>12.176886461707223</c:v>
                </c:pt>
                <c:pt idx="289">
                  <c:v>0.5617185951764796</c:v>
                </c:pt>
                <c:pt idx="290">
                  <c:v>9.0402581837302627</c:v>
                </c:pt>
                <c:pt idx="291">
                  <c:v>10.52537395238202</c:v>
                </c:pt>
                <c:pt idx="292">
                  <c:v>2.8975720388514441</c:v>
                </c:pt>
                <c:pt idx="293">
                  <c:v>0.11836057066008809</c:v>
                </c:pt>
                <c:pt idx="294">
                  <c:v>3.0134574969968924</c:v>
                </c:pt>
                <c:pt idx="295">
                  <c:v>2.607758140674961</c:v>
                </c:pt>
                <c:pt idx="296">
                  <c:v>-6.6927658082332888</c:v>
                </c:pt>
                <c:pt idx="297">
                  <c:v>-2.5855542962976177</c:v>
                </c:pt>
                <c:pt idx="298">
                  <c:v>-7.955341703093274</c:v>
                </c:pt>
                <c:pt idx="299">
                  <c:v>-9.0375833468898072</c:v>
                </c:pt>
                <c:pt idx="300">
                  <c:v>0.57631554946716701</c:v>
                </c:pt>
                <c:pt idx="301">
                  <c:v>4.1610059157908612</c:v>
                </c:pt>
                <c:pt idx="302">
                  <c:v>-1.3475656933011551</c:v>
                </c:pt>
                <c:pt idx="303">
                  <c:v>2.3766670965922447</c:v>
                </c:pt>
                <c:pt idx="304">
                  <c:v>3.7555055239175816</c:v>
                </c:pt>
                <c:pt idx="305">
                  <c:v>-2.8716445193852991</c:v>
                </c:pt>
                <c:pt idx="306">
                  <c:v>4.186398837203722</c:v>
                </c:pt>
                <c:pt idx="307">
                  <c:v>4.4019772197251861</c:v>
                </c:pt>
                <c:pt idx="308">
                  <c:v>0.11412179495312647</c:v>
                </c:pt>
                <c:pt idx="309">
                  <c:v>-0.12380197599240972</c:v>
                </c:pt>
                <c:pt idx="310">
                  <c:v>-0.48713604095095231</c:v>
                </c:pt>
                <c:pt idx="311">
                  <c:v>0.13599178752260521</c:v>
                </c:pt>
                <c:pt idx="312">
                  <c:v>-0.1058406653404671</c:v>
                </c:pt>
                <c:pt idx="313">
                  <c:v>0.63759268194228436</c:v>
                </c:pt>
                <c:pt idx="314">
                  <c:v>-6.5542328540008077E-2</c:v>
                </c:pt>
                <c:pt idx="315">
                  <c:v>0.25497274041926299</c:v>
                </c:pt>
                <c:pt idx="316">
                  <c:v>0.77488781643401738</c:v>
                </c:pt>
                <c:pt idx="317">
                  <c:v>0.22303711004873605</c:v>
                </c:pt>
                <c:pt idx="318">
                  <c:v>0.34231121806944209</c:v>
                </c:pt>
                <c:pt idx="319">
                  <c:v>0.74890781392368888</c:v>
                </c:pt>
                <c:pt idx="320">
                  <c:v>-0.62187743480216839</c:v>
                </c:pt>
                <c:pt idx="321">
                  <c:v>-0.46981863171250737</c:v>
                </c:pt>
                <c:pt idx="322">
                  <c:v>-0.45306326954054732</c:v>
                </c:pt>
                <c:pt idx="323">
                  <c:v>-0.77439182435587239</c:v>
                </c:pt>
                <c:pt idx="324">
                  <c:v>-0.73330529565166769</c:v>
                </c:pt>
                <c:pt idx="325">
                  <c:v>0.31282812569793611</c:v>
                </c:pt>
                <c:pt idx="326">
                  <c:v>-0.79138299663360767</c:v>
                </c:pt>
                <c:pt idx="327">
                  <c:v>0.31688392304130802</c:v>
                </c:pt>
                <c:pt idx="328">
                  <c:v>-9.8107396813353134</c:v>
                </c:pt>
                <c:pt idx="329">
                  <c:v>0.47316871767660729</c:v>
                </c:pt>
                <c:pt idx="330">
                  <c:v>-10.090165875589653</c:v>
                </c:pt>
                <c:pt idx="331">
                  <c:v>0.13961409785200196</c:v>
                </c:pt>
                <c:pt idx="332">
                  <c:v>4.3860333621503482</c:v>
                </c:pt>
                <c:pt idx="333">
                  <c:v>2.2077938630119469</c:v>
                </c:pt>
                <c:pt idx="334">
                  <c:v>1.8874102730208113</c:v>
                </c:pt>
                <c:pt idx="335">
                  <c:v>4.2301947873575489</c:v>
                </c:pt>
                <c:pt idx="336">
                  <c:v>0.58569431791028492</c:v>
                </c:pt>
                <c:pt idx="337">
                  <c:v>1.0277214587440522</c:v>
                </c:pt>
                <c:pt idx="338">
                  <c:v>0.46115485843316062</c:v>
                </c:pt>
                <c:pt idx="339">
                  <c:v>2.428959206215525</c:v>
                </c:pt>
                <c:pt idx="340">
                  <c:v>0.69953692902983344</c:v>
                </c:pt>
                <c:pt idx="341">
                  <c:v>0.3227009071263518</c:v>
                </c:pt>
                <c:pt idx="342">
                  <c:v>-0.83701733507933507</c:v>
                </c:pt>
                <c:pt idx="343">
                  <c:v>-0.19232404471208708</c:v>
                </c:pt>
                <c:pt idx="344">
                  <c:v>-0.26756306953106568</c:v>
                </c:pt>
                <c:pt idx="345">
                  <c:v>-8.4118151145665343E-2</c:v>
                </c:pt>
                <c:pt idx="346">
                  <c:v>-0.50358721299028975</c:v>
                </c:pt>
                <c:pt idx="347">
                  <c:v>-0.35185080229070154</c:v>
                </c:pt>
                <c:pt idx="348">
                  <c:v>-0.37629081703927114</c:v>
                </c:pt>
                <c:pt idx="349">
                  <c:v>0.30154220637721435</c:v>
                </c:pt>
                <c:pt idx="350">
                  <c:v>-0.43658647742987933</c:v>
                </c:pt>
                <c:pt idx="351">
                  <c:v>-3.1208783804359541E-3</c:v>
                </c:pt>
                <c:pt idx="352">
                  <c:v>0.66075179047467292</c:v>
                </c:pt>
                <c:pt idx="353">
                  <c:v>2.7912869879358926E-2</c:v>
                </c:pt>
                <c:pt idx="354">
                  <c:v>0.71728036681706908</c:v>
                </c:pt>
                <c:pt idx="355">
                  <c:v>0.44124858238985798</c:v>
                </c:pt>
                <c:pt idx="356">
                  <c:v>0.25837958787036319</c:v>
                </c:pt>
                <c:pt idx="357">
                  <c:v>0.73200384369860516</c:v>
                </c:pt>
                <c:pt idx="358">
                  <c:v>0.65826627678273919</c:v>
                </c:pt>
                <c:pt idx="359">
                  <c:v>0.71349901011999117</c:v>
                </c:pt>
                <c:pt idx="360">
                  <c:v>1.0914375503477329</c:v>
                </c:pt>
                <c:pt idx="361">
                  <c:v>-0.46496850488224206</c:v>
                </c:pt>
                <c:pt idx="362">
                  <c:v>0.77378648218358492</c:v>
                </c:pt>
                <c:pt idx="363">
                  <c:v>0.63236498765517979</c:v>
                </c:pt>
                <c:pt idx="364">
                  <c:v>-0.49220694854774294</c:v>
                </c:pt>
                <c:pt idx="365">
                  <c:v>-0.60915575871749095</c:v>
                </c:pt>
                <c:pt idx="366">
                  <c:v>0.41068430201465511</c:v>
                </c:pt>
                <c:pt idx="367">
                  <c:v>-0.72275559772991471</c:v>
                </c:pt>
                <c:pt idx="368">
                  <c:v>-0.12859335988762766</c:v>
                </c:pt>
                <c:pt idx="369">
                  <c:v>0.56885798608977911</c:v>
                </c:pt>
                <c:pt idx="370">
                  <c:v>-0.32154765833279697</c:v>
                </c:pt>
                <c:pt idx="371">
                  <c:v>0.6408810234895721</c:v>
                </c:pt>
                <c:pt idx="372">
                  <c:v>-5.1870723493020137</c:v>
                </c:pt>
                <c:pt idx="373">
                  <c:v>1.4182708153157462</c:v>
                </c:pt>
                <c:pt idx="374">
                  <c:v>-5.5233877578965265</c:v>
                </c:pt>
                <c:pt idx="375">
                  <c:v>2.9439454385808403</c:v>
                </c:pt>
                <c:pt idx="376">
                  <c:v>3.8584405374490256</c:v>
                </c:pt>
                <c:pt idx="377">
                  <c:v>2.0469395382772038</c:v>
                </c:pt>
                <c:pt idx="378">
                  <c:v>1.0561243309838426</c:v>
                </c:pt>
                <c:pt idx="379">
                  <c:v>3.6815274398948827</c:v>
                </c:pt>
                <c:pt idx="380">
                  <c:v>1.5403141268462113</c:v>
                </c:pt>
                <c:pt idx="381">
                  <c:v>0.24027154732824307</c:v>
                </c:pt>
                <c:pt idx="382">
                  <c:v>1.3102425391146273</c:v>
                </c:pt>
                <c:pt idx="383">
                  <c:v>1.6179605359437201</c:v>
                </c:pt>
                <c:pt idx="384">
                  <c:v>-1.2332667915025379</c:v>
                </c:pt>
                <c:pt idx="385">
                  <c:v>-1.1646182848044611</c:v>
                </c:pt>
                <c:pt idx="386">
                  <c:v>-2.1529435732412807</c:v>
                </c:pt>
                <c:pt idx="387">
                  <c:v>-2.3856877313900817</c:v>
                </c:pt>
                <c:pt idx="388">
                  <c:v>-3.2333375546518051E-2</c:v>
                </c:pt>
                <c:pt idx="389">
                  <c:v>0.21729749415612565</c:v>
                </c:pt>
                <c:pt idx="390">
                  <c:v>-0.12243536174728198</c:v>
                </c:pt>
                <c:pt idx="391">
                  <c:v>0.2982196320767394</c:v>
                </c:pt>
                <c:pt idx="392">
                  <c:v>1.1664057740270906E-2</c:v>
                </c:pt>
                <c:pt idx="393">
                  <c:v>-0.13369066632513404</c:v>
                </c:pt>
                <c:pt idx="394">
                  <c:v>9.6561946396513942E-2</c:v>
                </c:pt>
                <c:pt idx="395">
                  <c:v>0.28046899053471286</c:v>
                </c:pt>
                <c:pt idx="396">
                  <c:v>0.27908288694357686</c:v>
                </c:pt>
                <c:pt idx="397">
                  <c:v>-0.16405386466369909</c:v>
                </c:pt>
                <c:pt idx="398">
                  <c:v>8.4088127918840794E-2</c:v>
                </c:pt>
                <c:pt idx="399">
                  <c:v>-6.4609841282320168E-2</c:v>
                </c:pt>
                <c:pt idx="400">
                  <c:v>0.32534337819466397</c:v>
                </c:pt>
                <c:pt idx="401">
                  <c:v>1.0550904016198952</c:v>
                </c:pt>
                <c:pt idx="402">
                  <c:v>0.14602905922159692</c:v>
                </c:pt>
                <c:pt idx="403">
                  <c:v>0.5261694887334849</c:v>
                </c:pt>
                <c:pt idx="404">
                  <c:v>2.0165120904442619</c:v>
                </c:pt>
                <c:pt idx="405">
                  <c:v>0.63151210674854008</c:v>
                </c:pt>
                <c:pt idx="406">
                  <c:v>1.5169148839265081</c:v>
                </c:pt>
                <c:pt idx="407">
                  <c:v>1.4222126188508</c:v>
                </c:pt>
                <c:pt idx="408">
                  <c:v>0.84121405179820208</c:v>
                </c:pt>
                <c:pt idx="409">
                  <c:v>0.73645045202355286</c:v>
                </c:pt>
                <c:pt idx="410">
                  <c:v>1.3359790738157751</c:v>
                </c:pt>
                <c:pt idx="411">
                  <c:v>0.56998726219637108</c:v>
                </c:pt>
                <c:pt idx="412">
                  <c:v>0.86923730155660284</c:v>
                </c:pt>
                <c:pt idx="413">
                  <c:v>0.75821702215020981</c:v>
                </c:pt>
                <c:pt idx="414">
                  <c:v>0.67142489045585174</c:v>
                </c:pt>
                <c:pt idx="415">
                  <c:v>1.0362404008479218</c:v>
                </c:pt>
                <c:pt idx="416">
                  <c:v>-10.260788720529403</c:v>
                </c:pt>
                <c:pt idx="417">
                  <c:v>0.72965359060849089</c:v>
                </c:pt>
                <c:pt idx="418">
                  <c:v>-10.276302834282514</c:v>
                </c:pt>
                <c:pt idx="419">
                  <c:v>-1.7957222419949357</c:v>
                </c:pt>
                <c:pt idx="420">
                  <c:v>4.9176366349780842E-2</c:v>
                </c:pt>
                <c:pt idx="421">
                  <c:v>0.86703084261086261</c:v>
                </c:pt>
                <c:pt idx="422">
                  <c:v>-0.40807185936133461</c:v>
                </c:pt>
                <c:pt idx="423">
                  <c:v>1.46572942535055</c:v>
                </c:pt>
                <c:pt idx="424">
                  <c:v>1.4313467273622811</c:v>
                </c:pt>
                <c:pt idx="425">
                  <c:v>0.16648728936240431</c:v>
                </c:pt>
                <c:pt idx="426">
                  <c:v>1.65373321511687</c:v>
                </c:pt>
                <c:pt idx="427">
                  <c:v>0.94714374205589991</c:v>
                </c:pt>
                <c:pt idx="428">
                  <c:v>2.3359588026966547</c:v>
                </c:pt>
                <c:pt idx="429">
                  <c:v>0.82603710498769489</c:v>
                </c:pt>
                <c:pt idx="430">
                  <c:v>0.39242832347734202</c:v>
                </c:pt>
                <c:pt idx="431">
                  <c:v>0.61415875922665375</c:v>
                </c:pt>
                <c:pt idx="432">
                  <c:v>0.877059487557313</c:v>
                </c:pt>
                <c:pt idx="433">
                  <c:v>0.53893400861308405</c:v>
                </c:pt>
                <c:pt idx="434">
                  <c:v>0.43349115215204903</c:v>
                </c:pt>
                <c:pt idx="435">
                  <c:v>0.45622753459714716</c:v>
                </c:pt>
                <c:pt idx="436">
                  <c:v>-6.8744074650670672E-3</c:v>
                </c:pt>
                <c:pt idx="437">
                  <c:v>-5.4520243395466128E-2</c:v>
                </c:pt>
                <c:pt idx="438">
                  <c:v>-3.1093439656520117E-2</c:v>
                </c:pt>
                <c:pt idx="4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56-4092-A0DB-6287A524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AI incoming investment share -- since 2020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data_ai_inv_share_since2020!$H$2:$H$241</c:f>
              <c:numCache>
                <c:formatCode>General</c:formatCode>
                <c:ptCount val="240"/>
                <c:pt idx="0">
                  <c:v>0.12677194132347211</c:v>
                </c:pt>
                <c:pt idx="1">
                  <c:v>0.12677194132347211</c:v>
                </c:pt>
                <c:pt idx="2">
                  <c:v>0.12677194132347211</c:v>
                </c:pt>
                <c:pt idx="3">
                  <c:v>0.12677194132347211</c:v>
                </c:pt>
                <c:pt idx="4">
                  <c:v>0.16609569206651981</c:v>
                </c:pt>
                <c:pt idx="5">
                  <c:v>0.16609569206651981</c:v>
                </c:pt>
                <c:pt idx="6">
                  <c:v>0.16609569206651981</c:v>
                </c:pt>
                <c:pt idx="7">
                  <c:v>0.16609569206651981</c:v>
                </c:pt>
                <c:pt idx="8">
                  <c:v>0.16058654708636669</c:v>
                </c:pt>
                <c:pt idx="9">
                  <c:v>0.16058654708636669</c:v>
                </c:pt>
                <c:pt idx="10">
                  <c:v>0.16058654708636669</c:v>
                </c:pt>
                <c:pt idx="11">
                  <c:v>0.16058654708636669</c:v>
                </c:pt>
                <c:pt idx="12">
                  <c:v>0.34832254059447909</c:v>
                </c:pt>
                <c:pt idx="13">
                  <c:v>0.34832254059447909</c:v>
                </c:pt>
                <c:pt idx="14">
                  <c:v>0.34832254059447909</c:v>
                </c:pt>
                <c:pt idx="15">
                  <c:v>0.34832254059447909</c:v>
                </c:pt>
                <c:pt idx="16">
                  <c:v>0.30910634856214708</c:v>
                </c:pt>
                <c:pt idx="17">
                  <c:v>0.30910634856214708</c:v>
                </c:pt>
                <c:pt idx="18">
                  <c:v>0.30910634856214708</c:v>
                </c:pt>
                <c:pt idx="19">
                  <c:v>0.30910634856214708</c:v>
                </c:pt>
                <c:pt idx="20">
                  <c:v>0.17315909372686161</c:v>
                </c:pt>
                <c:pt idx="21">
                  <c:v>0.17315909372686161</c:v>
                </c:pt>
                <c:pt idx="22">
                  <c:v>0.17315909372686161</c:v>
                </c:pt>
                <c:pt idx="23">
                  <c:v>0.17315909372686161</c:v>
                </c:pt>
                <c:pt idx="24">
                  <c:v>0.8845732944795045</c:v>
                </c:pt>
                <c:pt idx="25">
                  <c:v>0.8845732944795045</c:v>
                </c:pt>
                <c:pt idx="26">
                  <c:v>0.8845732944795045</c:v>
                </c:pt>
                <c:pt idx="27">
                  <c:v>0.8845732944795045</c:v>
                </c:pt>
                <c:pt idx="28">
                  <c:v>0.78222990278386606</c:v>
                </c:pt>
                <c:pt idx="29">
                  <c:v>0.78222990278386606</c:v>
                </c:pt>
                <c:pt idx="30">
                  <c:v>0.78222990278386606</c:v>
                </c:pt>
                <c:pt idx="31">
                  <c:v>0.78222990278386606</c:v>
                </c:pt>
                <c:pt idx="32">
                  <c:v>0.90172560603950691</c:v>
                </c:pt>
                <c:pt idx="33">
                  <c:v>0.90172560603950691</c:v>
                </c:pt>
                <c:pt idx="34">
                  <c:v>0.90172560603950691</c:v>
                </c:pt>
                <c:pt idx="35">
                  <c:v>0.90172560603950691</c:v>
                </c:pt>
                <c:pt idx="36">
                  <c:v>0.70099774387898239</c:v>
                </c:pt>
                <c:pt idx="37">
                  <c:v>0.70099774387898239</c:v>
                </c:pt>
                <c:pt idx="38">
                  <c:v>0.70099774387898239</c:v>
                </c:pt>
                <c:pt idx="39">
                  <c:v>0.70099774387898239</c:v>
                </c:pt>
                <c:pt idx="40">
                  <c:v>1.1240323327321109</c:v>
                </c:pt>
                <c:pt idx="41">
                  <c:v>1.1240323327321109</c:v>
                </c:pt>
                <c:pt idx="42">
                  <c:v>1.1240323327321109</c:v>
                </c:pt>
                <c:pt idx="43">
                  <c:v>1.1240323327321109</c:v>
                </c:pt>
                <c:pt idx="44">
                  <c:v>1.388852621215412</c:v>
                </c:pt>
                <c:pt idx="45">
                  <c:v>1.388852621215412</c:v>
                </c:pt>
                <c:pt idx="46">
                  <c:v>1.388852621215412</c:v>
                </c:pt>
                <c:pt idx="47">
                  <c:v>1.388852621215412</c:v>
                </c:pt>
                <c:pt idx="48">
                  <c:v>4.1207891005128294</c:v>
                </c:pt>
                <c:pt idx="49">
                  <c:v>4.1207891005128294</c:v>
                </c:pt>
                <c:pt idx="50">
                  <c:v>4.1207891005128294</c:v>
                </c:pt>
                <c:pt idx="51">
                  <c:v>4.1207891005128294</c:v>
                </c:pt>
                <c:pt idx="52">
                  <c:v>6.8156919307247312</c:v>
                </c:pt>
                <c:pt idx="53">
                  <c:v>6.8156919307247312</c:v>
                </c:pt>
                <c:pt idx="54">
                  <c:v>6.8156919307247312</c:v>
                </c:pt>
                <c:pt idx="55">
                  <c:v>6.8156919307247312</c:v>
                </c:pt>
                <c:pt idx="56">
                  <c:v>8.1761583775401121</c:v>
                </c:pt>
                <c:pt idx="57">
                  <c:v>8.1761583775401121</c:v>
                </c:pt>
                <c:pt idx="58">
                  <c:v>8.1761583775401121</c:v>
                </c:pt>
                <c:pt idx="59">
                  <c:v>8.1761583775401121</c:v>
                </c:pt>
                <c:pt idx="60">
                  <c:v>7.6870184113631561</c:v>
                </c:pt>
                <c:pt idx="61">
                  <c:v>7.6870184113631561</c:v>
                </c:pt>
                <c:pt idx="62">
                  <c:v>7.6870184113631561</c:v>
                </c:pt>
                <c:pt idx="63">
                  <c:v>7.6870184113631561</c:v>
                </c:pt>
                <c:pt idx="64">
                  <c:v>7.109230495453148</c:v>
                </c:pt>
                <c:pt idx="65">
                  <c:v>7.109230495453148</c:v>
                </c:pt>
                <c:pt idx="66">
                  <c:v>7.109230495453148</c:v>
                </c:pt>
                <c:pt idx="67">
                  <c:v>7.109230495453148</c:v>
                </c:pt>
                <c:pt idx="68">
                  <c:v>7.280321526767084</c:v>
                </c:pt>
                <c:pt idx="69">
                  <c:v>7.280321526767084</c:v>
                </c:pt>
                <c:pt idx="70">
                  <c:v>7.280321526767084</c:v>
                </c:pt>
                <c:pt idx="71">
                  <c:v>7.280321526767084</c:v>
                </c:pt>
                <c:pt idx="72">
                  <c:v>0.60415892118981396</c:v>
                </c:pt>
                <c:pt idx="73">
                  <c:v>0.60415892118981396</c:v>
                </c:pt>
                <c:pt idx="74">
                  <c:v>0.60415892118981396</c:v>
                </c:pt>
                <c:pt idx="75">
                  <c:v>0.60415892118981396</c:v>
                </c:pt>
                <c:pt idx="76">
                  <c:v>0.95674972420897775</c:v>
                </c:pt>
                <c:pt idx="77">
                  <c:v>0.95674972420897775</c:v>
                </c:pt>
                <c:pt idx="78">
                  <c:v>0.95674972420897775</c:v>
                </c:pt>
                <c:pt idx="79">
                  <c:v>0.95674972420897775</c:v>
                </c:pt>
                <c:pt idx="80">
                  <c:v>0.7506448684246857</c:v>
                </c:pt>
                <c:pt idx="81">
                  <c:v>0.7506448684246857</c:v>
                </c:pt>
                <c:pt idx="82">
                  <c:v>0.7506448684246857</c:v>
                </c:pt>
                <c:pt idx="83">
                  <c:v>0.7506448684246857</c:v>
                </c:pt>
                <c:pt idx="84">
                  <c:v>0.99080783677360684</c:v>
                </c:pt>
                <c:pt idx="85">
                  <c:v>0.99080783677360684</c:v>
                </c:pt>
                <c:pt idx="86">
                  <c:v>0.99080783677360684</c:v>
                </c:pt>
                <c:pt idx="87">
                  <c:v>0.99080783677360684</c:v>
                </c:pt>
                <c:pt idx="88">
                  <c:v>0.80485602708870874</c:v>
                </c:pt>
                <c:pt idx="89">
                  <c:v>0.80485602708870874</c:v>
                </c:pt>
                <c:pt idx="90">
                  <c:v>0.80485602708870874</c:v>
                </c:pt>
                <c:pt idx="91">
                  <c:v>0.80485602708870874</c:v>
                </c:pt>
                <c:pt idx="92">
                  <c:v>0.90409953771843354</c:v>
                </c:pt>
                <c:pt idx="93">
                  <c:v>0.90409953771843354</c:v>
                </c:pt>
                <c:pt idx="94">
                  <c:v>0.90409953771843354</c:v>
                </c:pt>
                <c:pt idx="95">
                  <c:v>0.90409953771843354</c:v>
                </c:pt>
                <c:pt idx="96">
                  <c:v>1.637512686458964</c:v>
                </c:pt>
                <c:pt idx="97">
                  <c:v>1.637512686458964</c:v>
                </c:pt>
                <c:pt idx="98">
                  <c:v>1.637512686458964</c:v>
                </c:pt>
                <c:pt idx="99">
                  <c:v>1.637512686458964</c:v>
                </c:pt>
                <c:pt idx="100">
                  <c:v>1.5297339340232221</c:v>
                </c:pt>
                <c:pt idx="101">
                  <c:v>1.5297339340232221</c:v>
                </c:pt>
                <c:pt idx="102">
                  <c:v>1.5297339340232221</c:v>
                </c:pt>
                <c:pt idx="103">
                  <c:v>1.5297339340232221</c:v>
                </c:pt>
                <c:pt idx="104">
                  <c:v>1.409708663565979</c:v>
                </c:pt>
                <c:pt idx="105">
                  <c:v>1.409708663565979</c:v>
                </c:pt>
                <c:pt idx="106">
                  <c:v>1.409708663565979</c:v>
                </c:pt>
                <c:pt idx="107">
                  <c:v>1.409708663565979</c:v>
                </c:pt>
                <c:pt idx="108">
                  <c:v>1.308722193926259</c:v>
                </c:pt>
                <c:pt idx="109">
                  <c:v>1.308722193926259</c:v>
                </c:pt>
                <c:pt idx="110">
                  <c:v>1.308722193926259</c:v>
                </c:pt>
                <c:pt idx="111">
                  <c:v>1.308722193926259</c:v>
                </c:pt>
                <c:pt idx="112">
                  <c:v>2.465185230482875</c:v>
                </c:pt>
                <c:pt idx="113">
                  <c:v>2.465185230482875</c:v>
                </c:pt>
                <c:pt idx="114">
                  <c:v>2.465185230482875</c:v>
                </c:pt>
                <c:pt idx="115">
                  <c:v>2.465185230482875</c:v>
                </c:pt>
                <c:pt idx="116">
                  <c:v>1.3132536844973679</c:v>
                </c:pt>
                <c:pt idx="117">
                  <c:v>1.3132536844973679</c:v>
                </c:pt>
                <c:pt idx="118">
                  <c:v>1.3132536844973679</c:v>
                </c:pt>
                <c:pt idx="119">
                  <c:v>1.3132536844973679</c:v>
                </c:pt>
                <c:pt idx="120">
                  <c:v>6.3305576015426448</c:v>
                </c:pt>
                <c:pt idx="121">
                  <c:v>6.3305576015426448</c:v>
                </c:pt>
                <c:pt idx="122">
                  <c:v>6.3305576015426448</c:v>
                </c:pt>
                <c:pt idx="123">
                  <c:v>6.3305576015426448</c:v>
                </c:pt>
                <c:pt idx="124">
                  <c:v>7.3790518114153141</c:v>
                </c:pt>
                <c:pt idx="125">
                  <c:v>7.3790518114153141</c:v>
                </c:pt>
                <c:pt idx="126">
                  <c:v>7.3790518114153141</c:v>
                </c:pt>
                <c:pt idx="127">
                  <c:v>7.3790518114153141</c:v>
                </c:pt>
                <c:pt idx="128">
                  <c:v>9.6347394516842577</c:v>
                </c:pt>
                <c:pt idx="129">
                  <c:v>9.6347394516842577</c:v>
                </c:pt>
                <c:pt idx="130">
                  <c:v>9.6347394516842577</c:v>
                </c:pt>
                <c:pt idx="131">
                  <c:v>9.6347394516842577</c:v>
                </c:pt>
                <c:pt idx="132">
                  <c:v>10.29193780166767</c:v>
                </c:pt>
                <c:pt idx="133">
                  <c:v>10.29193780166767</c:v>
                </c:pt>
                <c:pt idx="134">
                  <c:v>10.29193780166767</c:v>
                </c:pt>
                <c:pt idx="135">
                  <c:v>10.29193780166767</c:v>
                </c:pt>
                <c:pt idx="136">
                  <c:v>11.0988927927906</c:v>
                </c:pt>
                <c:pt idx="137">
                  <c:v>11.0988927927906</c:v>
                </c:pt>
                <c:pt idx="138">
                  <c:v>11.0988927927906</c:v>
                </c:pt>
                <c:pt idx="139">
                  <c:v>11.0988927927906</c:v>
                </c:pt>
                <c:pt idx="140">
                  <c:v>10.19774333808712</c:v>
                </c:pt>
                <c:pt idx="141">
                  <c:v>10.19774333808712</c:v>
                </c:pt>
                <c:pt idx="142">
                  <c:v>10.19774333808712</c:v>
                </c:pt>
                <c:pt idx="143">
                  <c:v>10.19774333808712</c:v>
                </c:pt>
                <c:pt idx="144">
                  <c:v>8.2963646418187362E-2</c:v>
                </c:pt>
                <c:pt idx="145">
                  <c:v>8.2963646418187362E-2</c:v>
                </c:pt>
                <c:pt idx="146">
                  <c:v>8.2963646418187362E-2</c:v>
                </c:pt>
                <c:pt idx="147">
                  <c:v>8.2963646418187362E-2</c:v>
                </c:pt>
                <c:pt idx="148">
                  <c:v>0.1125684434133815</c:v>
                </c:pt>
                <c:pt idx="149">
                  <c:v>0.1125684434133815</c:v>
                </c:pt>
                <c:pt idx="150">
                  <c:v>0.1125684434133815</c:v>
                </c:pt>
                <c:pt idx="151">
                  <c:v>0.1125684434133815</c:v>
                </c:pt>
                <c:pt idx="152">
                  <c:v>0.12710526929016649</c:v>
                </c:pt>
                <c:pt idx="153">
                  <c:v>0.12710526929016649</c:v>
                </c:pt>
                <c:pt idx="154">
                  <c:v>0.12710526929016649</c:v>
                </c:pt>
                <c:pt idx="155">
                  <c:v>0.12710526929016649</c:v>
                </c:pt>
                <c:pt idx="156">
                  <c:v>8.2843043821704931E-2</c:v>
                </c:pt>
                <c:pt idx="157">
                  <c:v>8.2843043821704931E-2</c:v>
                </c:pt>
                <c:pt idx="158">
                  <c:v>8.2843043821704931E-2</c:v>
                </c:pt>
                <c:pt idx="159">
                  <c:v>8.2843043821704931E-2</c:v>
                </c:pt>
                <c:pt idx="160">
                  <c:v>0.1177447291038284</c:v>
                </c:pt>
                <c:pt idx="161">
                  <c:v>0.1177447291038284</c:v>
                </c:pt>
                <c:pt idx="162">
                  <c:v>0.1177447291038284</c:v>
                </c:pt>
                <c:pt idx="163">
                  <c:v>0.1177447291038284</c:v>
                </c:pt>
                <c:pt idx="164">
                  <c:v>0.1147657704770987</c:v>
                </c:pt>
                <c:pt idx="165">
                  <c:v>0.1147657704770987</c:v>
                </c:pt>
                <c:pt idx="166">
                  <c:v>0.1147657704770987</c:v>
                </c:pt>
                <c:pt idx="167">
                  <c:v>0.1147657704770987</c:v>
                </c:pt>
                <c:pt idx="168">
                  <c:v>0.10567749457490171</c:v>
                </c:pt>
                <c:pt idx="169">
                  <c:v>0.10567749457490171</c:v>
                </c:pt>
                <c:pt idx="170">
                  <c:v>0.10567749457490171</c:v>
                </c:pt>
                <c:pt idx="171">
                  <c:v>0.10567749457490171</c:v>
                </c:pt>
                <c:pt idx="172">
                  <c:v>0.19431646820822901</c:v>
                </c:pt>
                <c:pt idx="173">
                  <c:v>0.19431646820822901</c:v>
                </c:pt>
                <c:pt idx="174">
                  <c:v>0.19431646820822901</c:v>
                </c:pt>
                <c:pt idx="175">
                  <c:v>0.19431646820822901</c:v>
                </c:pt>
                <c:pt idx="176">
                  <c:v>0.18202263906573379</c:v>
                </c:pt>
                <c:pt idx="177">
                  <c:v>0.18202263906573379</c:v>
                </c:pt>
                <c:pt idx="178">
                  <c:v>0.18202263906573379</c:v>
                </c:pt>
                <c:pt idx="179">
                  <c:v>0.18202263906573379</c:v>
                </c:pt>
                <c:pt idx="180">
                  <c:v>0.177052568927489</c:v>
                </c:pt>
                <c:pt idx="181">
                  <c:v>0.177052568927489</c:v>
                </c:pt>
                <c:pt idx="182">
                  <c:v>0.177052568927489</c:v>
                </c:pt>
                <c:pt idx="183">
                  <c:v>0.177052568927489</c:v>
                </c:pt>
                <c:pt idx="184">
                  <c:v>0.27455983249816451</c:v>
                </c:pt>
                <c:pt idx="185">
                  <c:v>0.27455983249816451</c:v>
                </c:pt>
                <c:pt idx="186">
                  <c:v>0.27455983249816451</c:v>
                </c:pt>
                <c:pt idx="187">
                  <c:v>0.27455983249816451</c:v>
                </c:pt>
                <c:pt idx="188">
                  <c:v>0.40820851895901789</c:v>
                </c:pt>
                <c:pt idx="189">
                  <c:v>0.40820851895901789</c:v>
                </c:pt>
                <c:pt idx="190">
                  <c:v>0.40820851895901789</c:v>
                </c:pt>
                <c:pt idx="191">
                  <c:v>0.40820851895901789</c:v>
                </c:pt>
                <c:pt idx="192">
                  <c:v>1.670735682705939</c:v>
                </c:pt>
                <c:pt idx="193">
                  <c:v>1.670735682705939</c:v>
                </c:pt>
                <c:pt idx="194">
                  <c:v>1.670735682705939</c:v>
                </c:pt>
                <c:pt idx="195">
                  <c:v>1.670735682705939</c:v>
                </c:pt>
                <c:pt idx="196">
                  <c:v>1.619800877878083</c:v>
                </c:pt>
                <c:pt idx="197">
                  <c:v>1.619800877878083</c:v>
                </c:pt>
                <c:pt idx="198">
                  <c:v>1.619800877878083</c:v>
                </c:pt>
                <c:pt idx="199">
                  <c:v>1.619800877878083</c:v>
                </c:pt>
                <c:pt idx="200">
                  <c:v>1.8443544310864439</c:v>
                </c:pt>
                <c:pt idx="201">
                  <c:v>1.8443544310864439</c:v>
                </c:pt>
                <c:pt idx="202">
                  <c:v>1.8443544310864439</c:v>
                </c:pt>
                <c:pt idx="203">
                  <c:v>1.8443544310864439</c:v>
                </c:pt>
                <c:pt idx="204">
                  <c:v>1.8588080393447699</c:v>
                </c:pt>
                <c:pt idx="205">
                  <c:v>1.8588080393447699</c:v>
                </c:pt>
                <c:pt idx="206">
                  <c:v>1.8588080393447699</c:v>
                </c:pt>
                <c:pt idx="207">
                  <c:v>1.8588080393447699</c:v>
                </c:pt>
                <c:pt idx="208">
                  <c:v>1.8225943435336369</c:v>
                </c:pt>
                <c:pt idx="209">
                  <c:v>1.8225943435336369</c:v>
                </c:pt>
                <c:pt idx="210">
                  <c:v>1.8225943435336369</c:v>
                </c:pt>
                <c:pt idx="211">
                  <c:v>1.8225943435336369</c:v>
                </c:pt>
                <c:pt idx="212">
                  <c:v>2.036323027173855</c:v>
                </c:pt>
                <c:pt idx="213">
                  <c:v>2.036323027173855</c:v>
                </c:pt>
                <c:pt idx="214">
                  <c:v>2.036323027173855</c:v>
                </c:pt>
                <c:pt idx="215">
                  <c:v>2.036323027173855</c:v>
                </c:pt>
                <c:pt idx="216">
                  <c:v>0.25858418693050872</c:v>
                </c:pt>
                <c:pt idx="217">
                  <c:v>0.25858418693050872</c:v>
                </c:pt>
                <c:pt idx="218">
                  <c:v>0.25858418693050872</c:v>
                </c:pt>
                <c:pt idx="219">
                  <c:v>0.25858418693050872</c:v>
                </c:pt>
                <c:pt idx="220">
                  <c:v>0.42343876473384962</c:v>
                </c:pt>
                <c:pt idx="221">
                  <c:v>0.42343876473384962</c:v>
                </c:pt>
                <c:pt idx="222">
                  <c:v>0.42343876473384962</c:v>
                </c:pt>
                <c:pt idx="223">
                  <c:v>0.42343876473384962</c:v>
                </c:pt>
                <c:pt idx="224">
                  <c:v>0.42339525951042151</c:v>
                </c:pt>
                <c:pt idx="225">
                  <c:v>0.42339525951042151</c:v>
                </c:pt>
                <c:pt idx="226">
                  <c:v>0.42339525951042151</c:v>
                </c:pt>
                <c:pt idx="227">
                  <c:v>0.42339525951042151</c:v>
                </c:pt>
                <c:pt idx="228">
                  <c:v>0.2332189462001916</c:v>
                </c:pt>
                <c:pt idx="229">
                  <c:v>0.2332189462001916</c:v>
                </c:pt>
                <c:pt idx="230">
                  <c:v>0.2332189462001916</c:v>
                </c:pt>
                <c:pt idx="231">
                  <c:v>0.2332189462001916</c:v>
                </c:pt>
                <c:pt idx="232">
                  <c:v>0.30099524076358469</c:v>
                </c:pt>
                <c:pt idx="233">
                  <c:v>0.30099524076358469</c:v>
                </c:pt>
                <c:pt idx="234">
                  <c:v>0.30099524076358469</c:v>
                </c:pt>
                <c:pt idx="235">
                  <c:v>0.30099524076358469</c:v>
                </c:pt>
                <c:pt idx="236">
                  <c:v>0.1926127574837464</c:v>
                </c:pt>
                <c:pt idx="237">
                  <c:v>0.1926127574837464</c:v>
                </c:pt>
                <c:pt idx="238">
                  <c:v>0.1926127574837464</c:v>
                </c:pt>
                <c:pt idx="239">
                  <c:v>0.1926127574837464</c:v>
                </c:pt>
              </c:numCache>
            </c:numRef>
          </c:xVal>
          <c:yVal>
            <c:numRef>
              <c:f>data_ai_inv_share_since2020!$G$2:$G$241</c:f>
              <c:numCache>
                <c:formatCode>General</c:formatCode>
                <c:ptCount val="240"/>
                <c:pt idx="0">
                  <c:v>-7.9847948866310681</c:v>
                </c:pt>
                <c:pt idx="1">
                  <c:v>0.46118188805930949</c:v>
                </c:pt>
                <c:pt idx="2">
                  <c:v>-8.2206600102329226</c:v>
                </c:pt>
                <c:pt idx="3">
                  <c:v>-1.0768855115855178</c:v>
                </c:pt>
                <c:pt idx="4">
                  <c:v>0.76893286752627699</c:v>
                </c:pt>
                <c:pt idx="5">
                  <c:v>0.48171699050076189</c:v>
                </c:pt>
                <c:pt idx="6">
                  <c:v>-0.12040772358579854</c:v>
                </c:pt>
                <c:pt idx="7">
                  <c:v>1.4769560816494312</c:v>
                </c:pt>
                <c:pt idx="8">
                  <c:v>0.40154250941074832</c:v>
                </c:pt>
                <c:pt idx="9">
                  <c:v>0.64298889545450244</c:v>
                </c:pt>
                <c:pt idx="10">
                  <c:v>1.0084359083347181</c:v>
                </c:pt>
                <c:pt idx="11">
                  <c:v>1.3702545552891778</c:v>
                </c:pt>
                <c:pt idx="12">
                  <c:v>-0.98019515889366993</c:v>
                </c:pt>
                <c:pt idx="13">
                  <c:v>-0.13027453123457455</c:v>
                </c:pt>
                <c:pt idx="14">
                  <c:v>-2.5508576021803226</c:v>
                </c:pt>
                <c:pt idx="15">
                  <c:v>-1.0702367914746427</c:v>
                </c:pt>
                <c:pt idx="16">
                  <c:v>-1.8366159871647127</c:v>
                </c:pt>
                <c:pt idx="17">
                  <c:v>-0.21195285203919834</c:v>
                </c:pt>
                <c:pt idx="18">
                  <c:v>-2.4463356446785758</c:v>
                </c:pt>
                <c:pt idx="19">
                  <c:v>-1.1247210626404764</c:v>
                </c:pt>
                <c:pt idx="20">
                  <c:v>-4.0626120301336499E-2</c:v>
                </c:pt>
                <c:pt idx="21">
                  <c:v>0.6380507018262298</c:v>
                </c:pt>
                <c:pt idx="22">
                  <c:v>-0.64960653009995739</c:v>
                </c:pt>
                <c:pt idx="23">
                  <c:v>1.235120832270407</c:v>
                </c:pt>
                <c:pt idx="24">
                  <c:v>-5.8720213186906536</c:v>
                </c:pt>
                <c:pt idx="25">
                  <c:v>3.5084821711300487</c:v>
                </c:pt>
                <c:pt idx="26">
                  <c:v>-6.1107535820139915</c:v>
                </c:pt>
                <c:pt idx="27">
                  <c:v>2.2459230282070131</c:v>
                </c:pt>
                <c:pt idx="28">
                  <c:v>1.9428126002794937</c:v>
                </c:pt>
                <c:pt idx="29">
                  <c:v>8.311464590272255E-2</c:v>
                </c:pt>
                <c:pt idx="30">
                  <c:v>-0.62319540430046239</c:v>
                </c:pt>
                <c:pt idx="31">
                  <c:v>1.5244104334755164</c:v>
                </c:pt>
                <c:pt idx="32">
                  <c:v>1.2985802285253398</c:v>
                </c:pt>
                <c:pt idx="33">
                  <c:v>1.1286019302321901</c:v>
                </c:pt>
                <c:pt idx="34">
                  <c:v>0.27459955625362209</c:v>
                </c:pt>
                <c:pt idx="35">
                  <c:v>1.9291371195943738</c:v>
                </c:pt>
                <c:pt idx="36">
                  <c:v>1.3883640898298362</c:v>
                </c:pt>
                <c:pt idx="37">
                  <c:v>0.10822182527690605</c:v>
                </c:pt>
                <c:pt idx="38">
                  <c:v>-0.22744129975502081</c:v>
                </c:pt>
                <c:pt idx="39">
                  <c:v>0.3161099745136402</c:v>
                </c:pt>
                <c:pt idx="40">
                  <c:v>-0.27505597868087905</c:v>
                </c:pt>
                <c:pt idx="41">
                  <c:v>-5.2551522415263063E-2</c:v>
                </c:pt>
                <c:pt idx="42">
                  <c:v>-0.26942607773384397</c:v>
                </c:pt>
                <c:pt idx="43">
                  <c:v>-0.18241471680150112</c:v>
                </c:pt>
                <c:pt idx="44">
                  <c:v>-0.26624808616432227</c:v>
                </c:pt>
                <c:pt idx="45">
                  <c:v>-1.9512226852114511E-2</c:v>
                </c:pt>
                <c:pt idx="46">
                  <c:v>-0.3989585451423473</c:v>
                </c:pt>
                <c:pt idx="47">
                  <c:v>0.20939697133562885</c:v>
                </c:pt>
                <c:pt idx="48">
                  <c:v>-5.5117432414984107</c:v>
                </c:pt>
                <c:pt idx="49">
                  <c:v>1.0663028045156304</c:v>
                </c:pt>
                <c:pt idx="50">
                  <c:v>-6.0477828073613109</c:v>
                </c:pt>
                <c:pt idx="51">
                  <c:v>1.9676759169072984</c:v>
                </c:pt>
                <c:pt idx="52">
                  <c:v>0.31461082759038206</c:v>
                </c:pt>
                <c:pt idx="53">
                  <c:v>1.097113718613111</c:v>
                </c:pt>
                <c:pt idx="54">
                  <c:v>-2.0409268972643462</c:v>
                </c:pt>
                <c:pt idx="55">
                  <c:v>0.42604586480458417</c:v>
                </c:pt>
                <c:pt idx="56">
                  <c:v>-2.6609443169839953</c:v>
                </c:pt>
                <c:pt idx="57">
                  <c:v>0.37338056935970299</c:v>
                </c:pt>
                <c:pt idx="58">
                  <c:v>-2.1229358469342294</c:v>
                </c:pt>
                <c:pt idx="59">
                  <c:v>0.37386578423211692</c:v>
                </c:pt>
                <c:pt idx="60">
                  <c:v>-0.19093583944082815</c:v>
                </c:pt>
                <c:pt idx="61">
                  <c:v>-0.54354189717324675</c:v>
                </c:pt>
                <c:pt idx="62">
                  <c:v>-3.2259227434105444</c:v>
                </c:pt>
                <c:pt idx="63">
                  <c:v>-1.0064641370532392</c:v>
                </c:pt>
                <c:pt idx="64">
                  <c:v>-0.76398245054191438</c:v>
                </c:pt>
                <c:pt idx="65">
                  <c:v>0.15197449145164205</c:v>
                </c:pt>
                <c:pt idx="66">
                  <c:v>-1.3181654375038181</c:v>
                </c:pt>
                <c:pt idx="67">
                  <c:v>-8.7013171124686664E-2</c:v>
                </c:pt>
                <c:pt idx="68">
                  <c:v>-0.35308220120580563</c:v>
                </c:pt>
                <c:pt idx="69">
                  <c:v>0.16956839292984849</c:v>
                </c:pt>
                <c:pt idx="70">
                  <c:v>-0.67387334670426191</c:v>
                </c:pt>
                <c:pt idx="71">
                  <c:v>0.37008740234464971</c:v>
                </c:pt>
                <c:pt idx="72">
                  <c:v>-13.076741440445701</c:v>
                </c:pt>
                <c:pt idx="73">
                  <c:v>0.82436876065597886</c:v>
                </c:pt>
                <c:pt idx="74">
                  <c:v>-13.449524977065238</c:v>
                </c:pt>
                <c:pt idx="75">
                  <c:v>-2.2018192403305132</c:v>
                </c:pt>
                <c:pt idx="76">
                  <c:v>1.1184606927194407</c:v>
                </c:pt>
                <c:pt idx="77">
                  <c:v>1.8458632295773425</c:v>
                </c:pt>
                <c:pt idx="78">
                  <c:v>-0.50686163990971256</c:v>
                </c:pt>
                <c:pt idx="79">
                  <c:v>0.58806104979523433</c:v>
                </c:pt>
                <c:pt idx="80">
                  <c:v>0.64788894209388648</c:v>
                </c:pt>
                <c:pt idx="81">
                  <c:v>1.6280433106379038</c:v>
                </c:pt>
                <c:pt idx="82">
                  <c:v>-0.60227924273788158</c:v>
                </c:pt>
                <c:pt idx="83">
                  <c:v>2.149623075816363</c:v>
                </c:pt>
                <c:pt idx="84">
                  <c:v>1.4759385035830395</c:v>
                </c:pt>
                <c:pt idx="85">
                  <c:v>6.5493966740925114E-2</c:v>
                </c:pt>
                <c:pt idx="86">
                  <c:v>-0.94199003346141597</c:v>
                </c:pt>
                <c:pt idx="87">
                  <c:v>0.49429728762396685</c:v>
                </c:pt>
                <c:pt idx="88">
                  <c:v>1.7363603942146351</c:v>
                </c:pt>
                <c:pt idx="89">
                  <c:v>0.42996620634170712</c:v>
                </c:pt>
                <c:pt idx="90">
                  <c:v>1.432026290013092</c:v>
                </c:pt>
                <c:pt idx="91">
                  <c:v>1.2521726761369569</c:v>
                </c:pt>
                <c:pt idx="92">
                  <c:v>0.4397199192889798</c:v>
                </c:pt>
                <c:pt idx="93">
                  <c:v>-8.2255734956584892E-2</c:v>
                </c:pt>
                <c:pt idx="94">
                  <c:v>0.83836493177998594</c:v>
                </c:pt>
                <c:pt idx="95">
                  <c:v>0.23477837424939674</c:v>
                </c:pt>
                <c:pt idx="96">
                  <c:v>-3.6230506117637438</c:v>
                </c:pt>
                <c:pt idx="97">
                  <c:v>1.7496128021536563</c:v>
                </c:pt>
                <c:pt idx="98">
                  <c:v>-3.6875295267387962</c:v>
                </c:pt>
                <c:pt idx="99">
                  <c:v>3.812344683053138</c:v>
                </c:pt>
                <c:pt idx="100">
                  <c:v>-0.25859743194969287</c:v>
                </c:pt>
                <c:pt idx="101">
                  <c:v>-0.76255561777172076</c:v>
                </c:pt>
                <c:pt idx="102">
                  <c:v>-1.0319888097993339</c:v>
                </c:pt>
                <c:pt idx="103">
                  <c:v>-9.7992979043315831E-2</c:v>
                </c:pt>
                <c:pt idx="104">
                  <c:v>-2.0671616710759921</c:v>
                </c:pt>
                <c:pt idx="105">
                  <c:v>-1.5677906220824354</c:v>
                </c:pt>
                <c:pt idx="106">
                  <c:v>-1.9916383255658392</c:v>
                </c:pt>
                <c:pt idx="107">
                  <c:v>-0.84304938846227129</c:v>
                </c:pt>
                <c:pt idx="108">
                  <c:v>-1.5379932664356266</c:v>
                </c:pt>
                <c:pt idx="109">
                  <c:v>-1.4350651524638591</c:v>
                </c:pt>
                <c:pt idx="110">
                  <c:v>-2.96232576895608</c:v>
                </c:pt>
                <c:pt idx="111">
                  <c:v>-1.4958963214910126</c:v>
                </c:pt>
                <c:pt idx="112">
                  <c:v>5.5454419377964248E-2</c:v>
                </c:pt>
                <c:pt idx="113">
                  <c:v>1.1596069734324581</c:v>
                </c:pt>
                <c:pt idx="114">
                  <c:v>-0.49398677856419337</c:v>
                </c:pt>
                <c:pt idx="115">
                  <c:v>0.84187322906342721</c:v>
                </c:pt>
                <c:pt idx="116">
                  <c:v>-0.74460636681637882</c:v>
                </c:pt>
                <c:pt idx="117">
                  <c:v>0.72418125285179868</c:v>
                </c:pt>
                <c:pt idx="118">
                  <c:v>-0.5607547780382397</c:v>
                </c:pt>
                <c:pt idx="119">
                  <c:v>-0.17606213387669556</c:v>
                </c:pt>
                <c:pt idx="120">
                  <c:v>-9.1974015560336042</c:v>
                </c:pt>
                <c:pt idx="121">
                  <c:v>1.4391287067798215</c:v>
                </c:pt>
                <c:pt idx="122">
                  <c:v>-9.4157638701608679</c:v>
                </c:pt>
                <c:pt idx="123">
                  <c:v>0.33628419121901221</c:v>
                </c:pt>
                <c:pt idx="124">
                  <c:v>0.77492257463683512</c:v>
                </c:pt>
                <c:pt idx="125">
                  <c:v>2.7609048047935403E-2</c:v>
                </c:pt>
                <c:pt idx="126">
                  <c:v>-0.83094601408312574</c:v>
                </c:pt>
                <c:pt idx="127">
                  <c:v>0.85548580385178141</c:v>
                </c:pt>
                <c:pt idx="128">
                  <c:v>-1.0044763978131481</c:v>
                </c:pt>
                <c:pt idx="129">
                  <c:v>0.13221272000764106</c:v>
                </c:pt>
                <c:pt idx="130">
                  <c:v>-1.4498059135976793</c:v>
                </c:pt>
                <c:pt idx="131">
                  <c:v>-0.33728125818969223</c:v>
                </c:pt>
                <c:pt idx="132">
                  <c:v>1.362740568589244</c:v>
                </c:pt>
                <c:pt idx="133">
                  <c:v>0.799970788141108</c:v>
                </c:pt>
                <c:pt idx="134">
                  <c:v>3.3137959113811011E-2</c:v>
                </c:pt>
                <c:pt idx="135">
                  <c:v>1.0779868195341884</c:v>
                </c:pt>
                <c:pt idx="136">
                  <c:v>0.16738745154850099</c:v>
                </c:pt>
                <c:pt idx="137">
                  <c:v>0.27545247469052403</c:v>
                </c:pt>
                <c:pt idx="138">
                  <c:v>-4.1217278471559204E-3</c:v>
                </c:pt>
                <c:pt idx="139">
                  <c:v>0.68596377940700104</c:v>
                </c:pt>
                <c:pt idx="140">
                  <c:v>6.3031178006735966E-2</c:v>
                </c:pt>
                <c:pt idx="141">
                  <c:v>0.18847413300152815</c:v>
                </c:pt>
                <c:pt idx="142">
                  <c:v>-0.37378753748365889</c:v>
                </c:pt>
                <c:pt idx="143">
                  <c:v>0.31295676387087734</c:v>
                </c:pt>
                <c:pt idx="144">
                  <c:v>3.4578095605905887</c:v>
                </c:pt>
                <c:pt idx="145">
                  <c:v>9.3237810475628535</c:v>
                </c:pt>
                <c:pt idx="146">
                  <c:v>3.6187658069427835</c:v>
                </c:pt>
                <c:pt idx="147">
                  <c:v>14.933429444226089</c:v>
                </c:pt>
                <c:pt idx="148">
                  <c:v>12.176886461707223</c:v>
                </c:pt>
                <c:pt idx="149">
                  <c:v>0.5617185951764796</c:v>
                </c:pt>
                <c:pt idx="150">
                  <c:v>9.0402581837302627</c:v>
                </c:pt>
                <c:pt idx="151">
                  <c:v>10.52537395238202</c:v>
                </c:pt>
                <c:pt idx="152">
                  <c:v>2.8975720388514441</c:v>
                </c:pt>
                <c:pt idx="153">
                  <c:v>0.11836057066008809</c:v>
                </c:pt>
                <c:pt idx="154">
                  <c:v>3.0134574969968924</c:v>
                </c:pt>
                <c:pt idx="155">
                  <c:v>2.607758140674961</c:v>
                </c:pt>
                <c:pt idx="156">
                  <c:v>-6.6927658082332888</c:v>
                </c:pt>
                <c:pt idx="157">
                  <c:v>-2.5855542962976177</c:v>
                </c:pt>
                <c:pt idx="158">
                  <c:v>-7.955341703093274</c:v>
                </c:pt>
                <c:pt idx="159">
                  <c:v>-9.0375833468898072</c:v>
                </c:pt>
                <c:pt idx="160">
                  <c:v>0.57631554946716701</c:v>
                </c:pt>
                <c:pt idx="161">
                  <c:v>4.1610059157908612</c:v>
                </c:pt>
                <c:pt idx="162">
                  <c:v>-1.3475656933011551</c:v>
                </c:pt>
                <c:pt idx="163">
                  <c:v>2.3766670965922447</c:v>
                </c:pt>
                <c:pt idx="164">
                  <c:v>3.7555055239175816</c:v>
                </c:pt>
                <c:pt idx="165">
                  <c:v>-2.8716445193852991</c:v>
                </c:pt>
                <c:pt idx="166">
                  <c:v>4.186398837203722</c:v>
                </c:pt>
                <c:pt idx="167">
                  <c:v>4.4019772197251861</c:v>
                </c:pt>
                <c:pt idx="168">
                  <c:v>-9.8107396813353134</c:v>
                </c:pt>
                <c:pt idx="169">
                  <c:v>0.47316871767660729</c:v>
                </c:pt>
                <c:pt idx="170">
                  <c:v>-10.090165875589653</c:v>
                </c:pt>
                <c:pt idx="171">
                  <c:v>0.13961409785200196</c:v>
                </c:pt>
                <c:pt idx="172">
                  <c:v>4.3860333621503482</c:v>
                </c:pt>
                <c:pt idx="173">
                  <c:v>2.2077938630119469</c:v>
                </c:pt>
                <c:pt idx="174">
                  <c:v>1.8874102730208113</c:v>
                </c:pt>
                <c:pt idx="175">
                  <c:v>4.2301947873575489</c:v>
                </c:pt>
                <c:pt idx="176">
                  <c:v>0.58569431791028492</c:v>
                </c:pt>
                <c:pt idx="177">
                  <c:v>1.0277214587440522</c:v>
                </c:pt>
                <c:pt idx="178">
                  <c:v>0.46115485843316062</c:v>
                </c:pt>
                <c:pt idx="179">
                  <c:v>2.428959206215525</c:v>
                </c:pt>
                <c:pt idx="180">
                  <c:v>0.69953692902983344</c:v>
                </c:pt>
                <c:pt idx="181">
                  <c:v>0.3227009071263518</c:v>
                </c:pt>
                <c:pt idx="182">
                  <c:v>-0.83701733507933507</c:v>
                </c:pt>
                <c:pt idx="183">
                  <c:v>-0.19232404471208708</c:v>
                </c:pt>
                <c:pt idx="184">
                  <c:v>-0.26756306953106568</c:v>
                </c:pt>
                <c:pt idx="185">
                  <c:v>-8.4118151145665343E-2</c:v>
                </c:pt>
                <c:pt idx="186">
                  <c:v>-0.50358721299028975</c:v>
                </c:pt>
                <c:pt idx="187">
                  <c:v>-0.35185080229070154</c:v>
                </c:pt>
                <c:pt idx="188">
                  <c:v>-0.37629081703927114</c:v>
                </c:pt>
                <c:pt idx="189">
                  <c:v>0.30154220637721435</c:v>
                </c:pt>
                <c:pt idx="190">
                  <c:v>-0.43658647742987933</c:v>
                </c:pt>
                <c:pt idx="191">
                  <c:v>-3.1208783804359541E-3</c:v>
                </c:pt>
                <c:pt idx="192">
                  <c:v>-5.1870723493020137</c:v>
                </c:pt>
                <c:pt idx="193">
                  <c:v>1.4182708153157462</c:v>
                </c:pt>
                <c:pt idx="194">
                  <c:v>-5.5233877578965265</c:v>
                </c:pt>
                <c:pt idx="195">
                  <c:v>2.9439454385808403</c:v>
                </c:pt>
                <c:pt idx="196">
                  <c:v>3.8584405374490256</c:v>
                </c:pt>
                <c:pt idx="197">
                  <c:v>2.0469395382772038</c:v>
                </c:pt>
                <c:pt idx="198">
                  <c:v>1.0561243309838426</c:v>
                </c:pt>
                <c:pt idx="199">
                  <c:v>3.6815274398948827</c:v>
                </c:pt>
                <c:pt idx="200">
                  <c:v>1.5403141268462113</c:v>
                </c:pt>
                <c:pt idx="201">
                  <c:v>0.24027154732824307</c:v>
                </c:pt>
                <c:pt idx="202">
                  <c:v>1.3102425391146273</c:v>
                </c:pt>
                <c:pt idx="203">
                  <c:v>1.6179605359437201</c:v>
                </c:pt>
                <c:pt idx="204">
                  <c:v>-1.2332667915025379</c:v>
                </c:pt>
                <c:pt idx="205">
                  <c:v>-1.1646182848044611</c:v>
                </c:pt>
                <c:pt idx="206">
                  <c:v>-2.1529435732412807</c:v>
                </c:pt>
                <c:pt idx="207">
                  <c:v>-2.3856877313900817</c:v>
                </c:pt>
                <c:pt idx="208">
                  <c:v>-3.2333375546518051E-2</c:v>
                </c:pt>
                <c:pt idx="209">
                  <c:v>0.21729749415612565</c:v>
                </c:pt>
                <c:pt idx="210">
                  <c:v>-0.12243536174728198</c:v>
                </c:pt>
                <c:pt idx="211">
                  <c:v>0.2982196320767394</c:v>
                </c:pt>
                <c:pt idx="212">
                  <c:v>1.1664057740270906E-2</c:v>
                </c:pt>
                <c:pt idx="213">
                  <c:v>-0.13369066632513404</c:v>
                </c:pt>
                <c:pt idx="214">
                  <c:v>9.6561946396513942E-2</c:v>
                </c:pt>
                <c:pt idx="215">
                  <c:v>0.28046899053471286</c:v>
                </c:pt>
                <c:pt idx="216">
                  <c:v>-10.260788720529403</c:v>
                </c:pt>
                <c:pt idx="217">
                  <c:v>0.72965359060849089</c:v>
                </c:pt>
                <c:pt idx="218">
                  <c:v>-10.276302834282514</c:v>
                </c:pt>
                <c:pt idx="219">
                  <c:v>-1.7957222419949357</c:v>
                </c:pt>
                <c:pt idx="220">
                  <c:v>4.9176366349780842E-2</c:v>
                </c:pt>
                <c:pt idx="221">
                  <c:v>0.86703084261086261</c:v>
                </c:pt>
                <c:pt idx="222">
                  <c:v>-0.40807185936133461</c:v>
                </c:pt>
                <c:pt idx="223">
                  <c:v>1.46572942535055</c:v>
                </c:pt>
                <c:pt idx="224">
                  <c:v>1.4313467273622811</c:v>
                </c:pt>
                <c:pt idx="225">
                  <c:v>0.16648728936240431</c:v>
                </c:pt>
                <c:pt idx="226">
                  <c:v>1.65373321511687</c:v>
                </c:pt>
                <c:pt idx="227">
                  <c:v>0.94714374205589991</c:v>
                </c:pt>
                <c:pt idx="228">
                  <c:v>2.3359588026966547</c:v>
                </c:pt>
                <c:pt idx="229">
                  <c:v>0.82603710498769489</c:v>
                </c:pt>
                <c:pt idx="230">
                  <c:v>0.39242832347734202</c:v>
                </c:pt>
                <c:pt idx="231">
                  <c:v>0.61415875922665375</c:v>
                </c:pt>
                <c:pt idx="232">
                  <c:v>0.877059487557313</c:v>
                </c:pt>
                <c:pt idx="233">
                  <c:v>0.53893400861308405</c:v>
                </c:pt>
                <c:pt idx="234">
                  <c:v>0.43349115215204903</c:v>
                </c:pt>
                <c:pt idx="235">
                  <c:v>0.45622753459714716</c:v>
                </c:pt>
                <c:pt idx="236">
                  <c:v>-6.8744074650670672E-3</c:v>
                </c:pt>
                <c:pt idx="237">
                  <c:v>-5.4520243395466128E-2</c:v>
                </c:pt>
                <c:pt idx="238">
                  <c:v>-3.1093439656520117E-2</c:v>
                </c:pt>
                <c:pt idx="23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ACC-42D3-B0DB-67FB341B05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vs. AI incoming investment share -- through 2019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data_ai_inv_share_till2019!$H$2:$H$201</c:f>
              <c:numCache>
                <c:formatCode>General</c:formatCode>
                <c:ptCount val="200"/>
                <c:pt idx="0">
                  <c:v>7.6773113441487876E-3</c:v>
                </c:pt>
                <c:pt idx="1">
                  <c:v>7.6773113441487876E-3</c:v>
                </c:pt>
                <c:pt idx="2">
                  <c:v>7.6773113441487876E-3</c:v>
                </c:pt>
                <c:pt idx="3">
                  <c:v>7.6773113441487876E-3</c:v>
                </c:pt>
                <c:pt idx="4">
                  <c:v>5.3022968855759911E-2</c:v>
                </c:pt>
                <c:pt idx="5">
                  <c:v>5.3022968855759911E-2</c:v>
                </c:pt>
                <c:pt idx="6">
                  <c:v>5.3022968855759911E-2</c:v>
                </c:pt>
                <c:pt idx="7">
                  <c:v>5.3022968855759911E-2</c:v>
                </c:pt>
                <c:pt idx="8">
                  <c:v>5.9589469522748573E-2</c:v>
                </c:pt>
                <c:pt idx="9">
                  <c:v>5.9589469522748573E-2</c:v>
                </c:pt>
                <c:pt idx="10">
                  <c:v>5.9589469522748573E-2</c:v>
                </c:pt>
                <c:pt idx="11">
                  <c:v>5.9589469522748573E-2</c:v>
                </c:pt>
                <c:pt idx="12">
                  <c:v>9.6177469626261142E-2</c:v>
                </c:pt>
                <c:pt idx="13">
                  <c:v>9.6177469626261142E-2</c:v>
                </c:pt>
                <c:pt idx="14">
                  <c:v>9.6177469626261142E-2</c:v>
                </c:pt>
                <c:pt idx="15">
                  <c:v>9.6177469626261142E-2</c:v>
                </c:pt>
                <c:pt idx="16">
                  <c:v>0.1056000115914431</c:v>
                </c:pt>
                <c:pt idx="17">
                  <c:v>0.1056000115914431</c:v>
                </c:pt>
                <c:pt idx="18">
                  <c:v>0.1056000115914431</c:v>
                </c:pt>
                <c:pt idx="19">
                  <c:v>0.1056000115914431</c:v>
                </c:pt>
                <c:pt idx="20">
                  <c:v>0.48977750567916351</c:v>
                </c:pt>
                <c:pt idx="21">
                  <c:v>0.48977750567916351</c:v>
                </c:pt>
                <c:pt idx="22">
                  <c:v>0.48977750567916351</c:v>
                </c:pt>
                <c:pt idx="23">
                  <c:v>0.48977750567916351</c:v>
                </c:pt>
                <c:pt idx="24">
                  <c:v>0.1513774400939549</c:v>
                </c:pt>
                <c:pt idx="25">
                  <c:v>0.1513774400939549</c:v>
                </c:pt>
                <c:pt idx="26">
                  <c:v>0.1513774400939549</c:v>
                </c:pt>
                <c:pt idx="27">
                  <c:v>0.1513774400939549</c:v>
                </c:pt>
                <c:pt idx="28">
                  <c:v>0.66525710185055431</c:v>
                </c:pt>
                <c:pt idx="29">
                  <c:v>0.66525710185055431</c:v>
                </c:pt>
                <c:pt idx="30">
                  <c:v>0.66525710185055431</c:v>
                </c:pt>
                <c:pt idx="31">
                  <c:v>0.66525710185055431</c:v>
                </c:pt>
                <c:pt idx="32">
                  <c:v>0.31283116111195841</c:v>
                </c:pt>
                <c:pt idx="33">
                  <c:v>0.31283116111195841</c:v>
                </c:pt>
                <c:pt idx="34">
                  <c:v>0.31283116111195841</c:v>
                </c:pt>
                <c:pt idx="35">
                  <c:v>0.31283116111195841</c:v>
                </c:pt>
                <c:pt idx="36">
                  <c:v>0.35492531336208027</c:v>
                </c:pt>
                <c:pt idx="37">
                  <c:v>0.35492531336208027</c:v>
                </c:pt>
                <c:pt idx="38">
                  <c:v>0.35492531336208027</c:v>
                </c:pt>
                <c:pt idx="39">
                  <c:v>0.35492531336208027</c:v>
                </c:pt>
                <c:pt idx="40">
                  <c:v>1.1031766805101459</c:v>
                </c:pt>
                <c:pt idx="41">
                  <c:v>1.1031766805101459</c:v>
                </c:pt>
                <c:pt idx="42">
                  <c:v>1.1031766805101459</c:v>
                </c:pt>
                <c:pt idx="43">
                  <c:v>1.1031766805101459</c:v>
                </c:pt>
                <c:pt idx="44">
                  <c:v>1.7278102370699631</c:v>
                </c:pt>
                <c:pt idx="45">
                  <c:v>1.7278102370699631</c:v>
                </c:pt>
                <c:pt idx="46">
                  <c:v>1.7278102370699631</c:v>
                </c:pt>
                <c:pt idx="47">
                  <c:v>1.7278102370699631</c:v>
                </c:pt>
                <c:pt idx="48">
                  <c:v>2.4831104150519061</c:v>
                </c:pt>
                <c:pt idx="49">
                  <c:v>2.4831104150519061</c:v>
                </c:pt>
                <c:pt idx="50">
                  <c:v>2.4831104150519061</c:v>
                </c:pt>
                <c:pt idx="51">
                  <c:v>2.4831104150519061</c:v>
                </c:pt>
                <c:pt idx="52">
                  <c:v>2.6363043986490182</c:v>
                </c:pt>
                <c:pt idx="53">
                  <c:v>2.6363043986490182</c:v>
                </c:pt>
                <c:pt idx="54">
                  <c:v>2.6363043986490182</c:v>
                </c:pt>
                <c:pt idx="55">
                  <c:v>2.6363043986490182</c:v>
                </c:pt>
                <c:pt idx="56">
                  <c:v>3.7776131748386681</c:v>
                </c:pt>
                <c:pt idx="57">
                  <c:v>3.7776131748386681</c:v>
                </c:pt>
                <c:pt idx="58">
                  <c:v>3.7776131748386681</c:v>
                </c:pt>
                <c:pt idx="59">
                  <c:v>3.7776131748386681</c:v>
                </c:pt>
                <c:pt idx="60">
                  <c:v>0.2475573113650236</c:v>
                </c:pt>
                <c:pt idx="61">
                  <c:v>0.2475573113650236</c:v>
                </c:pt>
                <c:pt idx="62">
                  <c:v>0.2475573113650236</c:v>
                </c:pt>
                <c:pt idx="63">
                  <c:v>0.2475573113650236</c:v>
                </c:pt>
                <c:pt idx="64">
                  <c:v>0.32671076843180541</c:v>
                </c:pt>
                <c:pt idx="65">
                  <c:v>0.32671076843180541</c:v>
                </c:pt>
                <c:pt idx="66">
                  <c:v>0.32671076843180541</c:v>
                </c:pt>
                <c:pt idx="67">
                  <c:v>0.32671076843180541</c:v>
                </c:pt>
                <c:pt idx="68">
                  <c:v>0.31053671124002452</c:v>
                </c:pt>
                <c:pt idx="69">
                  <c:v>0.31053671124002452</c:v>
                </c:pt>
                <c:pt idx="70">
                  <c:v>0.31053671124002452</c:v>
                </c:pt>
                <c:pt idx="71">
                  <c:v>0.31053671124002452</c:v>
                </c:pt>
                <c:pt idx="72">
                  <c:v>0.37142317776040679</c:v>
                </c:pt>
                <c:pt idx="73">
                  <c:v>0.37142317776040679</c:v>
                </c:pt>
                <c:pt idx="74">
                  <c:v>0.37142317776040679</c:v>
                </c:pt>
                <c:pt idx="75">
                  <c:v>0.37142317776040679</c:v>
                </c:pt>
                <c:pt idx="76">
                  <c:v>0.4611968442438833</c:v>
                </c:pt>
                <c:pt idx="77">
                  <c:v>0.4611968442438833</c:v>
                </c:pt>
                <c:pt idx="78">
                  <c:v>0.4611968442438833</c:v>
                </c:pt>
                <c:pt idx="79">
                  <c:v>0.4611968442438833</c:v>
                </c:pt>
                <c:pt idx="80">
                  <c:v>0.60506274617036004</c:v>
                </c:pt>
                <c:pt idx="81">
                  <c:v>0.60506274617036004</c:v>
                </c:pt>
                <c:pt idx="82">
                  <c:v>0.60506274617036004</c:v>
                </c:pt>
                <c:pt idx="83">
                  <c:v>0.60506274617036004</c:v>
                </c:pt>
                <c:pt idx="84">
                  <c:v>0.52473108957558956</c:v>
                </c:pt>
                <c:pt idx="85">
                  <c:v>0.52473108957558956</c:v>
                </c:pt>
                <c:pt idx="86">
                  <c:v>0.52473108957558956</c:v>
                </c:pt>
                <c:pt idx="87">
                  <c:v>0.52473108957558956</c:v>
                </c:pt>
                <c:pt idx="88">
                  <c:v>1.0157922572339311</c:v>
                </c:pt>
                <c:pt idx="89">
                  <c:v>1.0157922572339311</c:v>
                </c:pt>
                <c:pt idx="90">
                  <c:v>1.0157922572339311</c:v>
                </c:pt>
                <c:pt idx="91">
                  <c:v>1.0157922572339311</c:v>
                </c:pt>
                <c:pt idx="92">
                  <c:v>1.179774587977132</c:v>
                </c:pt>
                <c:pt idx="93">
                  <c:v>1.179774587977132</c:v>
                </c:pt>
                <c:pt idx="94">
                  <c:v>1.179774587977132</c:v>
                </c:pt>
                <c:pt idx="95">
                  <c:v>1.179774587977132</c:v>
                </c:pt>
                <c:pt idx="96">
                  <c:v>1.607545862030811</c:v>
                </c:pt>
                <c:pt idx="97">
                  <c:v>1.607545862030811</c:v>
                </c:pt>
                <c:pt idx="98">
                  <c:v>1.607545862030811</c:v>
                </c:pt>
                <c:pt idx="99">
                  <c:v>1.607545862030811</c:v>
                </c:pt>
                <c:pt idx="100">
                  <c:v>1.7249833491190609</c:v>
                </c:pt>
                <c:pt idx="101">
                  <c:v>1.7249833491190609</c:v>
                </c:pt>
                <c:pt idx="102">
                  <c:v>1.7249833491190609</c:v>
                </c:pt>
                <c:pt idx="103">
                  <c:v>1.7249833491190609</c:v>
                </c:pt>
                <c:pt idx="104">
                  <c:v>3.5710800648607801</c:v>
                </c:pt>
                <c:pt idx="105">
                  <c:v>3.5710800648607801</c:v>
                </c:pt>
                <c:pt idx="106">
                  <c:v>3.5710800648607801</c:v>
                </c:pt>
                <c:pt idx="107">
                  <c:v>3.5710800648607801</c:v>
                </c:pt>
                <c:pt idx="108">
                  <c:v>5.2254768121978712</c:v>
                </c:pt>
                <c:pt idx="109">
                  <c:v>5.2254768121978712</c:v>
                </c:pt>
                <c:pt idx="110">
                  <c:v>5.2254768121978712</c:v>
                </c:pt>
                <c:pt idx="111">
                  <c:v>5.2254768121978712</c:v>
                </c:pt>
                <c:pt idx="112">
                  <c:v>5.4419309718861699</c:v>
                </c:pt>
                <c:pt idx="113">
                  <c:v>5.4419309718861699</c:v>
                </c:pt>
                <c:pt idx="114">
                  <c:v>5.4419309718861699</c:v>
                </c:pt>
                <c:pt idx="115">
                  <c:v>5.4419309718861699</c:v>
                </c:pt>
                <c:pt idx="116">
                  <c:v>5.1734932935653699</c:v>
                </c:pt>
                <c:pt idx="117">
                  <c:v>5.1734932935653699</c:v>
                </c:pt>
                <c:pt idx="118">
                  <c:v>5.1734932935653699</c:v>
                </c:pt>
                <c:pt idx="119">
                  <c:v>5.1734932935653699</c:v>
                </c:pt>
                <c:pt idx="120">
                  <c:v>4.0724219866131062E-2</c:v>
                </c:pt>
                <c:pt idx="121">
                  <c:v>4.0724219866131062E-2</c:v>
                </c:pt>
                <c:pt idx="122">
                  <c:v>4.0724219866131062E-2</c:v>
                </c:pt>
                <c:pt idx="123">
                  <c:v>4.0724219866131062E-2</c:v>
                </c:pt>
                <c:pt idx="124">
                  <c:v>4.946154241423438E-2</c:v>
                </c:pt>
                <c:pt idx="125">
                  <c:v>4.946154241423438E-2</c:v>
                </c:pt>
                <c:pt idx="126">
                  <c:v>4.946154241423438E-2</c:v>
                </c:pt>
                <c:pt idx="127">
                  <c:v>4.946154241423438E-2</c:v>
                </c:pt>
                <c:pt idx="128">
                  <c:v>7.3230975957205416E-2</c:v>
                </c:pt>
                <c:pt idx="129">
                  <c:v>7.3230975957205416E-2</c:v>
                </c:pt>
                <c:pt idx="130">
                  <c:v>7.3230975957205416E-2</c:v>
                </c:pt>
                <c:pt idx="131">
                  <c:v>7.3230975957205416E-2</c:v>
                </c:pt>
                <c:pt idx="132">
                  <c:v>6.4420530915232005E-2</c:v>
                </c:pt>
                <c:pt idx="133">
                  <c:v>6.4420530915232005E-2</c:v>
                </c:pt>
                <c:pt idx="134">
                  <c:v>6.4420530915232005E-2</c:v>
                </c:pt>
                <c:pt idx="135">
                  <c:v>6.4420530915232005E-2</c:v>
                </c:pt>
                <c:pt idx="136">
                  <c:v>8.451228512832766E-2</c:v>
                </c:pt>
                <c:pt idx="137">
                  <c:v>8.451228512832766E-2</c:v>
                </c:pt>
                <c:pt idx="138">
                  <c:v>8.451228512832766E-2</c:v>
                </c:pt>
                <c:pt idx="139">
                  <c:v>8.451228512832766E-2</c:v>
                </c:pt>
                <c:pt idx="140">
                  <c:v>6.4495721704754719E-2</c:v>
                </c:pt>
                <c:pt idx="141">
                  <c:v>6.4495721704754719E-2</c:v>
                </c:pt>
                <c:pt idx="142">
                  <c:v>6.4495721704754719E-2</c:v>
                </c:pt>
                <c:pt idx="143">
                  <c:v>6.4495721704754719E-2</c:v>
                </c:pt>
                <c:pt idx="144">
                  <c:v>4.895947464224041E-2</c:v>
                </c:pt>
                <c:pt idx="145">
                  <c:v>4.895947464224041E-2</c:v>
                </c:pt>
                <c:pt idx="146">
                  <c:v>4.895947464224041E-2</c:v>
                </c:pt>
                <c:pt idx="147">
                  <c:v>4.895947464224041E-2</c:v>
                </c:pt>
                <c:pt idx="148">
                  <c:v>4.7872991480586879E-2</c:v>
                </c:pt>
                <c:pt idx="149">
                  <c:v>4.7872991480586879E-2</c:v>
                </c:pt>
                <c:pt idx="150">
                  <c:v>4.7872991480586879E-2</c:v>
                </c:pt>
                <c:pt idx="151">
                  <c:v>4.7872991480586879E-2</c:v>
                </c:pt>
                <c:pt idx="152">
                  <c:v>7.9752209883890743E-2</c:v>
                </c:pt>
                <c:pt idx="153">
                  <c:v>7.9752209883890743E-2</c:v>
                </c:pt>
                <c:pt idx="154">
                  <c:v>7.9752209883890743E-2</c:v>
                </c:pt>
                <c:pt idx="155">
                  <c:v>7.9752209883890743E-2</c:v>
                </c:pt>
                <c:pt idx="156">
                  <c:v>7.456030390779872E-2</c:v>
                </c:pt>
                <c:pt idx="157">
                  <c:v>7.456030390779872E-2</c:v>
                </c:pt>
                <c:pt idx="158">
                  <c:v>7.456030390779872E-2</c:v>
                </c:pt>
                <c:pt idx="159">
                  <c:v>7.456030390779872E-2</c:v>
                </c:pt>
                <c:pt idx="160">
                  <c:v>0.64469227395689221</c:v>
                </c:pt>
                <c:pt idx="161">
                  <c:v>0.64469227395689221</c:v>
                </c:pt>
                <c:pt idx="162">
                  <c:v>0.64469227395689221</c:v>
                </c:pt>
                <c:pt idx="163">
                  <c:v>0.64469227395689221</c:v>
                </c:pt>
                <c:pt idx="164">
                  <c:v>0.88869438219391805</c:v>
                </c:pt>
                <c:pt idx="165">
                  <c:v>0.88869438219391805</c:v>
                </c:pt>
                <c:pt idx="166">
                  <c:v>0.88869438219391805</c:v>
                </c:pt>
                <c:pt idx="167">
                  <c:v>0.88869438219391805</c:v>
                </c:pt>
                <c:pt idx="168">
                  <c:v>0.91375556201106944</c:v>
                </c:pt>
                <c:pt idx="169">
                  <c:v>0.91375556201106944</c:v>
                </c:pt>
                <c:pt idx="170">
                  <c:v>0.91375556201106944</c:v>
                </c:pt>
                <c:pt idx="171">
                  <c:v>0.91375556201106944</c:v>
                </c:pt>
                <c:pt idx="172">
                  <c:v>1.074386415797439</c:v>
                </c:pt>
                <c:pt idx="173">
                  <c:v>1.074386415797439</c:v>
                </c:pt>
                <c:pt idx="174">
                  <c:v>1.074386415797439</c:v>
                </c:pt>
                <c:pt idx="175">
                  <c:v>1.074386415797439</c:v>
                </c:pt>
                <c:pt idx="176">
                  <c:v>1.104616251936025</c:v>
                </c:pt>
                <c:pt idx="177">
                  <c:v>1.104616251936025</c:v>
                </c:pt>
                <c:pt idx="178">
                  <c:v>1.104616251936025</c:v>
                </c:pt>
                <c:pt idx="179">
                  <c:v>1.104616251936025</c:v>
                </c:pt>
                <c:pt idx="180">
                  <c:v>0.13691232060579539</c:v>
                </c:pt>
                <c:pt idx="181">
                  <c:v>0.13691232060579539</c:v>
                </c:pt>
                <c:pt idx="182">
                  <c:v>0.13691232060579539</c:v>
                </c:pt>
                <c:pt idx="183">
                  <c:v>0.13691232060579539</c:v>
                </c:pt>
                <c:pt idx="184">
                  <c:v>0.15111381049456349</c:v>
                </c:pt>
                <c:pt idx="185">
                  <c:v>0.15111381049456349</c:v>
                </c:pt>
                <c:pt idx="186">
                  <c:v>0.15111381049456349</c:v>
                </c:pt>
                <c:pt idx="187">
                  <c:v>0.15111381049456349</c:v>
                </c:pt>
                <c:pt idx="188">
                  <c:v>0.1244056097882334</c:v>
                </c:pt>
                <c:pt idx="189">
                  <c:v>0.1244056097882334</c:v>
                </c:pt>
                <c:pt idx="190">
                  <c:v>0.1244056097882334</c:v>
                </c:pt>
                <c:pt idx="191">
                  <c:v>0.1244056097882334</c:v>
                </c:pt>
                <c:pt idx="192">
                  <c:v>0.22120896228110681</c:v>
                </c:pt>
                <c:pt idx="193">
                  <c:v>0.22120896228110681</c:v>
                </c:pt>
                <c:pt idx="194">
                  <c:v>0.22120896228110681</c:v>
                </c:pt>
                <c:pt idx="195">
                  <c:v>0.22120896228110681</c:v>
                </c:pt>
                <c:pt idx="196">
                  <c:v>0.39465021894302132</c:v>
                </c:pt>
                <c:pt idx="197">
                  <c:v>0.39465021894302132</c:v>
                </c:pt>
                <c:pt idx="198">
                  <c:v>0.39465021894302132</c:v>
                </c:pt>
                <c:pt idx="199">
                  <c:v>0.39465021894302132</c:v>
                </c:pt>
              </c:numCache>
            </c:numRef>
          </c:xVal>
          <c:yVal>
            <c:numRef>
              <c:f>data_ai_inv_share_till2019!$G$2:$G$201</c:f>
              <c:numCache>
                <c:formatCode>General</c:formatCode>
                <c:ptCount val="200"/>
                <c:pt idx="0">
                  <c:v>2.1335424718526896E-2</c:v>
                </c:pt>
                <c:pt idx="1">
                  <c:v>0.65778403978474742</c:v>
                </c:pt>
                <c:pt idx="2">
                  <c:v>-0.59414044609208405</c:v>
                </c:pt>
                <c:pt idx="3">
                  <c:v>0.45566821907582167</c:v>
                </c:pt>
                <c:pt idx="4">
                  <c:v>0.69243770785740977</c:v>
                </c:pt>
                <c:pt idx="5">
                  <c:v>0.65648168579866284</c:v>
                </c:pt>
                <c:pt idx="6">
                  <c:v>0.69667255164343178</c:v>
                </c:pt>
                <c:pt idx="7">
                  <c:v>0.67387131071388295</c:v>
                </c:pt>
                <c:pt idx="8">
                  <c:v>0.78616412906575106</c:v>
                </c:pt>
                <c:pt idx="9">
                  <c:v>-0.20364537794406878</c:v>
                </c:pt>
                <c:pt idx="10">
                  <c:v>0.74103491771630314</c:v>
                </c:pt>
                <c:pt idx="11">
                  <c:v>0.63932081158630116</c:v>
                </c:pt>
                <c:pt idx="12">
                  <c:v>-3.0890495413360419E-2</c:v>
                </c:pt>
                <c:pt idx="13">
                  <c:v>-0.37845503404507719</c:v>
                </c:pt>
                <c:pt idx="14">
                  <c:v>0.70436184472490981</c:v>
                </c:pt>
                <c:pt idx="15">
                  <c:v>-0.44071774143137299</c:v>
                </c:pt>
                <c:pt idx="16">
                  <c:v>-0.27128455696010012</c:v>
                </c:pt>
                <c:pt idx="17">
                  <c:v>0.1374653705052129</c:v>
                </c:pt>
                <c:pt idx="18">
                  <c:v>-0.47297799177851707</c:v>
                </c:pt>
                <c:pt idx="19">
                  <c:v>0.162437419674061</c:v>
                </c:pt>
                <c:pt idx="20">
                  <c:v>0.60184371182729057</c:v>
                </c:pt>
                <c:pt idx="21">
                  <c:v>0.20095810349653198</c:v>
                </c:pt>
                <c:pt idx="22">
                  <c:v>-9.5872444645270116E-2</c:v>
                </c:pt>
                <c:pt idx="23">
                  <c:v>0.37602266897304393</c:v>
                </c:pt>
                <c:pt idx="24">
                  <c:v>-0.11861033767558893</c:v>
                </c:pt>
                <c:pt idx="25">
                  <c:v>-4.7304590003143909E-2</c:v>
                </c:pt>
                <c:pt idx="26">
                  <c:v>-0.28042817709720791</c:v>
                </c:pt>
                <c:pt idx="27">
                  <c:v>-1.0856298219501959E-2</c:v>
                </c:pt>
                <c:pt idx="28">
                  <c:v>0.1507797162184652</c:v>
                </c:pt>
                <c:pt idx="29">
                  <c:v>-0.26884506369373296</c:v>
                </c:pt>
                <c:pt idx="30">
                  <c:v>-0.10249939779924788</c:v>
                </c:pt>
                <c:pt idx="31">
                  <c:v>-7.9783867035730927E-2</c:v>
                </c:pt>
                <c:pt idx="32">
                  <c:v>5.8211280770205098E-2</c:v>
                </c:pt>
                <c:pt idx="33">
                  <c:v>0.32816631924187512</c:v>
                </c:pt>
                <c:pt idx="34">
                  <c:v>0.17749745265910399</c:v>
                </c:pt>
                <c:pt idx="35">
                  <c:v>5.2215939373469133E-2</c:v>
                </c:pt>
                <c:pt idx="36">
                  <c:v>0.8982846201541661</c:v>
                </c:pt>
                <c:pt idx="37">
                  <c:v>1.2770204459163441</c:v>
                </c:pt>
                <c:pt idx="38">
                  <c:v>0.68058495597650426</c:v>
                </c:pt>
                <c:pt idx="39">
                  <c:v>1.1871434535654872</c:v>
                </c:pt>
                <c:pt idx="40">
                  <c:v>0.41668627246598899</c:v>
                </c:pt>
                <c:pt idx="41">
                  <c:v>-0.19885935702409907</c:v>
                </c:pt>
                <c:pt idx="42">
                  <c:v>-0.47235285542918604</c:v>
                </c:pt>
                <c:pt idx="43">
                  <c:v>-0.3600890531802059</c:v>
                </c:pt>
                <c:pt idx="44">
                  <c:v>0.27860513231977801</c:v>
                </c:pt>
                <c:pt idx="45">
                  <c:v>0.24619510094493702</c:v>
                </c:pt>
                <c:pt idx="46">
                  <c:v>0.16032115441809891</c:v>
                </c:pt>
                <c:pt idx="47">
                  <c:v>0.56021580938968807</c:v>
                </c:pt>
                <c:pt idx="48">
                  <c:v>1.6647192282288961</c:v>
                </c:pt>
                <c:pt idx="49">
                  <c:v>0.98726553765954383</c:v>
                </c:pt>
                <c:pt idx="50">
                  <c:v>1.5726056100512928</c:v>
                </c:pt>
                <c:pt idx="51">
                  <c:v>1.4979471361736059</c:v>
                </c:pt>
                <c:pt idx="52">
                  <c:v>-0.85346390397992189</c:v>
                </c:pt>
                <c:pt idx="53">
                  <c:v>-0.45083812998151118</c:v>
                </c:pt>
                <c:pt idx="54">
                  <c:v>-0.58665416924442604</c:v>
                </c:pt>
                <c:pt idx="55">
                  <c:v>-1.0388815708978532</c:v>
                </c:pt>
                <c:pt idx="56">
                  <c:v>-0.72683828897076608</c:v>
                </c:pt>
                <c:pt idx="57">
                  <c:v>0.67371743677701046</c:v>
                </c:pt>
                <c:pt idx="58">
                  <c:v>-0.93999679709258999</c:v>
                </c:pt>
                <c:pt idx="59">
                  <c:v>0.56661972983481634</c:v>
                </c:pt>
                <c:pt idx="60">
                  <c:v>2.2507531290568341</c:v>
                </c:pt>
                <c:pt idx="61">
                  <c:v>0.84755226971891684</c:v>
                </c:pt>
                <c:pt idx="62">
                  <c:v>1.9227190146805588</c:v>
                </c:pt>
                <c:pt idx="63">
                  <c:v>1.1642716744238411</c:v>
                </c:pt>
                <c:pt idx="64">
                  <c:v>0.20691362640356292</c:v>
                </c:pt>
                <c:pt idx="65">
                  <c:v>-0.32437575106588312</c:v>
                </c:pt>
                <c:pt idx="66">
                  <c:v>0.29294469454354299</c:v>
                </c:pt>
                <c:pt idx="67">
                  <c:v>0.27990361283777565</c:v>
                </c:pt>
                <c:pt idx="68">
                  <c:v>0.59955818573028896</c:v>
                </c:pt>
                <c:pt idx="69">
                  <c:v>-0.21335805850076506</c:v>
                </c:pt>
                <c:pt idx="70">
                  <c:v>0.35000728826492189</c:v>
                </c:pt>
                <c:pt idx="71">
                  <c:v>9.1706447057128937E-2</c:v>
                </c:pt>
                <c:pt idx="72">
                  <c:v>-0.17009025968066194</c:v>
                </c:pt>
                <c:pt idx="73">
                  <c:v>-0.19081445099353322</c:v>
                </c:pt>
                <c:pt idx="74">
                  <c:v>2.9647560491548042E-3</c:v>
                </c:pt>
                <c:pt idx="75">
                  <c:v>-0.48414216228142726</c:v>
                </c:pt>
                <c:pt idx="76">
                  <c:v>-0.21306976831362023</c:v>
                </c:pt>
                <c:pt idx="77">
                  <c:v>7.2237730363746921E-2</c:v>
                </c:pt>
                <c:pt idx="78">
                  <c:v>-0.41366958696250311</c:v>
                </c:pt>
                <c:pt idx="79">
                  <c:v>-0.15364893942900526</c:v>
                </c:pt>
                <c:pt idx="80">
                  <c:v>-0.14620954323508523</c:v>
                </c:pt>
                <c:pt idx="81">
                  <c:v>0.1253373978109007</c:v>
                </c:pt>
                <c:pt idx="82">
                  <c:v>-0.57280300136018747</c:v>
                </c:pt>
                <c:pt idx="83">
                  <c:v>0.12311761734483889</c:v>
                </c:pt>
                <c:pt idx="84">
                  <c:v>1.8786753011990158</c:v>
                </c:pt>
                <c:pt idx="85">
                  <c:v>1.7183218536184302</c:v>
                </c:pt>
                <c:pt idx="86">
                  <c:v>1.510323809035472</c:v>
                </c:pt>
                <c:pt idx="87">
                  <c:v>1.8590512359207483</c:v>
                </c:pt>
                <c:pt idx="88">
                  <c:v>2.4720940007392684</c:v>
                </c:pt>
                <c:pt idx="89">
                  <c:v>-4.9051166356071096E-2</c:v>
                </c:pt>
                <c:pt idx="90">
                  <c:v>2.5243960048727772</c:v>
                </c:pt>
                <c:pt idx="91">
                  <c:v>1.9527316757675739</c:v>
                </c:pt>
                <c:pt idx="92">
                  <c:v>-1.4684876877358761</c:v>
                </c:pt>
                <c:pt idx="93">
                  <c:v>-1.7034961062862728</c:v>
                </c:pt>
                <c:pt idx="94">
                  <c:v>-0.55948823596464492</c:v>
                </c:pt>
                <c:pt idx="95">
                  <c:v>-1.3340082792667409</c:v>
                </c:pt>
                <c:pt idx="96">
                  <c:v>-0.8335748506428422</c:v>
                </c:pt>
                <c:pt idx="97">
                  <c:v>-1.4110869060006026E-2</c:v>
                </c:pt>
                <c:pt idx="98">
                  <c:v>-0.9295559719103379</c:v>
                </c:pt>
                <c:pt idx="99">
                  <c:v>-0.29784066310397006</c:v>
                </c:pt>
                <c:pt idx="100">
                  <c:v>0.29855354285163038</c:v>
                </c:pt>
                <c:pt idx="101">
                  <c:v>-8.9414898423502587E-2</c:v>
                </c:pt>
                <c:pt idx="102">
                  <c:v>-0.47972768132192978</c:v>
                </c:pt>
                <c:pt idx="103">
                  <c:v>-8.8439121019513678E-2</c:v>
                </c:pt>
                <c:pt idx="104">
                  <c:v>-0.6951946375147382</c:v>
                </c:pt>
                <c:pt idx="105">
                  <c:v>-0.52027408063893632</c:v>
                </c:pt>
                <c:pt idx="106">
                  <c:v>-0.9474050098037794</c:v>
                </c:pt>
                <c:pt idx="107">
                  <c:v>-0.59721808051947733</c:v>
                </c:pt>
                <c:pt idx="108">
                  <c:v>0.88730828907390391</c:v>
                </c:pt>
                <c:pt idx="109">
                  <c:v>0.63331091710201193</c:v>
                </c:pt>
                <c:pt idx="110">
                  <c:v>0.55799583927453589</c:v>
                </c:pt>
                <c:pt idx="111">
                  <c:v>0.89053149409434584</c:v>
                </c:pt>
                <c:pt idx="112">
                  <c:v>-0.17374369252594701</c:v>
                </c:pt>
                <c:pt idx="113">
                  <c:v>-9.4418697622485004E-2</c:v>
                </c:pt>
                <c:pt idx="114">
                  <c:v>-0.15383585632429808</c:v>
                </c:pt>
                <c:pt idx="115">
                  <c:v>-0.41758951411248901</c:v>
                </c:pt>
                <c:pt idx="116">
                  <c:v>0.4384166790122872</c:v>
                </c:pt>
                <c:pt idx="117">
                  <c:v>0.79261069491608427</c:v>
                </c:pt>
                <c:pt idx="118">
                  <c:v>0.24168578243425221</c:v>
                </c:pt>
                <c:pt idx="119">
                  <c:v>0.74602981041785821</c:v>
                </c:pt>
                <c:pt idx="120">
                  <c:v>18.328578063419037</c:v>
                </c:pt>
                <c:pt idx="121">
                  <c:v>15.905810160190644</c:v>
                </c:pt>
                <c:pt idx="122">
                  <c:v>18.955022320797561</c:v>
                </c:pt>
                <c:pt idx="123">
                  <c:v>18.343702761513786</c:v>
                </c:pt>
                <c:pt idx="124">
                  <c:v>-3.3115780556468373</c:v>
                </c:pt>
                <c:pt idx="125">
                  <c:v>-2.9158948376772491</c:v>
                </c:pt>
                <c:pt idx="126">
                  <c:v>-2.3039111882363645</c:v>
                </c:pt>
                <c:pt idx="127">
                  <c:v>-3.6961635285906365</c:v>
                </c:pt>
                <c:pt idx="128">
                  <c:v>6.0228740309448732</c:v>
                </c:pt>
                <c:pt idx="129">
                  <c:v>4.7979924738822781</c:v>
                </c:pt>
                <c:pt idx="130">
                  <c:v>5.9524962396982399</c:v>
                </c:pt>
                <c:pt idx="131">
                  <c:v>5.6733497511086632</c:v>
                </c:pt>
                <c:pt idx="132">
                  <c:v>3.5391422005323694</c:v>
                </c:pt>
                <c:pt idx="133">
                  <c:v>-0.36708855616052638</c:v>
                </c:pt>
                <c:pt idx="134">
                  <c:v>3.8014603254516723</c:v>
                </c:pt>
                <c:pt idx="135">
                  <c:v>1.7637946495625059</c:v>
                </c:pt>
                <c:pt idx="136">
                  <c:v>0.2937881326285563</c:v>
                </c:pt>
                <c:pt idx="137">
                  <c:v>-0.81182975289263659</c:v>
                </c:pt>
                <c:pt idx="138">
                  <c:v>0.76508940488487553</c:v>
                </c:pt>
                <c:pt idx="139">
                  <c:v>1.0641944495974975</c:v>
                </c:pt>
                <c:pt idx="140">
                  <c:v>0.11412179495312647</c:v>
                </c:pt>
                <c:pt idx="141">
                  <c:v>-0.12380197599240972</c:v>
                </c:pt>
                <c:pt idx="142">
                  <c:v>-0.48713604095095231</c:v>
                </c:pt>
                <c:pt idx="143">
                  <c:v>0.13599178752260521</c:v>
                </c:pt>
                <c:pt idx="144">
                  <c:v>-0.1058406653404671</c:v>
                </c:pt>
                <c:pt idx="145">
                  <c:v>0.63759268194228436</c:v>
                </c:pt>
                <c:pt idx="146">
                  <c:v>-6.5542328540008077E-2</c:v>
                </c:pt>
                <c:pt idx="147">
                  <c:v>0.25497274041926299</c:v>
                </c:pt>
                <c:pt idx="148">
                  <c:v>0.77488781643401738</c:v>
                </c:pt>
                <c:pt idx="149">
                  <c:v>0.22303711004873605</c:v>
                </c:pt>
                <c:pt idx="150">
                  <c:v>0.34231121806944209</c:v>
                </c:pt>
                <c:pt idx="151">
                  <c:v>0.74890781392368888</c:v>
                </c:pt>
                <c:pt idx="152">
                  <c:v>-0.62187743480216839</c:v>
                </c:pt>
                <c:pt idx="153">
                  <c:v>-0.46981863171250737</c:v>
                </c:pt>
                <c:pt idx="154">
                  <c:v>-0.45306326954054732</c:v>
                </c:pt>
                <c:pt idx="155">
                  <c:v>-0.77439182435587239</c:v>
                </c:pt>
                <c:pt idx="156">
                  <c:v>-0.73330529565166769</c:v>
                </c:pt>
                <c:pt idx="157">
                  <c:v>0.31282812569793611</c:v>
                </c:pt>
                <c:pt idx="158">
                  <c:v>-0.79138299663360767</c:v>
                </c:pt>
                <c:pt idx="159">
                  <c:v>0.31688392304130802</c:v>
                </c:pt>
                <c:pt idx="160">
                  <c:v>0.66075179047467292</c:v>
                </c:pt>
                <c:pt idx="161">
                  <c:v>2.7912869879358926E-2</c:v>
                </c:pt>
                <c:pt idx="162">
                  <c:v>0.71728036681706908</c:v>
                </c:pt>
                <c:pt idx="163">
                  <c:v>0.44124858238985798</c:v>
                </c:pt>
                <c:pt idx="164">
                  <c:v>0.25837958787036319</c:v>
                </c:pt>
                <c:pt idx="165">
                  <c:v>0.73200384369860516</c:v>
                </c:pt>
                <c:pt idx="166">
                  <c:v>0.65826627678273919</c:v>
                </c:pt>
                <c:pt idx="167">
                  <c:v>0.71349901011999117</c:v>
                </c:pt>
                <c:pt idx="168">
                  <c:v>1.0914375503477329</c:v>
                </c:pt>
                <c:pt idx="169">
                  <c:v>-0.46496850488224206</c:v>
                </c:pt>
                <c:pt idx="170">
                  <c:v>0.77378648218358492</c:v>
                </c:pt>
                <c:pt idx="171">
                  <c:v>0.63236498765517979</c:v>
                </c:pt>
                <c:pt idx="172">
                  <c:v>-0.49220694854774294</c:v>
                </c:pt>
                <c:pt idx="173">
                  <c:v>-0.60915575871749095</c:v>
                </c:pt>
                <c:pt idx="174">
                  <c:v>0.41068430201465511</c:v>
                </c:pt>
                <c:pt idx="175">
                  <c:v>-0.72275559772991471</c:v>
                </c:pt>
                <c:pt idx="176">
                  <c:v>-0.12859335988762766</c:v>
                </c:pt>
                <c:pt idx="177">
                  <c:v>0.56885798608977911</c:v>
                </c:pt>
                <c:pt idx="178">
                  <c:v>-0.32154765833279697</c:v>
                </c:pt>
                <c:pt idx="179">
                  <c:v>0.6408810234895721</c:v>
                </c:pt>
                <c:pt idx="180">
                  <c:v>0.27908288694357686</c:v>
                </c:pt>
                <c:pt idx="181">
                  <c:v>-0.16405386466369909</c:v>
                </c:pt>
                <c:pt idx="182">
                  <c:v>8.4088127918840794E-2</c:v>
                </c:pt>
                <c:pt idx="183">
                  <c:v>-6.4609841282320168E-2</c:v>
                </c:pt>
                <c:pt idx="184">
                  <c:v>0.32534337819466397</c:v>
                </c:pt>
                <c:pt idx="185">
                  <c:v>1.0550904016198952</c:v>
                </c:pt>
                <c:pt idx="186">
                  <c:v>0.14602905922159692</c:v>
                </c:pt>
                <c:pt idx="187">
                  <c:v>0.5261694887334849</c:v>
                </c:pt>
                <c:pt idx="188">
                  <c:v>2.0165120904442619</c:v>
                </c:pt>
                <c:pt idx="189">
                  <c:v>0.63151210674854008</c:v>
                </c:pt>
                <c:pt idx="190">
                  <c:v>1.5169148839265081</c:v>
                </c:pt>
                <c:pt idx="191">
                  <c:v>1.4222126188508</c:v>
                </c:pt>
                <c:pt idx="192">
                  <c:v>0.84121405179820208</c:v>
                </c:pt>
                <c:pt idx="193">
                  <c:v>0.73645045202355286</c:v>
                </c:pt>
                <c:pt idx="194">
                  <c:v>1.3359790738157751</c:v>
                </c:pt>
                <c:pt idx="195">
                  <c:v>0.56998726219637108</c:v>
                </c:pt>
                <c:pt idx="196">
                  <c:v>0.86923730155660284</c:v>
                </c:pt>
                <c:pt idx="197">
                  <c:v>0.75821702215020981</c:v>
                </c:pt>
                <c:pt idx="198">
                  <c:v>0.67142489045585174</c:v>
                </c:pt>
                <c:pt idx="199">
                  <c:v>1.0362404008479218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80-4577-B1F0-98D017E39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over time -- clustered by ICT investment share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(ICT investment share &lt;= 0.1456)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AEC7E8"/>
              </a:solidFill>
              <a:ln>
                <a:solidFill>
                  <a:srgbClr val="AEC7E8"/>
                </a:solidFill>
                <a:prstDash val="solid"/>
              </a:ln>
            </c:spPr>
          </c:marker>
          <c:xVal>
            <c:numRef>
              <c:f>data_cluster_ict_share!$D$2:$D$275</c:f>
              <c:numCache>
                <c:formatCode>General</c:formatCode>
                <c:ptCount val="274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2011</c:v>
                </c:pt>
                <c:pt idx="13">
                  <c:v>2011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2012</c:v>
                </c:pt>
                <c:pt idx="33">
                  <c:v>2012</c:v>
                </c:pt>
                <c:pt idx="34">
                  <c:v>2012</c:v>
                </c:pt>
                <c:pt idx="35">
                  <c:v>2012</c:v>
                </c:pt>
                <c:pt idx="36">
                  <c:v>2012</c:v>
                </c:pt>
                <c:pt idx="37">
                  <c:v>2012</c:v>
                </c:pt>
                <c:pt idx="38">
                  <c:v>2012</c:v>
                </c:pt>
                <c:pt idx="39">
                  <c:v>2012</c:v>
                </c:pt>
                <c:pt idx="40">
                  <c:v>2012</c:v>
                </c:pt>
                <c:pt idx="41">
                  <c:v>2012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2013</c:v>
                </c:pt>
                <c:pt idx="53">
                  <c:v>2013</c:v>
                </c:pt>
                <c:pt idx="54">
                  <c:v>2013</c:v>
                </c:pt>
                <c:pt idx="55">
                  <c:v>2013</c:v>
                </c:pt>
                <c:pt idx="56">
                  <c:v>2013</c:v>
                </c:pt>
                <c:pt idx="57">
                  <c:v>2013</c:v>
                </c:pt>
                <c:pt idx="58">
                  <c:v>2013</c:v>
                </c:pt>
                <c:pt idx="59">
                  <c:v>2013</c:v>
                </c:pt>
                <c:pt idx="60">
                  <c:v>2013</c:v>
                </c:pt>
                <c:pt idx="61">
                  <c:v>2013</c:v>
                </c:pt>
                <c:pt idx="62">
                  <c:v>2013</c:v>
                </c:pt>
                <c:pt idx="63">
                  <c:v>2013</c:v>
                </c:pt>
                <c:pt idx="64">
                  <c:v>2013</c:v>
                </c:pt>
                <c:pt idx="65">
                  <c:v>2013</c:v>
                </c:pt>
                <c:pt idx="66">
                  <c:v>2014</c:v>
                </c:pt>
                <c:pt idx="67">
                  <c:v>2014</c:v>
                </c:pt>
                <c:pt idx="68">
                  <c:v>2014</c:v>
                </c:pt>
                <c:pt idx="69">
                  <c:v>2014</c:v>
                </c:pt>
                <c:pt idx="70">
                  <c:v>2014</c:v>
                </c:pt>
                <c:pt idx="71">
                  <c:v>2014</c:v>
                </c:pt>
                <c:pt idx="72">
                  <c:v>2014</c:v>
                </c:pt>
                <c:pt idx="73">
                  <c:v>2014</c:v>
                </c:pt>
                <c:pt idx="74">
                  <c:v>2014</c:v>
                </c:pt>
                <c:pt idx="75">
                  <c:v>2014</c:v>
                </c:pt>
                <c:pt idx="76">
                  <c:v>2014</c:v>
                </c:pt>
                <c:pt idx="77">
                  <c:v>2014</c:v>
                </c:pt>
                <c:pt idx="78">
                  <c:v>2014</c:v>
                </c:pt>
                <c:pt idx="79">
                  <c:v>2014</c:v>
                </c:pt>
                <c:pt idx="80">
                  <c:v>2014</c:v>
                </c:pt>
                <c:pt idx="81">
                  <c:v>2014</c:v>
                </c:pt>
                <c:pt idx="82">
                  <c:v>2014</c:v>
                </c:pt>
                <c:pt idx="83">
                  <c:v>2014</c:v>
                </c:pt>
                <c:pt idx="84">
                  <c:v>2014</c:v>
                </c:pt>
                <c:pt idx="85">
                  <c:v>2014</c:v>
                </c:pt>
                <c:pt idx="86">
                  <c:v>2014</c:v>
                </c:pt>
                <c:pt idx="87">
                  <c:v>2014</c:v>
                </c:pt>
                <c:pt idx="88">
                  <c:v>2014</c:v>
                </c:pt>
                <c:pt idx="89">
                  <c:v>2014</c:v>
                </c:pt>
                <c:pt idx="90">
                  <c:v>2014</c:v>
                </c:pt>
                <c:pt idx="91">
                  <c:v>2014</c:v>
                </c:pt>
                <c:pt idx="92">
                  <c:v>2014</c:v>
                </c:pt>
                <c:pt idx="93">
                  <c:v>2014</c:v>
                </c:pt>
                <c:pt idx="94">
                  <c:v>2015</c:v>
                </c:pt>
                <c:pt idx="95">
                  <c:v>2015</c:v>
                </c:pt>
                <c:pt idx="96">
                  <c:v>2015</c:v>
                </c:pt>
                <c:pt idx="97">
                  <c:v>2015</c:v>
                </c:pt>
                <c:pt idx="98">
                  <c:v>2015</c:v>
                </c:pt>
                <c:pt idx="99">
                  <c:v>2015</c:v>
                </c:pt>
                <c:pt idx="100">
                  <c:v>2015</c:v>
                </c:pt>
                <c:pt idx="101">
                  <c:v>2015</c:v>
                </c:pt>
                <c:pt idx="102">
                  <c:v>2015</c:v>
                </c:pt>
                <c:pt idx="103">
                  <c:v>2015</c:v>
                </c:pt>
                <c:pt idx="104">
                  <c:v>2015</c:v>
                </c:pt>
                <c:pt idx="105">
                  <c:v>2015</c:v>
                </c:pt>
                <c:pt idx="106">
                  <c:v>2015</c:v>
                </c:pt>
                <c:pt idx="107">
                  <c:v>2015</c:v>
                </c:pt>
                <c:pt idx="108">
                  <c:v>2015</c:v>
                </c:pt>
                <c:pt idx="109">
                  <c:v>2015</c:v>
                </c:pt>
                <c:pt idx="110">
                  <c:v>2016</c:v>
                </c:pt>
                <c:pt idx="111">
                  <c:v>2016</c:v>
                </c:pt>
                <c:pt idx="112">
                  <c:v>2016</c:v>
                </c:pt>
                <c:pt idx="113">
                  <c:v>2016</c:v>
                </c:pt>
                <c:pt idx="114">
                  <c:v>2016</c:v>
                </c:pt>
                <c:pt idx="115">
                  <c:v>2016</c:v>
                </c:pt>
                <c:pt idx="116">
                  <c:v>2016</c:v>
                </c:pt>
                <c:pt idx="117">
                  <c:v>2016</c:v>
                </c:pt>
                <c:pt idx="118">
                  <c:v>2016</c:v>
                </c:pt>
                <c:pt idx="119">
                  <c:v>2016</c:v>
                </c:pt>
                <c:pt idx="120">
                  <c:v>2016</c:v>
                </c:pt>
                <c:pt idx="121">
                  <c:v>2016</c:v>
                </c:pt>
                <c:pt idx="122">
                  <c:v>2016</c:v>
                </c:pt>
                <c:pt idx="123">
                  <c:v>2016</c:v>
                </c:pt>
                <c:pt idx="124">
                  <c:v>2016</c:v>
                </c:pt>
                <c:pt idx="125">
                  <c:v>2016</c:v>
                </c:pt>
                <c:pt idx="126">
                  <c:v>2016</c:v>
                </c:pt>
                <c:pt idx="127">
                  <c:v>2016</c:v>
                </c:pt>
                <c:pt idx="128">
                  <c:v>2016</c:v>
                </c:pt>
                <c:pt idx="129">
                  <c:v>2016</c:v>
                </c:pt>
                <c:pt idx="130">
                  <c:v>2017</c:v>
                </c:pt>
                <c:pt idx="131">
                  <c:v>2017</c:v>
                </c:pt>
                <c:pt idx="132">
                  <c:v>2017</c:v>
                </c:pt>
                <c:pt idx="133">
                  <c:v>2017</c:v>
                </c:pt>
                <c:pt idx="134">
                  <c:v>2017</c:v>
                </c:pt>
                <c:pt idx="135">
                  <c:v>2017</c:v>
                </c:pt>
                <c:pt idx="136">
                  <c:v>2017</c:v>
                </c:pt>
                <c:pt idx="137">
                  <c:v>2017</c:v>
                </c:pt>
                <c:pt idx="138">
                  <c:v>2017</c:v>
                </c:pt>
                <c:pt idx="139">
                  <c:v>2017</c:v>
                </c:pt>
                <c:pt idx="140">
                  <c:v>2017</c:v>
                </c:pt>
                <c:pt idx="141">
                  <c:v>2017</c:v>
                </c:pt>
                <c:pt idx="142">
                  <c:v>2017</c:v>
                </c:pt>
                <c:pt idx="143">
                  <c:v>2017</c:v>
                </c:pt>
                <c:pt idx="144">
                  <c:v>2017</c:v>
                </c:pt>
                <c:pt idx="145">
                  <c:v>2017</c:v>
                </c:pt>
                <c:pt idx="146">
                  <c:v>2018</c:v>
                </c:pt>
                <c:pt idx="147">
                  <c:v>2018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2018</c:v>
                </c:pt>
                <c:pt idx="153">
                  <c:v>2018</c:v>
                </c:pt>
                <c:pt idx="154">
                  <c:v>2018</c:v>
                </c:pt>
                <c:pt idx="155">
                  <c:v>2018</c:v>
                </c:pt>
                <c:pt idx="156">
                  <c:v>2018</c:v>
                </c:pt>
                <c:pt idx="157">
                  <c:v>2018</c:v>
                </c:pt>
                <c:pt idx="158">
                  <c:v>2018</c:v>
                </c:pt>
                <c:pt idx="159">
                  <c:v>2018</c:v>
                </c:pt>
                <c:pt idx="160">
                  <c:v>2018</c:v>
                </c:pt>
                <c:pt idx="161">
                  <c:v>2018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2019</c:v>
                </c:pt>
                <c:pt idx="169">
                  <c:v>2019</c:v>
                </c:pt>
                <c:pt idx="170">
                  <c:v>2019</c:v>
                </c:pt>
                <c:pt idx="171">
                  <c:v>2019</c:v>
                </c:pt>
                <c:pt idx="172">
                  <c:v>2019</c:v>
                </c:pt>
                <c:pt idx="173">
                  <c:v>2019</c:v>
                </c:pt>
                <c:pt idx="174">
                  <c:v>2019</c:v>
                </c:pt>
                <c:pt idx="175">
                  <c:v>2019</c:v>
                </c:pt>
                <c:pt idx="176">
                  <c:v>2019</c:v>
                </c:pt>
                <c:pt idx="177">
                  <c:v>2019</c:v>
                </c:pt>
                <c:pt idx="178">
                  <c:v>2019</c:v>
                </c:pt>
                <c:pt idx="179">
                  <c:v>2019</c:v>
                </c:pt>
                <c:pt idx="180">
                  <c:v>2019</c:v>
                </c:pt>
                <c:pt idx="181">
                  <c:v>2019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2020</c:v>
                </c:pt>
                <c:pt idx="189">
                  <c:v>2020</c:v>
                </c:pt>
                <c:pt idx="190">
                  <c:v>2020</c:v>
                </c:pt>
                <c:pt idx="191">
                  <c:v>2020</c:v>
                </c:pt>
                <c:pt idx="192">
                  <c:v>2020</c:v>
                </c:pt>
                <c:pt idx="193">
                  <c:v>2020</c:v>
                </c:pt>
                <c:pt idx="194">
                  <c:v>2020</c:v>
                </c:pt>
                <c:pt idx="195">
                  <c:v>2020</c:v>
                </c:pt>
                <c:pt idx="196">
                  <c:v>2020</c:v>
                </c:pt>
                <c:pt idx="197">
                  <c:v>2020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2024</c:v>
                </c:pt>
                <c:pt idx="247">
                  <c:v>2024</c:v>
                </c:pt>
                <c:pt idx="248">
                  <c:v>2024</c:v>
                </c:pt>
                <c:pt idx="249">
                  <c:v>2024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2025</c:v>
                </c:pt>
                <c:pt idx="267">
                  <c:v>2025</c:v>
                </c:pt>
                <c:pt idx="268">
                  <c:v>2025</c:v>
                </c:pt>
                <c:pt idx="269">
                  <c:v>2025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</c:numCache>
            </c:numRef>
          </c:xVal>
          <c:yVal>
            <c:numRef>
              <c:f>data_cluster_ict_share!$G$2:$G$275</c:f>
              <c:numCache>
                <c:formatCode>General</c:formatCode>
                <c:ptCount val="274"/>
                <c:pt idx="0">
                  <c:v>-0.26564230957886825</c:v>
                </c:pt>
                <c:pt idx="1">
                  <c:v>-0.44393497951385608</c:v>
                </c:pt>
                <c:pt idx="2">
                  <c:v>0.89939483995655589</c:v>
                </c:pt>
                <c:pt idx="3">
                  <c:v>1.1808560325801118</c:v>
                </c:pt>
                <c:pt idx="4">
                  <c:v>-1.3813318500744096</c:v>
                </c:pt>
                <c:pt idx="5">
                  <c:v>-1.4042156255031488</c:v>
                </c:pt>
                <c:pt idx="6">
                  <c:v>-0.72097823586978693</c:v>
                </c:pt>
                <c:pt idx="7">
                  <c:v>-1.3490233924862403</c:v>
                </c:pt>
                <c:pt idx="8">
                  <c:v>0.83612488664531526</c:v>
                </c:pt>
                <c:pt idx="9">
                  <c:v>0.67997235008080126</c:v>
                </c:pt>
                <c:pt idx="10">
                  <c:v>0.31332096396137299</c:v>
                </c:pt>
                <c:pt idx="11">
                  <c:v>-0.10643235308456145</c:v>
                </c:pt>
                <c:pt idx="12">
                  <c:v>0.14125391028230783</c:v>
                </c:pt>
                <c:pt idx="13">
                  <c:v>0.47487728867662904</c:v>
                </c:pt>
                <c:pt idx="14">
                  <c:v>-0.18521246864232244</c:v>
                </c:pt>
                <c:pt idx="15">
                  <c:v>-1.2637784803558223</c:v>
                </c:pt>
                <c:pt idx="16">
                  <c:v>-5.2795841261839671E-2</c:v>
                </c:pt>
                <c:pt idx="17">
                  <c:v>-3.9450123525116121E-2</c:v>
                </c:pt>
                <c:pt idx="18">
                  <c:v>-0.73190998834913579</c:v>
                </c:pt>
                <c:pt idx="19">
                  <c:v>-1.9946331412953566</c:v>
                </c:pt>
                <c:pt idx="20">
                  <c:v>0.41662877211910709</c:v>
                </c:pt>
                <c:pt idx="21">
                  <c:v>0.23384031312051204</c:v>
                </c:pt>
                <c:pt idx="22">
                  <c:v>-5.4029254337575217E-2</c:v>
                </c:pt>
                <c:pt idx="23">
                  <c:v>-1.2429766151063308</c:v>
                </c:pt>
                <c:pt idx="24">
                  <c:v>-0.12697692728141019</c:v>
                </c:pt>
                <c:pt idx="25">
                  <c:v>2.1276684188162975E-2</c:v>
                </c:pt>
                <c:pt idx="26">
                  <c:v>-3.5578433110301635</c:v>
                </c:pt>
                <c:pt idx="27">
                  <c:v>-4.4179928139605931</c:v>
                </c:pt>
                <c:pt idx="28">
                  <c:v>-1.468084985895092</c:v>
                </c:pt>
                <c:pt idx="29">
                  <c:v>-1.1441842892946601</c:v>
                </c:pt>
                <c:pt idx="30">
                  <c:v>-2.8967088940255072</c:v>
                </c:pt>
                <c:pt idx="31">
                  <c:v>-4.1054013535411551</c:v>
                </c:pt>
                <c:pt idx="32">
                  <c:v>-1.6205593666224374</c:v>
                </c:pt>
                <c:pt idx="33">
                  <c:v>-2.2925956788913462</c:v>
                </c:pt>
                <c:pt idx="34">
                  <c:v>-0.32472647373697416</c:v>
                </c:pt>
                <c:pt idx="35">
                  <c:v>-1.8139364015399</c:v>
                </c:pt>
                <c:pt idx="36">
                  <c:v>3.5343935314330999E-2</c:v>
                </c:pt>
                <c:pt idx="37">
                  <c:v>-0.24613356157585023</c:v>
                </c:pt>
                <c:pt idx="38">
                  <c:v>-3.283682876216877</c:v>
                </c:pt>
                <c:pt idx="39">
                  <c:v>-4.5415254167541681</c:v>
                </c:pt>
                <c:pt idx="40">
                  <c:v>-0.93975532690563535</c:v>
                </c:pt>
                <c:pt idx="41">
                  <c:v>-1.8199453612782872</c:v>
                </c:pt>
                <c:pt idx="42">
                  <c:v>-0.43518371560798574</c:v>
                </c:pt>
                <c:pt idx="43">
                  <c:v>-0.93831791482202453</c:v>
                </c:pt>
                <c:pt idx="44">
                  <c:v>0.1631824151071698</c:v>
                </c:pt>
                <c:pt idx="45">
                  <c:v>0.26279764266585015</c:v>
                </c:pt>
                <c:pt idx="46">
                  <c:v>-0.2668114338305837</c:v>
                </c:pt>
                <c:pt idx="47">
                  <c:v>-1.1036026474346108</c:v>
                </c:pt>
                <c:pt idx="48">
                  <c:v>0.10607414917842456</c:v>
                </c:pt>
                <c:pt idx="49">
                  <c:v>0.19098522298304116</c:v>
                </c:pt>
                <c:pt idx="50">
                  <c:v>6.4806094269020953E-3</c:v>
                </c:pt>
                <c:pt idx="51">
                  <c:v>-1.1063931545070063</c:v>
                </c:pt>
                <c:pt idx="52">
                  <c:v>-0.13080820497289203</c:v>
                </c:pt>
                <c:pt idx="53">
                  <c:v>3.6557650467966996E-2</c:v>
                </c:pt>
                <c:pt idx="54">
                  <c:v>-1.8026810025172653</c:v>
                </c:pt>
                <c:pt idx="55">
                  <c:v>-2.5825808509828021</c:v>
                </c:pt>
                <c:pt idx="56">
                  <c:v>-0.33824602126275083</c:v>
                </c:pt>
                <c:pt idx="57">
                  <c:v>-1.2701347576567219</c:v>
                </c:pt>
                <c:pt idx="58">
                  <c:v>0.54586999163456773</c:v>
                </c:pt>
                <c:pt idx="59">
                  <c:v>-0.41064631977665855</c:v>
                </c:pt>
                <c:pt idx="60">
                  <c:v>0.70642650900507031</c:v>
                </c:pt>
                <c:pt idx="61">
                  <c:v>1.0226418522737479</c:v>
                </c:pt>
                <c:pt idx="62">
                  <c:v>-1.3032488592122233</c:v>
                </c:pt>
                <c:pt idx="63">
                  <c:v>-2.2873965098618703</c:v>
                </c:pt>
                <c:pt idx="64">
                  <c:v>-1.3627956629979066E-2</c:v>
                </c:pt>
                <c:pt idx="65">
                  <c:v>-0.50253549354813787</c:v>
                </c:pt>
                <c:pt idx="66">
                  <c:v>-0.73775127444920263</c:v>
                </c:pt>
                <c:pt idx="67">
                  <c:v>-0.87395035304667956</c:v>
                </c:pt>
                <c:pt idx="68">
                  <c:v>0.20283128440671516</c:v>
                </c:pt>
                <c:pt idx="69">
                  <c:v>-0.77038759201291962</c:v>
                </c:pt>
                <c:pt idx="70">
                  <c:v>0.60804524034366203</c:v>
                </c:pt>
                <c:pt idx="71">
                  <c:v>0.55985462173544898</c:v>
                </c:pt>
                <c:pt idx="72">
                  <c:v>0.82726288526369518</c:v>
                </c:pt>
                <c:pt idx="73">
                  <c:v>0.30703964316712207</c:v>
                </c:pt>
                <c:pt idx="74">
                  <c:v>0.50391511063603911</c:v>
                </c:pt>
                <c:pt idx="75">
                  <c:v>0.38489933569674806</c:v>
                </c:pt>
                <c:pt idx="76">
                  <c:v>0.93895915127589302</c:v>
                </c:pt>
                <c:pt idx="77">
                  <c:v>0.3604753690907021</c:v>
                </c:pt>
                <c:pt idx="78">
                  <c:v>0.97444544008665979</c:v>
                </c:pt>
                <c:pt idx="79">
                  <c:v>0.5731581210036385</c:v>
                </c:pt>
                <c:pt idx="80">
                  <c:v>0.25951375517513608</c:v>
                </c:pt>
                <c:pt idx="81">
                  <c:v>0.36104980792893904</c:v>
                </c:pt>
                <c:pt idx="82">
                  <c:v>-1.0598446835814783</c:v>
                </c:pt>
                <c:pt idx="83">
                  <c:v>-1.4839669415266257</c:v>
                </c:pt>
                <c:pt idx="84">
                  <c:v>-3.7170636542870672E-2</c:v>
                </c:pt>
                <c:pt idx="85">
                  <c:v>-0.65495754471519485</c:v>
                </c:pt>
                <c:pt idx="86">
                  <c:v>8.2625762713080086E-2</c:v>
                </c:pt>
                <c:pt idx="87">
                  <c:v>-0.10261972066728997</c:v>
                </c:pt>
                <c:pt idx="88">
                  <c:v>0.67469908808817769</c:v>
                </c:pt>
                <c:pt idx="89">
                  <c:v>1.7194448601227763E-2</c:v>
                </c:pt>
                <c:pt idx="90">
                  <c:v>-0.63559197615783425</c:v>
                </c:pt>
                <c:pt idx="91">
                  <c:v>-0.64240153811903056</c:v>
                </c:pt>
                <c:pt idx="92">
                  <c:v>0.46984491420454261</c:v>
                </c:pt>
                <c:pt idx="93">
                  <c:v>-0.49573337159642944</c:v>
                </c:pt>
                <c:pt idx="94">
                  <c:v>0.60184371182729057</c:v>
                </c:pt>
                <c:pt idx="95">
                  <c:v>-9.5872444645270116E-2</c:v>
                </c:pt>
                <c:pt idx="96">
                  <c:v>0.20095810349653198</c:v>
                </c:pt>
                <c:pt idx="97">
                  <c:v>0.37602266897304393</c:v>
                </c:pt>
                <c:pt idx="98">
                  <c:v>0.41668627246598899</c:v>
                </c:pt>
                <c:pt idx="99">
                  <c:v>-0.47235285542918604</c:v>
                </c:pt>
                <c:pt idx="100">
                  <c:v>-0.19885935702409907</c:v>
                </c:pt>
                <c:pt idx="101">
                  <c:v>-0.3600890531802059</c:v>
                </c:pt>
                <c:pt idx="102">
                  <c:v>-0.14620954323508523</c:v>
                </c:pt>
                <c:pt idx="103">
                  <c:v>-0.57280300136018747</c:v>
                </c:pt>
                <c:pt idx="104">
                  <c:v>0.1253373978109007</c:v>
                </c:pt>
                <c:pt idx="105">
                  <c:v>0.12311761734483889</c:v>
                </c:pt>
                <c:pt idx="106">
                  <c:v>0.29855354285163038</c:v>
                </c:pt>
                <c:pt idx="107">
                  <c:v>-0.47972768132192978</c:v>
                </c:pt>
                <c:pt idx="108">
                  <c:v>-8.9414898423502587E-2</c:v>
                </c:pt>
                <c:pt idx="109">
                  <c:v>-8.8439121019513678E-2</c:v>
                </c:pt>
                <c:pt idx="110">
                  <c:v>-0.11861033767558893</c:v>
                </c:pt>
                <c:pt idx="111">
                  <c:v>-0.28042817709720791</c:v>
                </c:pt>
                <c:pt idx="112">
                  <c:v>-4.7304590003143909E-2</c:v>
                </c:pt>
                <c:pt idx="113">
                  <c:v>-1.0856298219501959E-2</c:v>
                </c:pt>
                <c:pt idx="114">
                  <c:v>0.27860513231977801</c:v>
                </c:pt>
                <c:pt idx="115">
                  <c:v>0.16032115441809891</c:v>
                </c:pt>
                <c:pt idx="116">
                  <c:v>0.24619510094493702</c:v>
                </c:pt>
                <c:pt idx="117">
                  <c:v>0.56021580938968807</c:v>
                </c:pt>
                <c:pt idx="118">
                  <c:v>1.8786753011990158</c:v>
                </c:pt>
                <c:pt idx="119">
                  <c:v>1.510323809035472</c:v>
                </c:pt>
                <c:pt idx="120">
                  <c:v>1.7183218536184302</c:v>
                </c:pt>
                <c:pt idx="121">
                  <c:v>1.8590512359207483</c:v>
                </c:pt>
                <c:pt idx="122">
                  <c:v>-0.6951946375147382</c:v>
                </c:pt>
                <c:pt idx="123">
                  <c:v>-0.9474050098037794</c:v>
                </c:pt>
                <c:pt idx="124">
                  <c:v>-0.52027408063893632</c:v>
                </c:pt>
                <c:pt idx="125">
                  <c:v>-0.59721808051947733</c:v>
                </c:pt>
                <c:pt idx="126">
                  <c:v>0.32534337819466397</c:v>
                </c:pt>
                <c:pt idx="127">
                  <c:v>0.14602905922159692</c:v>
                </c:pt>
                <c:pt idx="128">
                  <c:v>1.0550904016198952</c:v>
                </c:pt>
                <c:pt idx="129">
                  <c:v>0.5261694887334849</c:v>
                </c:pt>
                <c:pt idx="130">
                  <c:v>0.1507797162184652</c:v>
                </c:pt>
                <c:pt idx="131">
                  <c:v>-0.10249939779924788</c:v>
                </c:pt>
                <c:pt idx="132">
                  <c:v>-0.26884506369373296</c:v>
                </c:pt>
                <c:pt idx="133">
                  <c:v>-7.9783867035730927E-2</c:v>
                </c:pt>
                <c:pt idx="134">
                  <c:v>1.6647192282288961</c:v>
                </c:pt>
                <c:pt idx="135">
                  <c:v>1.5726056100512928</c:v>
                </c:pt>
                <c:pt idx="136">
                  <c:v>0.98726553765954383</c:v>
                </c:pt>
                <c:pt idx="137">
                  <c:v>1.4979471361736059</c:v>
                </c:pt>
                <c:pt idx="138">
                  <c:v>2.4720940007392684</c:v>
                </c:pt>
                <c:pt idx="139">
                  <c:v>2.5243960048727772</c:v>
                </c:pt>
                <c:pt idx="140">
                  <c:v>-4.9051166356071096E-2</c:v>
                </c:pt>
                <c:pt idx="141">
                  <c:v>1.9527316757675739</c:v>
                </c:pt>
                <c:pt idx="142">
                  <c:v>2.0165120904442619</c:v>
                </c:pt>
                <c:pt idx="143">
                  <c:v>1.5169148839265081</c:v>
                </c:pt>
                <c:pt idx="144">
                  <c:v>0.63151210674854008</c:v>
                </c:pt>
                <c:pt idx="145">
                  <c:v>1.4222126188508</c:v>
                </c:pt>
                <c:pt idx="146">
                  <c:v>5.8211280770205098E-2</c:v>
                </c:pt>
                <c:pt idx="147">
                  <c:v>0.17749745265910399</c:v>
                </c:pt>
                <c:pt idx="148">
                  <c:v>0.32816631924187512</c:v>
                </c:pt>
                <c:pt idx="149">
                  <c:v>5.2215939373469133E-2</c:v>
                </c:pt>
                <c:pt idx="150">
                  <c:v>-0.85346390397992189</c:v>
                </c:pt>
                <c:pt idx="151">
                  <c:v>-0.58665416924442604</c:v>
                </c:pt>
                <c:pt idx="152">
                  <c:v>-0.45083812998151118</c:v>
                </c:pt>
                <c:pt idx="153">
                  <c:v>-1.0388815708978532</c:v>
                </c:pt>
                <c:pt idx="154">
                  <c:v>-1.4684876877358761</c:v>
                </c:pt>
                <c:pt idx="155">
                  <c:v>-0.55948823596464492</c:v>
                </c:pt>
                <c:pt idx="156">
                  <c:v>-1.7034961062862728</c:v>
                </c:pt>
                <c:pt idx="157">
                  <c:v>-1.3340082792667409</c:v>
                </c:pt>
                <c:pt idx="158">
                  <c:v>0.84121405179820208</c:v>
                </c:pt>
                <c:pt idx="159">
                  <c:v>1.3359790738157751</c:v>
                </c:pt>
                <c:pt idx="160">
                  <c:v>0.73645045202355286</c:v>
                </c:pt>
                <c:pt idx="161">
                  <c:v>0.56998726219637108</c:v>
                </c:pt>
                <c:pt idx="162">
                  <c:v>0.8982846201541661</c:v>
                </c:pt>
                <c:pt idx="163">
                  <c:v>0.68058495597650426</c:v>
                </c:pt>
                <c:pt idx="164">
                  <c:v>1.2770204459163441</c:v>
                </c:pt>
                <c:pt idx="165">
                  <c:v>1.1871434535654872</c:v>
                </c:pt>
                <c:pt idx="166">
                  <c:v>-0.72683828897076608</c:v>
                </c:pt>
                <c:pt idx="167">
                  <c:v>-0.93999679709258999</c:v>
                </c:pt>
                <c:pt idx="168">
                  <c:v>0.67371743677701046</c:v>
                </c:pt>
                <c:pt idx="169">
                  <c:v>0.56661972983481634</c:v>
                </c:pt>
                <c:pt idx="170">
                  <c:v>-0.21306976831362023</c:v>
                </c:pt>
                <c:pt idx="171">
                  <c:v>-0.41366958696250311</c:v>
                </c:pt>
                <c:pt idx="172">
                  <c:v>7.2237730363746921E-2</c:v>
                </c:pt>
                <c:pt idx="173">
                  <c:v>-0.15364893942900526</c:v>
                </c:pt>
                <c:pt idx="174">
                  <c:v>-0.8335748506428422</c:v>
                </c:pt>
                <c:pt idx="175">
                  <c:v>-0.9295559719103379</c:v>
                </c:pt>
                <c:pt idx="176">
                  <c:v>-1.4110869060006026E-2</c:v>
                </c:pt>
                <c:pt idx="177">
                  <c:v>-0.29784066310397006</c:v>
                </c:pt>
                <c:pt idx="178">
                  <c:v>0.86923730155660284</c:v>
                </c:pt>
                <c:pt idx="179">
                  <c:v>0.67142489045585174</c:v>
                </c:pt>
                <c:pt idx="180">
                  <c:v>0.75821702215020981</c:v>
                </c:pt>
                <c:pt idx="181">
                  <c:v>1.0362404008479218</c:v>
                </c:pt>
                <c:pt idx="182">
                  <c:v>-5.8720213186906536</c:v>
                </c:pt>
                <c:pt idx="183">
                  <c:v>-6.1107535820139915</c:v>
                </c:pt>
                <c:pt idx="184">
                  <c:v>3.5084821711300487</c:v>
                </c:pt>
                <c:pt idx="185">
                  <c:v>2.2459230282070131</c:v>
                </c:pt>
                <c:pt idx="186">
                  <c:v>-5.5117432414984107</c:v>
                </c:pt>
                <c:pt idx="187">
                  <c:v>-6.0477828073613109</c:v>
                </c:pt>
                <c:pt idx="188">
                  <c:v>1.0663028045156304</c:v>
                </c:pt>
                <c:pt idx="189">
                  <c:v>1.9676759169072984</c:v>
                </c:pt>
                <c:pt idx="190">
                  <c:v>-13.076741440445701</c:v>
                </c:pt>
                <c:pt idx="191">
                  <c:v>-13.449524977065238</c:v>
                </c:pt>
                <c:pt idx="192">
                  <c:v>0.82436876065597886</c:v>
                </c:pt>
                <c:pt idx="193">
                  <c:v>-2.2018192403305132</c:v>
                </c:pt>
                <c:pt idx="194">
                  <c:v>-3.6230506117637438</c:v>
                </c:pt>
                <c:pt idx="195">
                  <c:v>-3.6875295267387962</c:v>
                </c:pt>
                <c:pt idx="196">
                  <c:v>1.7496128021536563</c:v>
                </c:pt>
                <c:pt idx="197">
                  <c:v>3.812344683053138</c:v>
                </c:pt>
                <c:pt idx="198">
                  <c:v>0.31461082759038206</c:v>
                </c:pt>
                <c:pt idx="199">
                  <c:v>-2.0409268972643462</c:v>
                </c:pt>
                <c:pt idx="200">
                  <c:v>1.097113718613111</c:v>
                </c:pt>
                <c:pt idx="201">
                  <c:v>0.42604586480458417</c:v>
                </c:pt>
                <c:pt idx="202">
                  <c:v>-0.25859743194969287</c:v>
                </c:pt>
                <c:pt idx="203">
                  <c:v>-1.0319888097993339</c:v>
                </c:pt>
                <c:pt idx="204">
                  <c:v>-0.76255561777172076</c:v>
                </c:pt>
                <c:pt idx="205">
                  <c:v>-9.7992979043315831E-2</c:v>
                </c:pt>
                <c:pt idx="206">
                  <c:v>4.3860333621503482</c:v>
                </c:pt>
                <c:pt idx="207">
                  <c:v>1.8874102730208113</c:v>
                </c:pt>
                <c:pt idx="208">
                  <c:v>2.2077938630119469</c:v>
                </c:pt>
                <c:pt idx="209">
                  <c:v>4.2301947873575489</c:v>
                </c:pt>
                <c:pt idx="210">
                  <c:v>-2.6609443169839953</c:v>
                </c:pt>
                <c:pt idx="211">
                  <c:v>-2.1229358469342294</c:v>
                </c:pt>
                <c:pt idx="212">
                  <c:v>0.37338056935970299</c:v>
                </c:pt>
                <c:pt idx="213">
                  <c:v>0.37386578423211692</c:v>
                </c:pt>
                <c:pt idx="214">
                  <c:v>0.64788894209388648</c:v>
                </c:pt>
                <c:pt idx="215">
                  <c:v>-0.60227924273788158</c:v>
                </c:pt>
                <c:pt idx="216">
                  <c:v>1.6280433106379038</c:v>
                </c:pt>
                <c:pt idx="217">
                  <c:v>2.149623075816363</c:v>
                </c:pt>
                <c:pt idx="218">
                  <c:v>-2.0671616710759921</c:v>
                </c:pt>
                <c:pt idx="219">
                  <c:v>-1.9916383255658392</c:v>
                </c:pt>
                <c:pt idx="220">
                  <c:v>-1.5677906220824354</c:v>
                </c:pt>
                <c:pt idx="221">
                  <c:v>-0.84304938846227129</c:v>
                </c:pt>
                <c:pt idx="222">
                  <c:v>0.58569431791028492</c:v>
                </c:pt>
                <c:pt idx="223">
                  <c:v>0.46115485843316062</c:v>
                </c:pt>
                <c:pt idx="224">
                  <c:v>1.0277214587440522</c:v>
                </c:pt>
                <c:pt idx="225">
                  <c:v>2.428959206215525</c:v>
                </c:pt>
                <c:pt idx="226">
                  <c:v>1.4313467273622811</c:v>
                </c:pt>
                <c:pt idx="227">
                  <c:v>1.65373321511687</c:v>
                </c:pt>
                <c:pt idx="228">
                  <c:v>0.16648728936240431</c:v>
                </c:pt>
                <c:pt idx="229">
                  <c:v>0.94714374205589991</c:v>
                </c:pt>
                <c:pt idx="230">
                  <c:v>-0.19093583944082815</c:v>
                </c:pt>
                <c:pt idx="231">
                  <c:v>-3.2259227434105444</c:v>
                </c:pt>
                <c:pt idx="232">
                  <c:v>-0.54354189717324675</c:v>
                </c:pt>
                <c:pt idx="233">
                  <c:v>-1.0064641370532392</c:v>
                </c:pt>
                <c:pt idx="234">
                  <c:v>-1.5379932664356266</c:v>
                </c:pt>
                <c:pt idx="235">
                  <c:v>-2.96232576895608</c:v>
                </c:pt>
                <c:pt idx="236">
                  <c:v>-1.4350651524638591</c:v>
                </c:pt>
                <c:pt idx="237">
                  <c:v>-1.4958963214910126</c:v>
                </c:pt>
                <c:pt idx="238">
                  <c:v>0.69953692902983344</c:v>
                </c:pt>
                <c:pt idx="239">
                  <c:v>-0.83701733507933507</c:v>
                </c:pt>
                <c:pt idx="240">
                  <c:v>0.3227009071263518</c:v>
                </c:pt>
                <c:pt idx="241">
                  <c:v>-0.19232404471208708</c:v>
                </c:pt>
                <c:pt idx="242">
                  <c:v>2.3359588026966547</c:v>
                </c:pt>
                <c:pt idx="243">
                  <c:v>0.39242832347734202</c:v>
                </c:pt>
                <c:pt idx="244">
                  <c:v>0.82603710498769489</c:v>
                </c:pt>
                <c:pt idx="245">
                  <c:v>0.61415875922665375</c:v>
                </c:pt>
                <c:pt idx="246">
                  <c:v>-0.76398245054191438</c:v>
                </c:pt>
                <c:pt idx="247">
                  <c:v>-1.3181654375038181</c:v>
                </c:pt>
                <c:pt idx="248">
                  <c:v>0.15197449145164205</c:v>
                </c:pt>
                <c:pt idx="249">
                  <c:v>-8.7013171124686664E-2</c:v>
                </c:pt>
                <c:pt idx="250">
                  <c:v>5.5454419377964248E-2</c:v>
                </c:pt>
                <c:pt idx="251">
                  <c:v>-0.49398677856419337</c:v>
                </c:pt>
                <c:pt idx="252">
                  <c:v>1.1596069734324581</c:v>
                </c:pt>
                <c:pt idx="253">
                  <c:v>0.84187322906342721</c:v>
                </c:pt>
                <c:pt idx="254">
                  <c:v>0.57631554946716701</c:v>
                </c:pt>
                <c:pt idx="255">
                  <c:v>-1.3475656933011551</c:v>
                </c:pt>
                <c:pt idx="256">
                  <c:v>4.1610059157908612</c:v>
                </c:pt>
                <c:pt idx="257">
                  <c:v>2.3766670965922447</c:v>
                </c:pt>
                <c:pt idx="258">
                  <c:v>-0.26756306953106568</c:v>
                </c:pt>
                <c:pt idx="259">
                  <c:v>-0.50358721299028975</c:v>
                </c:pt>
                <c:pt idx="260">
                  <c:v>-8.4118151145665343E-2</c:v>
                </c:pt>
                <c:pt idx="261">
                  <c:v>-0.35185080229070154</c:v>
                </c:pt>
                <c:pt idx="262">
                  <c:v>0.877059487557313</c:v>
                </c:pt>
                <c:pt idx="263">
                  <c:v>0.43349115215204903</c:v>
                </c:pt>
                <c:pt idx="264">
                  <c:v>0.53893400861308405</c:v>
                </c:pt>
                <c:pt idx="265">
                  <c:v>0.45622753459714716</c:v>
                </c:pt>
                <c:pt idx="266">
                  <c:v>-0.74460636681637882</c:v>
                </c:pt>
                <c:pt idx="267">
                  <c:v>-0.5607547780382397</c:v>
                </c:pt>
                <c:pt idx="268">
                  <c:v>0.72418125285179868</c:v>
                </c:pt>
                <c:pt idx="269">
                  <c:v>-0.17606213387669556</c:v>
                </c:pt>
                <c:pt idx="270">
                  <c:v>-0.37629081703927114</c:v>
                </c:pt>
                <c:pt idx="271">
                  <c:v>-0.43658647742987933</c:v>
                </c:pt>
                <c:pt idx="272">
                  <c:v>0.30154220637721435</c:v>
                </c:pt>
                <c:pt idx="273">
                  <c:v>-3.1208783804359541E-3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5FB-4F4C-AAAA-549D1446849A}"/>
            </c:ext>
          </c:extLst>
        </c:ser>
        <c:ser>
          <c:idx val="1"/>
          <c:order val="1"/>
          <c:tx>
            <c:v>Above median (ICT investment share &gt; 0.1456)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77B4"/>
              </a:solidFill>
              <a:ln>
                <a:solidFill>
                  <a:srgbClr val="1F77B4"/>
                </a:solidFill>
                <a:prstDash val="solid"/>
              </a:ln>
            </c:spPr>
          </c:marker>
          <c:xVal>
            <c:numRef>
              <c:f>data_cluster_ict_share!$D$276:$D$549</c:f>
              <c:numCache>
                <c:formatCode>General</c:formatCode>
                <c:ptCount val="274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2012</c:v>
                </c:pt>
                <c:pt idx="7">
                  <c:v>2012</c:v>
                </c:pt>
                <c:pt idx="8">
                  <c:v>2012</c:v>
                </c:pt>
                <c:pt idx="9">
                  <c:v>2012</c:v>
                </c:pt>
                <c:pt idx="10">
                  <c:v>2012</c:v>
                </c:pt>
                <c:pt idx="11">
                  <c:v>2012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2013</c:v>
                </c:pt>
                <c:pt idx="22">
                  <c:v>2013</c:v>
                </c:pt>
                <c:pt idx="23">
                  <c:v>2013</c:v>
                </c:pt>
                <c:pt idx="24">
                  <c:v>2013</c:v>
                </c:pt>
                <c:pt idx="25">
                  <c:v>2013</c:v>
                </c:pt>
                <c:pt idx="26">
                  <c:v>2013</c:v>
                </c:pt>
                <c:pt idx="27">
                  <c:v>2013</c:v>
                </c:pt>
                <c:pt idx="28">
                  <c:v>2013</c:v>
                </c:pt>
                <c:pt idx="29">
                  <c:v>2013</c:v>
                </c:pt>
                <c:pt idx="30">
                  <c:v>2013</c:v>
                </c:pt>
                <c:pt idx="31">
                  <c:v>2013</c:v>
                </c:pt>
                <c:pt idx="32">
                  <c:v>2013</c:v>
                </c:pt>
                <c:pt idx="33">
                  <c:v>2013</c:v>
                </c:pt>
                <c:pt idx="34">
                  <c:v>2014</c:v>
                </c:pt>
                <c:pt idx="35">
                  <c:v>2014</c:v>
                </c:pt>
                <c:pt idx="36">
                  <c:v>2014</c:v>
                </c:pt>
                <c:pt idx="37">
                  <c:v>2014</c:v>
                </c:pt>
                <c:pt idx="38">
                  <c:v>2014</c:v>
                </c:pt>
                <c:pt idx="39">
                  <c:v>2014</c:v>
                </c:pt>
                <c:pt idx="40">
                  <c:v>2014</c:v>
                </c:pt>
                <c:pt idx="41">
                  <c:v>2014</c:v>
                </c:pt>
                <c:pt idx="42">
                  <c:v>2014</c:v>
                </c:pt>
                <c:pt idx="43">
                  <c:v>2014</c:v>
                </c:pt>
                <c:pt idx="44">
                  <c:v>2014</c:v>
                </c:pt>
                <c:pt idx="45">
                  <c:v>2014</c:v>
                </c:pt>
                <c:pt idx="46">
                  <c:v>2015</c:v>
                </c:pt>
                <c:pt idx="47">
                  <c:v>2015</c:v>
                </c:pt>
                <c:pt idx="48">
                  <c:v>2015</c:v>
                </c:pt>
                <c:pt idx="49">
                  <c:v>2015</c:v>
                </c:pt>
                <c:pt idx="50">
                  <c:v>2015</c:v>
                </c:pt>
                <c:pt idx="51">
                  <c:v>2015</c:v>
                </c:pt>
                <c:pt idx="52">
                  <c:v>2015</c:v>
                </c:pt>
                <c:pt idx="53">
                  <c:v>2015</c:v>
                </c:pt>
                <c:pt idx="54">
                  <c:v>2015</c:v>
                </c:pt>
                <c:pt idx="55">
                  <c:v>2015</c:v>
                </c:pt>
                <c:pt idx="56">
                  <c:v>2015</c:v>
                </c:pt>
                <c:pt idx="57">
                  <c:v>2015</c:v>
                </c:pt>
                <c:pt idx="58">
                  <c:v>2015</c:v>
                </c:pt>
                <c:pt idx="59">
                  <c:v>2015</c:v>
                </c:pt>
                <c:pt idx="60">
                  <c:v>2015</c:v>
                </c:pt>
                <c:pt idx="61">
                  <c:v>2015</c:v>
                </c:pt>
                <c:pt idx="62">
                  <c:v>2015</c:v>
                </c:pt>
                <c:pt idx="63">
                  <c:v>2015</c:v>
                </c:pt>
                <c:pt idx="64">
                  <c:v>2015</c:v>
                </c:pt>
                <c:pt idx="65">
                  <c:v>2015</c:v>
                </c:pt>
                <c:pt idx="66">
                  <c:v>2015</c:v>
                </c:pt>
                <c:pt idx="67">
                  <c:v>2015</c:v>
                </c:pt>
                <c:pt idx="68">
                  <c:v>2015</c:v>
                </c:pt>
                <c:pt idx="69">
                  <c:v>2015</c:v>
                </c:pt>
                <c:pt idx="70">
                  <c:v>2016</c:v>
                </c:pt>
                <c:pt idx="71">
                  <c:v>2016</c:v>
                </c:pt>
                <c:pt idx="72">
                  <c:v>2016</c:v>
                </c:pt>
                <c:pt idx="73">
                  <c:v>2016</c:v>
                </c:pt>
                <c:pt idx="74">
                  <c:v>2016</c:v>
                </c:pt>
                <c:pt idx="75">
                  <c:v>2016</c:v>
                </c:pt>
                <c:pt idx="76">
                  <c:v>2016</c:v>
                </c:pt>
                <c:pt idx="77">
                  <c:v>2016</c:v>
                </c:pt>
                <c:pt idx="78">
                  <c:v>2016</c:v>
                </c:pt>
                <c:pt idx="79">
                  <c:v>2016</c:v>
                </c:pt>
                <c:pt idx="80">
                  <c:v>2016</c:v>
                </c:pt>
                <c:pt idx="81">
                  <c:v>2016</c:v>
                </c:pt>
                <c:pt idx="82">
                  <c:v>2016</c:v>
                </c:pt>
                <c:pt idx="83">
                  <c:v>2016</c:v>
                </c:pt>
                <c:pt idx="84">
                  <c:v>2016</c:v>
                </c:pt>
                <c:pt idx="85">
                  <c:v>2016</c:v>
                </c:pt>
                <c:pt idx="86">
                  <c:v>2016</c:v>
                </c:pt>
                <c:pt idx="87">
                  <c:v>2016</c:v>
                </c:pt>
                <c:pt idx="88">
                  <c:v>2016</c:v>
                </c:pt>
                <c:pt idx="89">
                  <c:v>2016</c:v>
                </c:pt>
                <c:pt idx="90">
                  <c:v>2017</c:v>
                </c:pt>
                <c:pt idx="91">
                  <c:v>2017</c:v>
                </c:pt>
                <c:pt idx="92">
                  <c:v>2017</c:v>
                </c:pt>
                <c:pt idx="93">
                  <c:v>2017</c:v>
                </c:pt>
                <c:pt idx="94">
                  <c:v>2017</c:v>
                </c:pt>
                <c:pt idx="95">
                  <c:v>2017</c:v>
                </c:pt>
                <c:pt idx="96">
                  <c:v>2017</c:v>
                </c:pt>
                <c:pt idx="97">
                  <c:v>2017</c:v>
                </c:pt>
                <c:pt idx="98">
                  <c:v>2017</c:v>
                </c:pt>
                <c:pt idx="99">
                  <c:v>2017</c:v>
                </c:pt>
                <c:pt idx="100">
                  <c:v>2017</c:v>
                </c:pt>
                <c:pt idx="101">
                  <c:v>2017</c:v>
                </c:pt>
                <c:pt idx="102">
                  <c:v>2017</c:v>
                </c:pt>
                <c:pt idx="103">
                  <c:v>2017</c:v>
                </c:pt>
                <c:pt idx="104">
                  <c:v>2017</c:v>
                </c:pt>
                <c:pt idx="105">
                  <c:v>2017</c:v>
                </c:pt>
                <c:pt idx="106">
                  <c:v>2017</c:v>
                </c:pt>
                <c:pt idx="107">
                  <c:v>2017</c:v>
                </c:pt>
                <c:pt idx="108">
                  <c:v>2017</c:v>
                </c:pt>
                <c:pt idx="109">
                  <c:v>2017</c:v>
                </c:pt>
                <c:pt idx="110">
                  <c:v>2017</c:v>
                </c:pt>
                <c:pt idx="111">
                  <c:v>2017</c:v>
                </c:pt>
                <c:pt idx="112">
                  <c:v>2017</c:v>
                </c:pt>
                <c:pt idx="113">
                  <c:v>2017</c:v>
                </c:pt>
                <c:pt idx="114">
                  <c:v>2018</c:v>
                </c:pt>
                <c:pt idx="115">
                  <c:v>2018</c:v>
                </c:pt>
                <c:pt idx="116">
                  <c:v>2018</c:v>
                </c:pt>
                <c:pt idx="117">
                  <c:v>2018</c:v>
                </c:pt>
                <c:pt idx="118">
                  <c:v>2018</c:v>
                </c:pt>
                <c:pt idx="119">
                  <c:v>2018</c:v>
                </c:pt>
                <c:pt idx="120">
                  <c:v>2018</c:v>
                </c:pt>
                <c:pt idx="121">
                  <c:v>2018</c:v>
                </c:pt>
                <c:pt idx="122">
                  <c:v>2018</c:v>
                </c:pt>
                <c:pt idx="123">
                  <c:v>2018</c:v>
                </c:pt>
                <c:pt idx="124">
                  <c:v>2018</c:v>
                </c:pt>
                <c:pt idx="125">
                  <c:v>2018</c:v>
                </c:pt>
                <c:pt idx="126">
                  <c:v>2018</c:v>
                </c:pt>
                <c:pt idx="127">
                  <c:v>2018</c:v>
                </c:pt>
                <c:pt idx="128">
                  <c:v>2018</c:v>
                </c:pt>
                <c:pt idx="129">
                  <c:v>2018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2019</c:v>
                </c:pt>
                <c:pt idx="139">
                  <c:v>2019</c:v>
                </c:pt>
                <c:pt idx="140">
                  <c:v>2019</c:v>
                </c:pt>
                <c:pt idx="141">
                  <c:v>2019</c:v>
                </c:pt>
                <c:pt idx="142">
                  <c:v>2019</c:v>
                </c:pt>
                <c:pt idx="143">
                  <c:v>2019</c:v>
                </c:pt>
                <c:pt idx="144">
                  <c:v>2019</c:v>
                </c:pt>
                <c:pt idx="145">
                  <c:v>2019</c:v>
                </c:pt>
                <c:pt idx="146">
                  <c:v>2019</c:v>
                </c:pt>
                <c:pt idx="147">
                  <c:v>2019</c:v>
                </c:pt>
                <c:pt idx="148">
                  <c:v>2019</c:v>
                </c:pt>
                <c:pt idx="149">
                  <c:v>2019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2020</c:v>
                </c:pt>
                <c:pt idx="159">
                  <c:v>2020</c:v>
                </c:pt>
                <c:pt idx="160">
                  <c:v>2020</c:v>
                </c:pt>
                <c:pt idx="161">
                  <c:v>2020</c:v>
                </c:pt>
                <c:pt idx="162">
                  <c:v>2020</c:v>
                </c:pt>
                <c:pt idx="163">
                  <c:v>2020</c:v>
                </c:pt>
                <c:pt idx="164">
                  <c:v>2020</c:v>
                </c:pt>
                <c:pt idx="165">
                  <c:v>2020</c:v>
                </c:pt>
                <c:pt idx="166">
                  <c:v>2020</c:v>
                </c:pt>
                <c:pt idx="167">
                  <c:v>2020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2021</c:v>
                </c:pt>
                <c:pt idx="183">
                  <c:v>2021</c:v>
                </c:pt>
                <c:pt idx="184">
                  <c:v>2021</c:v>
                </c:pt>
                <c:pt idx="185">
                  <c:v>2021</c:v>
                </c:pt>
                <c:pt idx="186">
                  <c:v>2021</c:v>
                </c:pt>
                <c:pt idx="187">
                  <c:v>2021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2023</c:v>
                </c:pt>
                <c:pt idx="253">
                  <c:v>2023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2024</c:v>
                </c:pt>
                <c:pt idx="271">
                  <c:v>2024</c:v>
                </c:pt>
                <c:pt idx="272">
                  <c:v>2024</c:v>
                </c:pt>
                <c:pt idx="273">
                  <c:v>2024</c:v>
                </c:pt>
              </c:numCache>
            </c:numRef>
          </c:xVal>
          <c:yVal>
            <c:numRef>
              <c:f>data_cluster_ict_share!$G$276:$G$549</c:f>
              <c:numCache>
                <c:formatCode>General</c:formatCode>
                <c:ptCount val="274"/>
                <c:pt idx="0">
                  <c:v>9.2616002622778915E-2</c:v>
                </c:pt>
                <c:pt idx="1">
                  <c:v>0.61454835947600683</c:v>
                </c:pt>
                <c:pt idx="2">
                  <c:v>0.50049004709387601</c:v>
                </c:pt>
                <c:pt idx="3">
                  <c:v>0.9413258690012245</c:v>
                </c:pt>
                <c:pt idx="4">
                  <c:v>-4.4869424188079154E-2</c:v>
                </c:pt>
                <c:pt idx="5">
                  <c:v>-0.16273935738707901</c:v>
                </c:pt>
                <c:pt idx="6">
                  <c:v>-1.6280635865737629</c:v>
                </c:pt>
                <c:pt idx="7">
                  <c:v>-2.453635222613276</c:v>
                </c:pt>
                <c:pt idx="8">
                  <c:v>-0.96922525562108064</c:v>
                </c:pt>
                <c:pt idx="9">
                  <c:v>-1.0724333951104441</c:v>
                </c:pt>
                <c:pt idx="10">
                  <c:v>-1.4862389038890746</c:v>
                </c:pt>
                <c:pt idx="11">
                  <c:v>-2.6486668808434137</c:v>
                </c:pt>
                <c:pt idx="12">
                  <c:v>-0.70761224838733949</c:v>
                </c:pt>
                <c:pt idx="13">
                  <c:v>-0.10024508264757004</c:v>
                </c:pt>
                <c:pt idx="14">
                  <c:v>-1.0995542098793263</c:v>
                </c:pt>
                <c:pt idx="15">
                  <c:v>-2.3809908827477235</c:v>
                </c:pt>
                <c:pt idx="16">
                  <c:v>-1.1760026883100392</c:v>
                </c:pt>
                <c:pt idx="17">
                  <c:v>-0.87299909854646618</c:v>
                </c:pt>
                <c:pt idx="18">
                  <c:v>-1.1913368759070364</c:v>
                </c:pt>
                <c:pt idx="19">
                  <c:v>-1.9978324758434329</c:v>
                </c:pt>
                <c:pt idx="20">
                  <c:v>-0.73724213590623755</c:v>
                </c:pt>
                <c:pt idx="21">
                  <c:v>-0.91195967368665976</c:v>
                </c:pt>
                <c:pt idx="22">
                  <c:v>1.205057100905597</c:v>
                </c:pt>
                <c:pt idx="23">
                  <c:v>0.35473491447531091</c:v>
                </c:pt>
                <c:pt idx="24">
                  <c:v>1.9567787515864445</c:v>
                </c:pt>
                <c:pt idx="25">
                  <c:v>1.190812142791823</c:v>
                </c:pt>
                <c:pt idx="26">
                  <c:v>-0.23830578037063171</c:v>
                </c:pt>
                <c:pt idx="27">
                  <c:v>-0.69436298449679079</c:v>
                </c:pt>
                <c:pt idx="28">
                  <c:v>0.99271178751701716</c:v>
                </c:pt>
                <c:pt idx="29">
                  <c:v>0.8027116295009934</c:v>
                </c:pt>
                <c:pt idx="30">
                  <c:v>5.5407583701418961E-3</c:v>
                </c:pt>
                <c:pt idx="31">
                  <c:v>-1.2437166293694688</c:v>
                </c:pt>
                <c:pt idx="32">
                  <c:v>0.77491238355863912</c:v>
                </c:pt>
                <c:pt idx="33">
                  <c:v>1.3540941366994292</c:v>
                </c:pt>
                <c:pt idx="34">
                  <c:v>7.3473765864294371</c:v>
                </c:pt>
                <c:pt idx="35">
                  <c:v>6.8741599328546545</c:v>
                </c:pt>
                <c:pt idx="36">
                  <c:v>4.4352299730116496</c:v>
                </c:pt>
                <c:pt idx="37">
                  <c:v>7.3099334555518691</c:v>
                </c:pt>
                <c:pt idx="38">
                  <c:v>1.3553618816128583</c:v>
                </c:pt>
                <c:pt idx="39">
                  <c:v>0.70542793172322216</c:v>
                </c:pt>
                <c:pt idx="40">
                  <c:v>0.72324209611805812</c:v>
                </c:pt>
                <c:pt idx="41">
                  <c:v>0.43792540256365298</c:v>
                </c:pt>
                <c:pt idx="42">
                  <c:v>-3.7645971018196667E-2</c:v>
                </c:pt>
                <c:pt idx="43">
                  <c:v>0.17999874759430079</c:v>
                </c:pt>
                <c:pt idx="44">
                  <c:v>-0.1990372617381222</c:v>
                </c:pt>
                <c:pt idx="45">
                  <c:v>-0.50566639608488062</c:v>
                </c:pt>
                <c:pt idx="46">
                  <c:v>2.1335424718526896E-2</c:v>
                </c:pt>
                <c:pt idx="47">
                  <c:v>-0.59414044609208405</c:v>
                </c:pt>
                <c:pt idx="48">
                  <c:v>0.65778403978474742</c:v>
                </c:pt>
                <c:pt idx="49">
                  <c:v>0.45566821907582167</c:v>
                </c:pt>
                <c:pt idx="50">
                  <c:v>2.2507531290568341</c:v>
                </c:pt>
                <c:pt idx="51">
                  <c:v>1.9227190146805588</c:v>
                </c:pt>
                <c:pt idx="52">
                  <c:v>0.84755226971891684</c:v>
                </c:pt>
                <c:pt idx="53">
                  <c:v>1.1642716744238411</c:v>
                </c:pt>
                <c:pt idx="54">
                  <c:v>18.328578063419037</c:v>
                </c:pt>
                <c:pt idx="55">
                  <c:v>18.955022320797561</c:v>
                </c:pt>
                <c:pt idx="56">
                  <c:v>15.905810160190644</c:v>
                </c:pt>
                <c:pt idx="57">
                  <c:v>18.343702761513786</c:v>
                </c:pt>
                <c:pt idx="58">
                  <c:v>0.11412179495312647</c:v>
                </c:pt>
                <c:pt idx="59">
                  <c:v>-0.48713604095095231</c:v>
                </c:pt>
                <c:pt idx="60">
                  <c:v>-0.12380197599240972</c:v>
                </c:pt>
                <c:pt idx="61">
                  <c:v>0.13599178752260521</c:v>
                </c:pt>
                <c:pt idx="62">
                  <c:v>0.66075179047467292</c:v>
                </c:pt>
                <c:pt idx="63">
                  <c:v>0.71728036681706908</c:v>
                </c:pt>
                <c:pt idx="64">
                  <c:v>2.7912869879358926E-2</c:v>
                </c:pt>
                <c:pt idx="65">
                  <c:v>0.44124858238985798</c:v>
                </c:pt>
                <c:pt idx="66">
                  <c:v>0.27908288694357686</c:v>
                </c:pt>
                <c:pt idx="67">
                  <c:v>8.4088127918840794E-2</c:v>
                </c:pt>
                <c:pt idx="68">
                  <c:v>-0.16405386466369909</c:v>
                </c:pt>
                <c:pt idx="69">
                  <c:v>-6.4609841282320168E-2</c:v>
                </c:pt>
                <c:pt idx="70">
                  <c:v>0.69243770785740977</c:v>
                </c:pt>
                <c:pt idx="71">
                  <c:v>0.69667255164343178</c:v>
                </c:pt>
                <c:pt idx="72">
                  <c:v>0.65648168579866284</c:v>
                </c:pt>
                <c:pt idx="73">
                  <c:v>0.67387131071388295</c:v>
                </c:pt>
                <c:pt idx="74">
                  <c:v>0.20691362640356292</c:v>
                </c:pt>
                <c:pt idx="75">
                  <c:v>0.29294469454354299</c:v>
                </c:pt>
                <c:pt idx="76">
                  <c:v>-0.32437575106588312</c:v>
                </c:pt>
                <c:pt idx="77">
                  <c:v>0.27990361283777565</c:v>
                </c:pt>
                <c:pt idx="78">
                  <c:v>-3.3115780556468373</c:v>
                </c:pt>
                <c:pt idx="79">
                  <c:v>-2.3039111882363645</c:v>
                </c:pt>
                <c:pt idx="80">
                  <c:v>-2.9158948376772491</c:v>
                </c:pt>
                <c:pt idx="81">
                  <c:v>-3.6961635285906365</c:v>
                </c:pt>
                <c:pt idx="82">
                  <c:v>-0.1058406653404671</c:v>
                </c:pt>
                <c:pt idx="83">
                  <c:v>-6.5542328540008077E-2</c:v>
                </c:pt>
                <c:pt idx="84">
                  <c:v>0.63759268194228436</c:v>
                </c:pt>
                <c:pt idx="85">
                  <c:v>0.25497274041926299</c:v>
                </c:pt>
                <c:pt idx="86">
                  <c:v>0.25837958787036319</c:v>
                </c:pt>
                <c:pt idx="87">
                  <c:v>0.65826627678273919</c:v>
                </c:pt>
                <c:pt idx="88">
                  <c:v>0.73200384369860516</c:v>
                </c:pt>
                <c:pt idx="89">
                  <c:v>0.71349901011999117</c:v>
                </c:pt>
                <c:pt idx="90">
                  <c:v>0.78616412906575106</c:v>
                </c:pt>
                <c:pt idx="91">
                  <c:v>0.74103491771630314</c:v>
                </c:pt>
                <c:pt idx="92">
                  <c:v>-0.20364537794406878</c:v>
                </c:pt>
                <c:pt idx="93">
                  <c:v>0.63932081158630116</c:v>
                </c:pt>
                <c:pt idx="94">
                  <c:v>0.59955818573028896</c:v>
                </c:pt>
                <c:pt idx="95">
                  <c:v>0.35000728826492189</c:v>
                </c:pt>
                <c:pt idx="96">
                  <c:v>-0.21335805850076506</c:v>
                </c:pt>
                <c:pt idx="97">
                  <c:v>9.1706447057128937E-2</c:v>
                </c:pt>
                <c:pt idx="98">
                  <c:v>0.88730828907390391</c:v>
                </c:pt>
                <c:pt idx="99">
                  <c:v>0.55799583927453589</c:v>
                </c:pt>
                <c:pt idx="100">
                  <c:v>0.63331091710201193</c:v>
                </c:pt>
                <c:pt idx="101">
                  <c:v>0.89053149409434584</c:v>
                </c:pt>
                <c:pt idx="102">
                  <c:v>6.0228740309448732</c:v>
                </c:pt>
                <c:pt idx="103">
                  <c:v>5.9524962396982399</c:v>
                </c:pt>
                <c:pt idx="104">
                  <c:v>4.7979924738822781</c:v>
                </c:pt>
                <c:pt idx="105">
                  <c:v>5.6733497511086632</c:v>
                </c:pt>
                <c:pt idx="106">
                  <c:v>0.77488781643401738</c:v>
                </c:pt>
                <c:pt idx="107">
                  <c:v>0.34231121806944209</c:v>
                </c:pt>
                <c:pt idx="108">
                  <c:v>0.22303711004873605</c:v>
                </c:pt>
                <c:pt idx="109">
                  <c:v>0.74890781392368888</c:v>
                </c:pt>
                <c:pt idx="110">
                  <c:v>1.0914375503477329</c:v>
                </c:pt>
                <c:pt idx="111">
                  <c:v>0.77378648218358492</c:v>
                </c:pt>
                <c:pt idx="112">
                  <c:v>-0.46496850488224206</c:v>
                </c:pt>
                <c:pt idx="113">
                  <c:v>0.63236498765517979</c:v>
                </c:pt>
                <c:pt idx="114">
                  <c:v>-3.0890495413360419E-2</c:v>
                </c:pt>
                <c:pt idx="115">
                  <c:v>0.70436184472490981</c:v>
                </c:pt>
                <c:pt idx="116">
                  <c:v>-0.37845503404507719</c:v>
                </c:pt>
                <c:pt idx="117">
                  <c:v>-0.44071774143137299</c:v>
                </c:pt>
                <c:pt idx="118">
                  <c:v>-0.17009025968066194</c:v>
                </c:pt>
                <c:pt idx="119">
                  <c:v>2.9647560491548042E-3</c:v>
                </c:pt>
                <c:pt idx="120">
                  <c:v>-0.19081445099353322</c:v>
                </c:pt>
                <c:pt idx="121">
                  <c:v>-0.48414216228142726</c:v>
                </c:pt>
                <c:pt idx="122">
                  <c:v>-0.17374369252594701</c:v>
                </c:pt>
                <c:pt idx="123">
                  <c:v>-0.15383585632429808</c:v>
                </c:pt>
                <c:pt idx="124">
                  <c:v>-9.4418697622485004E-2</c:v>
                </c:pt>
                <c:pt idx="125">
                  <c:v>-0.41758951411248901</c:v>
                </c:pt>
                <c:pt idx="126">
                  <c:v>3.5391422005323694</c:v>
                </c:pt>
                <c:pt idx="127">
                  <c:v>3.8014603254516723</c:v>
                </c:pt>
                <c:pt idx="128">
                  <c:v>-0.36708855616052638</c:v>
                </c:pt>
                <c:pt idx="129">
                  <c:v>1.7637946495625059</c:v>
                </c:pt>
                <c:pt idx="130">
                  <c:v>-0.62187743480216839</c:v>
                </c:pt>
                <c:pt idx="131">
                  <c:v>-0.45306326954054732</c:v>
                </c:pt>
                <c:pt idx="132">
                  <c:v>-0.46981863171250737</c:v>
                </c:pt>
                <c:pt idx="133">
                  <c:v>-0.77439182435587239</c:v>
                </c:pt>
                <c:pt idx="134">
                  <c:v>-0.49220694854774294</c:v>
                </c:pt>
                <c:pt idx="135">
                  <c:v>0.41068430201465511</c:v>
                </c:pt>
                <c:pt idx="136">
                  <c:v>-0.60915575871749095</c:v>
                </c:pt>
                <c:pt idx="137">
                  <c:v>-0.72275559772991471</c:v>
                </c:pt>
                <c:pt idx="138">
                  <c:v>-0.27128455696010012</c:v>
                </c:pt>
                <c:pt idx="139">
                  <c:v>-0.47297799177851707</c:v>
                </c:pt>
                <c:pt idx="140">
                  <c:v>0.1374653705052129</c:v>
                </c:pt>
                <c:pt idx="141">
                  <c:v>0.162437419674061</c:v>
                </c:pt>
                <c:pt idx="142">
                  <c:v>0.4384166790122872</c:v>
                </c:pt>
                <c:pt idx="143">
                  <c:v>0.24168578243425221</c:v>
                </c:pt>
                <c:pt idx="144">
                  <c:v>0.79261069491608427</c:v>
                </c:pt>
                <c:pt idx="145">
                  <c:v>0.74602981041785821</c:v>
                </c:pt>
                <c:pt idx="146">
                  <c:v>0.2937881326285563</c:v>
                </c:pt>
                <c:pt idx="147">
                  <c:v>0.76508940488487553</c:v>
                </c:pt>
                <c:pt idx="148">
                  <c:v>-0.81182975289263659</c:v>
                </c:pt>
                <c:pt idx="149">
                  <c:v>1.0641944495974975</c:v>
                </c:pt>
                <c:pt idx="150">
                  <c:v>-0.73330529565166769</c:v>
                </c:pt>
                <c:pt idx="151">
                  <c:v>-0.79138299663360767</c:v>
                </c:pt>
                <c:pt idx="152">
                  <c:v>0.31282812569793611</c:v>
                </c:pt>
                <c:pt idx="153">
                  <c:v>0.31688392304130802</c:v>
                </c:pt>
                <c:pt idx="154">
                  <c:v>-0.12859335988762766</c:v>
                </c:pt>
                <c:pt idx="155">
                  <c:v>-0.32154765833279697</c:v>
                </c:pt>
                <c:pt idx="156">
                  <c:v>0.56885798608977911</c:v>
                </c:pt>
                <c:pt idx="157">
                  <c:v>0.6408810234895721</c:v>
                </c:pt>
                <c:pt idx="158">
                  <c:v>-7.9847948866310681</c:v>
                </c:pt>
                <c:pt idx="159">
                  <c:v>-8.2206600102329226</c:v>
                </c:pt>
                <c:pt idx="160">
                  <c:v>0.46118188805930949</c:v>
                </c:pt>
                <c:pt idx="161">
                  <c:v>-1.0768855115855178</c:v>
                </c:pt>
                <c:pt idx="162">
                  <c:v>-9.1974015560336042</c:v>
                </c:pt>
                <c:pt idx="163">
                  <c:v>-9.4157638701608679</c:v>
                </c:pt>
                <c:pt idx="164">
                  <c:v>1.4391287067798215</c:v>
                </c:pt>
                <c:pt idx="165">
                  <c:v>0.33628419121901221</c:v>
                </c:pt>
                <c:pt idx="166">
                  <c:v>3.4578095605905887</c:v>
                </c:pt>
                <c:pt idx="167">
                  <c:v>3.6187658069427835</c:v>
                </c:pt>
                <c:pt idx="168">
                  <c:v>9.3237810475628535</c:v>
                </c:pt>
                <c:pt idx="169">
                  <c:v>14.933429444226089</c:v>
                </c:pt>
                <c:pt idx="170">
                  <c:v>-9.8107396813353134</c:v>
                </c:pt>
                <c:pt idx="171">
                  <c:v>-10.090165875589653</c:v>
                </c:pt>
                <c:pt idx="172">
                  <c:v>0.47316871767660729</c:v>
                </c:pt>
                <c:pt idx="173">
                  <c:v>0.13961409785200196</c:v>
                </c:pt>
                <c:pt idx="174">
                  <c:v>-5.1870723493020137</c:v>
                </c:pt>
                <c:pt idx="175">
                  <c:v>-5.5233877578965265</c:v>
                </c:pt>
                <c:pt idx="176">
                  <c:v>1.4182708153157462</c:v>
                </c:pt>
                <c:pt idx="177">
                  <c:v>2.9439454385808403</c:v>
                </c:pt>
                <c:pt idx="178">
                  <c:v>-10.260788720529403</c:v>
                </c:pt>
                <c:pt idx="179">
                  <c:v>-10.276302834282514</c:v>
                </c:pt>
                <c:pt idx="180">
                  <c:v>0.72965359060849089</c:v>
                </c:pt>
                <c:pt idx="181">
                  <c:v>-1.7957222419949357</c:v>
                </c:pt>
                <c:pt idx="182">
                  <c:v>0.76893286752627699</c:v>
                </c:pt>
                <c:pt idx="183">
                  <c:v>-0.12040772358579854</c:v>
                </c:pt>
                <c:pt idx="184">
                  <c:v>0.48171699050076189</c:v>
                </c:pt>
                <c:pt idx="185">
                  <c:v>1.4769560816494312</c:v>
                </c:pt>
                <c:pt idx="186">
                  <c:v>1.9428126002794937</c:v>
                </c:pt>
                <c:pt idx="187">
                  <c:v>-0.62319540430046239</c:v>
                </c:pt>
                <c:pt idx="188">
                  <c:v>8.311464590272255E-2</c:v>
                </c:pt>
                <c:pt idx="189">
                  <c:v>1.5244104334755164</c:v>
                </c:pt>
                <c:pt idx="190">
                  <c:v>1.1184606927194407</c:v>
                </c:pt>
                <c:pt idx="191">
                  <c:v>-0.50686163990971256</c:v>
                </c:pt>
                <c:pt idx="192">
                  <c:v>1.8458632295773425</c:v>
                </c:pt>
                <c:pt idx="193">
                  <c:v>0.58806104979523433</c:v>
                </c:pt>
                <c:pt idx="194">
                  <c:v>0.77492257463683512</c:v>
                </c:pt>
                <c:pt idx="195">
                  <c:v>-0.83094601408312574</c:v>
                </c:pt>
                <c:pt idx="196">
                  <c:v>2.7609048047935403E-2</c:v>
                </c:pt>
                <c:pt idx="197">
                  <c:v>0.85548580385178141</c:v>
                </c:pt>
                <c:pt idx="198">
                  <c:v>12.176886461707223</c:v>
                </c:pt>
                <c:pt idx="199">
                  <c:v>9.0402581837302627</c:v>
                </c:pt>
                <c:pt idx="200">
                  <c:v>0.5617185951764796</c:v>
                </c:pt>
                <c:pt idx="201">
                  <c:v>10.52537395238202</c:v>
                </c:pt>
                <c:pt idx="202">
                  <c:v>3.8584405374490256</c:v>
                </c:pt>
                <c:pt idx="203">
                  <c:v>1.0561243309838426</c:v>
                </c:pt>
                <c:pt idx="204">
                  <c:v>2.0469395382772038</c:v>
                </c:pt>
                <c:pt idx="205">
                  <c:v>3.6815274398948827</c:v>
                </c:pt>
                <c:pt idx="206">
                  <c:v>4.9176366349780842E-2</c:v>
                </c:pt>
                <c:pt idx="207">
                  <c:v>-0.40807185936133461</c:v>
                </c:pt>
                <c:pt idx="208">
                  <c:v>0.86703084261086261</c:v>
                </c:pt>
                <c:pt idx="209">
                  <c:v>1.46572942535055</c:v>
                </c:pt>
                <c:pt idx="210">
                  <c:v>0.40154250941074832</c:v>
                </c:pt>
                <c:pt idx="211">
                  <c:v>1.0084359083347181</c:v>
                </c:pt>
                <c:pt idx="212">
                  <c:v>0.64298889545450244</c:v>
                </c:pt>
                <c:pt idx="213">
                  <c:v>1.3702545552891778</c:v>
                </c:pt>
                <c:pt idx="214">
                  <c:v>1.2985802285253398</c:v>
                </c:pt>
                <c:pt idx="215">
                  <c:v>0.27459955625362209</c:v>
                </c:pt>
                <c:pt idx="216">
                  <c:v>1.1286019302321901</c:v>
                </c:pt>
                <c:pt idx="217">
                  <c:v>1.9291371195943738</c:v>
                </c:pt>
                <c:pt idx="218">
                  <c:v>-1.0044763978131481</c:v>
                </c:pt>
                <c:pt idx="219">
                  <c:v>-1.4498059135976793</c:v>
                </c:pt>
                <c:pt idx="220">
                  <c:v>0.13221272000764106</c:v>
                </c:pt>
                <c:pt idx="221">
                  <c:v>-0.33728125818969223</c:v>
                </c:pt>
                <c:pt idx="222">
                  <c:v>2.8975720388514441</c:v>
                </c:pt>
                <c:pt idx="223">
                  <c:v>3.0134574969968924</c:v>
                </c:pt>
                <c:pt idx="224">
                  <c:v>0.11836057066008809</c:v>
                </c:pt>
                <c:pt idx="225">
                  <c:v>2.607758140674961</c:v>
                </c:pt>
                <c:pt idx="226">
                  <c:v>1.5403141268462113</c:v>
                </c:pt>
                <c:pt idx="227">
                  <c:v>1.3102425391146273</c:v>
                </c:pt>
                <c:pt idx="228">
                  <c:v>0.24027154732824307</c:v>
                </c:pt>
                <c:pt idx="229">
                  <c:v>1.6179605359437201</c:v>
                </c:pt>
                <c:pt idx="230">
                  <c:v>-0.98019515889366993</c:v>
                </c:pt>
                <c:pt idx="231">
                  <c:v>-2.5508576021803226</c:v>
                </c:pt>
                <c:pt idx="232">
                  <c:v>-0.13027453123457455</c:v>
                </c:pt>
                <c:pt idx="233">
                  <c:v>-1.0702367914746427</c:v>
                </c:pt>
                <c:pt idx="234">
                  <c:v>1.3883640898298362</c:v>
                </c:pt>
                <c:pt idx="235">
                  <c:v>-0.22744129975502081</c:v>
                </c:pt>
                <c:pt idx="236">
                  <c:v>0.10822182527690605</c:v>
                </c:pt>
                <c:pt idx="237">
                  <c:v>0.3161099745136402</c:v>
                </c:pt>
                <c:pt idx="238">
                  <c:v>1.4759385035830395</c:v>
                </c:pt>
                <c:pt idx="239">
                  <c:v>-0.94199003346141597</c:v>
                </c:pt>
                <c:pt idx="240">
                  <c:v>6.5493966740925114E-2</c:v>
                </c:pt>
                <c:pt idx="241">
                  <c:v>0.49429728762396685</c:v>
                </c:pt>
                <c:pt idx="242">
                  <c:v>1.362740568589244</c:v>
                </c:pt>
                <c:pt idx="243">
                  <c:v>3.3137959113811011E-2</c:v>
                </c:pt>
                <c:pt idx="244">
                  <c:v>0.799970788141108</c:v>
                </c:pt>
                <c:pt idx="245">
                  <c:v>1.0779868195341884</c:v>
                </c:pt>
                <c:pt idx="246">
                  <c:v>-6.6927658082332888</c:v>
                </c:pt>
                <c:pt idx="247">
                  <c:v>-7.955341703093274</c:v>
                </c:pt>
                <c:pt idx="248">
                  <c:v>-2.5855542962976177</c:v>
                </c:pt>
                <c:pt idx="249">
                  <c:v>-9.0375833468898072</c:v>
                </c:pt>
                <c:pt idx="250">
                  <c:v>-1.2332667915025379</c:v>
                </c:pt>
                <c:pt idx="251">
                  <c:v>-2.1529435732412807</c:v>
                </c:pt>
                <c:pt idx="252">
                  <c:v>-1.1646182848044611</c:v>
                </c:pt>
                <c:pt idx="253">
                  <c:v>-2.3856877313900817</c:v>
                </c:pt>
                <c:pt idx="254">
                  <c:v>-1.8366159871647127</c:v>
                </c:pt>
                <c:pt idx="255">
                  <c:v>-2.4463356446785758</c:v>
                </c:pt>
                <c:pt idx="256">
                  <c:v>-0.21195285203919834</c:v>
                </c:pt>
                <c:pt idx="257">
                  <c:v>-1.1247210626404764</c:v>
                </c:pt>
                <c:pt idx="258">
                  <c:v>-0.27505597868087905</c:v>
                </c:pt>
                <c:pt idx="259">
                  <c:v>-0.26942607773384397</c:v>
                </c:pt>
                <c:pt idx="260">
                  <c:v>-5.2551522415263063E-2</c:v>
                </c:pt>
                <c:pt idx="261">
                  <c:v>-0.18241471680150112</c:v>
                </c:pt>
                <c:pt idx="262">
                  <c:v>1.7363603942146351</c:v>
                </c:pt>
                <c:pt idx="263">
                  <c:v>1.432026290013092</c:v>
                </c:pt>
                <c:pt idx="264">
                  <c:v>0.42996620634170712</c:v>
                </c:pt>
                <c:pt idx="265">
                  <c:v>1.2521726761369569</c:v>
                </c:pt>
                <c:pt idx="266">
                  <c:v>0.16738745154850099</c:v>
                </c:pt>
                <c:pt idx="267">
                  <c:v>-4.1217278471559204E-3</c:v>
                </c:pt>
                <c:pt idx="268">
                  <c:v>0.27545247469052403</c:v>
                </c:pt>
                <c:pt idx="269">
                  <c:v>0.68596377940700104</c:v>
                </c:pt>
                <c:pt idx="270">
                  <c:v>-3.2333375546518051E-2</c:v>
                </c:pt>
                <c:pt idx="271">
                  <c:v>-0.12243536174728198</c:v>
                </c:pt>
                <c:pt idx="272">
                  <c:v>0.21729749415612565</c:v>
                </c:pt>
                <c:pt idx="273">
                  <c:v>0.2982196320767394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5FB-4F4C-AAAA-549D144684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(Spring &amp; Autumn forecast) vs. ICT investment share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F7F0E"/>
              </a:solidFill>
              <a:ln>
                <a:solidFill>
                  <a:srgbClr val="FF7F0E"/>
                </a:solidFill>
                <a:prstDash val="solid"/>
              </a:ln>
            </c:spPr>
          </c:marker>
          <c:xVal>
            <c:numRef>
              <c:f>data_ict_share_yrs!$H$2:$H$61</c:f>
              <c:numCache>
                <c:formatCode>General</c:formatCode>
                <c:ptCount val="60"/>
                <c:pt idx="0">
                  <c:v>0.14451633046915729</c:v>
                </c:pt>
                <c:pt idx="1">
                  <c:v>0.14451633046915729</c:v>
                </c:pt>
                <c:pt idx="2">
                  <c:v>8.1815293370048725E-2</c:v>
                </c:pt>
                <c:pt idx="3">
                  <c:v>8.1815293370048725E-2</c:v>
                </c:pt>
                <c:pt idx="4">
                  <c:v>0.14433972800453609</c:v>
                </c:pt>
                <c:pt idx="5">
                  <c:v>0.14433972800453609</c:v>
                </c:pt>
                <c:pt idx="6">
                  <c:v>0.1073708050236772</c:v>
                </c:pt>
                <c:pt idx="7">
                  <c:v>0.1073708050236772</c:v>
                </c:pt>
                <c:pt idx="8">
                  <c:v>0.14806210436677841</c:v>
                </c:pt>
                <c:pt idx="9">
                  <c:v>0.14806210436677841</c:v>
                </c:pt>
                <c:pt idx="10">
                  <c:v>8.4524514070205975E-2</c:v>
                </c:pt>
                <c:pt idx="11">
                  <c:v>8.4524514070205975E-2</c:v>
                </c:pt>
                <c:pt idx="12">
                  <c:v>0.14409521444535101</c:v>
                </c:pt>
                <c:pt idx="13">
                  <c:v>0.14409521444535101</c:v>
                </c:pt>
                <c:pt idx="14">
                  <c:v>9.9421084704448506E-2</c:v>
                </c:pt>
                <c:pt idx="15">
                  <c:v>9.9421084704448506E-2</c:v>
                </c:pt>
                <c:pt idx="16">
                  <c:v>0.12232868683850651</c:v>
                </c:pt>
                <c:pt idx="17">
                  <c:v>0.12232868683850651</c:v>
                </c:pt>
                <c:pt idx="18">
                  <c:v>0.14461475316746991</c:v>
                </c:pt>
                <c:pt idx="19">
                  <c:v>0.14461475316746991</c:v>
                </c:pt>
                <c:pt idx="20">
                  <c:v>8.6916760469719023E-2</c:v>
                </c:pt>
                <c:pt idx="21">
                  <c:v>8.6916760469719023E-2</c:v>
                </c:pt>
                <c:pt idx="22">
                  <c:v>0.14071954748750329</c:v>
                </c:pt>
                <c:pt idx="23">
                  <c:v>0.14071954748750329</c:v>
                </c:pt>
                <c:pt idx="24">
                  <c:v>9.6012028645875991E-2</c:v>
                </c:pt>
                <c:pt idx="25">
                  <c:v>9.6012028645875991E-2</c:v>
                </c:pt>
                <c:pt idx="26">
                  <c:v>0.1181932096010781</c:v>
                </c:pt>
                <c:pt idx="27">
                  <c:v>0.1181932096010781</c:v>
                </c:pt>
                <c:pt idx="28">
                  <c:v>8.6782381012711671E-2</c:v>
                </c:pt>
                <c:pt idx="29">
                  <c:v>8.6782381012711671E-2</c:v>
                </c:pt>
                <c:pt idx="30">
                  <c:v>0.17076349956742379</c:v>
                </c:pt>
                <c:pt idx="31">
                  <c:v>0.17076349956742379</c:v>
                </c:pt>
                <c:pt idx="32">
                  <c:v>0.16587155074328949</c:v>
                </c:pt>
                <c:pt idx="33">
                  <c:v>0.16587155074328949</c:v>
                </c:pt>
                <c:pt idx="34">
                  <c:v>0.3780372329247822</c:v>
                </c:pt>
                <c:pt idx="35">
                  <c:v>0.3780372329247822</c:v>
                </c:pt>
                <c:pt idx="36">
                  <c:v>0.15574566778244739</c:v>
                </c:pt>
                <c:pt idx="37">
                  <c:v>0.15574566778244739</c:v>
                </c:pt>
                <c:pt idx="38">
                  <c:v>0.18034013840432031</c:v>
                </c:pt>
                <c:pt idx="39">
                  <c:v>0.18034013840432031</c:v>
                </c:pt>
                <c:pt idx="40">
                  <c:v>0.14810212813728671</c:v>
                </c:pt>
                <c:pt idx="41">
                  <c:v>0.14810212813728671</c:v>
                </c:pt>
                <c:pt idx="42">
                  <c:v>0.15603500394963879</c:v>
                </c:pt>
                <c:pt idx="43">
                  <c:v>0.15603500394963879</c:v>
                </c:pt>
                <c:pt idx="44">
                  <c:v>0.1686231784194008</c:v>
                </c:pt>
                <c:pt idx="45">
                  <c:v>0.1686231784194008</c:v>
                </c:pt>
                <c:pt idx="46">
                  <c:v>0.25178245429196833</c:v>
                </c:pt>
                <c:pt idx="47">
                  <c:v>0.25178245429196833</c:v>
                </c:pt>
                <c:pt idx="48">
                  <c:v>0.1723953161408304</c:v>
                </c:pt>
                <c:pt idx="49">
                  <c:v>0.1723953161408304</c:v>
                </c:pt>
                <c:pt idx="50">
                  <c:v>0.17496495406425419</c:v>
                </c:pt>
                <c:pt idx="51">
                  <c:v>0.17496495406425419</c:v>
                </c:pt>
                <c:pt idx="52">
                  <c:v>0.16444982264139649</c:v>
                </c:pt>
                <c:pt idx="53">
                  <c:v>0.16444982264139649</c:v>
                </c:pt>
                <c:pt idx="54">
                  <c:v>0.1495725835123897</c:v>
                </c:pt>
                <c:pt idx="55">
                  <c:v>0.1495725835123897</c:v>
                </c:pt>
                <c:pt idx="56">
                  <c:v>0.18372354991229151</c:v>
                </c:pt>
                <c:pt idx="57">
                  <c:v>0.18372354991229151</c:v>
                </c:pt>
                <c:pt idx="58">
                  <c:v>0.16819795598684001</c:v>
                </c:pt>
                <c:pt idx="59">
                  <c:v>0.16819795598684001</c:v>
                </c:pt>
              </c:numCache>
            </c:numRef>
          </c:xVal>
          <c:yVal>
            <c:numRef>
              <c:f>data_ict_share_yrs!$G$2:$G$61</c:f>
              <c:numCache>
                <c:formatCode>General</c:formatCode>
                <c:ptCount val="60"/>
                <c:pt idx="0">
                  <c:v>3.5084821711300487</c:v>
                </c:pt>
                <c:pt idx="1">
                  <c:v>2.2459230282070131</c:v>
                </c:pt>
                <c:pt idx="2">
                  <c:v>1.0663028045156304</c:v>
                </c:pt>
                <c:pt idx="3">
                  <c:v>1.9676759169072984</c:v>
                </c:pt>
                <c:pt idx="4">
                  <c:v>0.82436876065597886</c:v>
                </c:pt>
                <c:pt idx="5">
                  <c:v>-2.2018192403305132</c:v>
                </c:pt>
                <c:pt idx="6">
                  <c:v>1.7496128021536563</c:v>
                </c:pt>
                <c:pt idx="7">
                  <c:v>3.812344683053138</c:v>
                </c:pt>
                <c:pt idx="8">
                  <c:v>1.1286019302321901</c:v>
                </c:pt>
                <c:pt idx="9">
                  <c:v>1.9291371195943738</c:v>
                </c:pt>
                <c:pt idx="10">
                  <c:v>0.37338056935970299</c:v>
                </c:pt>
                <c:pt idx="11">
                  <c:v>0.37386578423211692</c:v>
                </c:pt>
                <c:pt idx="12">
                  <c:v>1.6280433106379038</c:v>
                </c:pt>
                <c:pt idx="13">
                  <c:v>2.149623075816363</c:v>
                </c:pt>
                <c:pt idx="14">
                  <c:v>-1.5677906220824354</c:v>
                </c:pt>
                <c:pt idx="15">
                  <c:v>-0.84304938846227129</c:v>
                </c:pt>
                <c:pt idx="16">
                  <c:v>1.0277214587440522</c:v>
                </c:pt>
                <c:pt idx="17">
                  <c:v>2.428959206215525</c:v>
                </c:pt>
                <c:pt idx="18">
                  <c:v>0.16648728936240431</c:v>
                </c:pt>
                <c:pt idx="19">
                  <c:v>0.94714374205589991</c:v>
                </c:pt>
                <c:pt idx="20">
                  <c:v>0.16956839292984849</c:v>
                </c:pt>
                <c:pt idx="21">
                  <c:v>0.37008740234464971</c:v>
                </c:pt>
                <c:pt idx="22">
                  <c:v>0.72418125285179868</c:v>
                </c:pt>
                <c:pt idx="23">
                  <c:v>-0.17606213387669556</c:v>
                </c:pt>
                <c:pt idx="24">
                  <c:v>-2.8716445193852991</c:v>
                </c:pt>
                <c:pt idx="25">
                  <c:v>4.4019772197251861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1.4391287067798215</c:v>
                </c:pt>
                <c:pt idx="33">
                  <c:v>0.33628419121901221</c:v>
                </c:pt>
                <c:pt idx="34">
                  <c:v>9.3237810475628535</c:v>
                </c:pt>
                <c:pt idx="35">
                  <c:v>14.933429444226089</c:v>
                </c:pt>
                <c:pt idx="36">
                  <c:v>0.47316871767660729</c:v>
                </c:pt>
                <c:pt idx="37">
                  <c:v>0.13961409785200196</c:v>
                </c:pt>
                <c:pt idx="38">
                  <c:v>1.4182708153157462</c:v>
                </c:pt>
                <c:pt idx="39">
                  <c:v>2.9439454385808403</c:v>
                </c:pt>
                <c:pt idx="40">
                  <c:v>0.72965359060849089</c:v>
                </c:pt>
                <c:pt idx="41">
                  <c:v>-1.7957222419949357</c:v>
                </c:pt>
                <c:pt idx="42">
                  <c:v>0.64298889545450244</c:v>
                </c:pt>
                <c:pt idx="43">
                  <c:v>1.3702545552891778</c:v>
                </c:pt>
                <c:pt idx="44">
                  <c:v>0.13221272000764106</c:v>
                </c:pt>
                <c:pt idx="45">
                  <c:v>-0.33728125818969223</c:v>
                </c:pt>
                <c:pt idx="46">
                  <c:v>0.11836057066008809</c:v>
                </c:pt>
                <c:pt idx="47">
                  <c:v>2.607758140674961</c:v>
                </c:pt>
                <c:pt idx="48">
                  <c:v>0.24027154732824307</c:v>
                </c:pt>
                <c:pt idx="49">
                  <c:v>1.6179605359437201</c:v>
                </c:pt>
                <c:pt idx="50">
                  <c:v>0.6380507018262298</c:v>
                </c:pt>
                <c:pt idx="51">
                  <c:v>1.235120832270407</c:v>
                </c:pt>
                <c:pt idx="52">
                  <c:v>-1.9512226852114511E-2</c:v>
                </c:pt>
                <c:pt idx="53">
                  <c:v>0.20939697133562885</c:v>
                </c:pt>
                <c:pt idx="54">
                  <c:v>-8.2255734956584892E-2</c:v>
                </c:pt>
                <c:pt idx="55">
                  <c:v>0.23477837424939674</c:v>
                </c:pt>
                <c:pt idx="56">
                  <c:v>0.18847413300152815</c:v>
                </c:pt>
                <c:pt idx="57">
                  <c:v>0.31295676387087734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569-4652-A6EF-08DE02782E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ICT investment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over time -- clustered by AI/ICT-related HS export share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(AI/ICT-related HS export share &lt;= 0.0027)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FBB78"/>
              </a:solidFill>
              <a:ln>
                <a:solidFill>
                  <a:srgbClr val="FFBB78"/>
                </a:solidFill>
                <a:prstDash val="solid"/>
              </a:ln>
            </c:spPr>
          </c:marker>
          <c:xVal>
            <c:numRef>
              <c:f>data_cluster_hs_export!$D$2:$D$293</c:f>
              <c:numCache>
                <c:formatCode>General</c:formatCode>
                <c:ptCount val="292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2012</c:v>
                </c:pt>
                <c:pt idx="9">
                  <c:v>2012</c:v>
                </c:pt>
                <c:pt idx="10">
                  <c:v>2012</c:v>
                </c:pt>
                <c:pt idx="11">
                  <c:v>2012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2013</c:v>
                </c:pt>
                <c:pt idx="29">
                  <c:v>2013</c:v>
                </c:pt>
                <c:pt idx="30">
                  <c:v>2013</c:v>
                </c:pt>
                <c:pt idx="31">
                  <c:v>2013</c:v>
                </c:pt>
                <c:pt idx="32">
                  <c:v>2013</c:v>
                </c:pt>
                <c:pt idx="33">
                  <c:v>2013</c:v>
                </c:pt>
                <c:pt idx="34">
                  <c:v>2013</c:v>
                </c:pt>
                <c:pt idx="35">
                  <c:v>2013</c:v>
                </c:pt>
                <c:pt idx="36">
                  <c:v>2013</c:v>
                </c:pt>
                <c:pt idx="37">
                  <c:v>2013</c:v>
                </c:pt>
                <c:pt idx="38">
                  <c:v>2013</c:v>
                </c:pt>
                <c:pt idx="39">
                  <c:v>2013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2014</c:v>
                </c:pt>
                <c:pt idx="49">
                  <c:v>2014</c:v>
                </c:pt>
                <c:pt idx="50">
                  <c:v>2014</c:v>
                </c:pt>
                <c:pt idx="51">
                  <c:v>2014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2014</c:v>
                </c:pt>
                <c:pt idx="57">
                  <c:v>2014</c:v>
                </c:pt>
                <c:pt idx="58">
                  <c:v>2014</c:v>
                </c:pt>
                <c:pt idx="59">
                  <c:v>2014</c:v>
                </c:pt>
                <c:pt idx="60">
                  <c:v>2014</c:v>
                </c:pt>
                <c:pt idx="61">
                  <c:v>2014</c:v>
                </c:pt>
                <c:pt idx="62">
                  <c:v>2014</c:v>
                </c:pt>
                <c:pt idx="63">
                  <c:v>2014</c:v>
                </c:pt>
                <c:pt idx="64">
                  <c:v>2014</c:v>
                </c:pt>
                <c:pt idx="65">
                  <c:v>2014</c:v>
                </c:pt>
                <c:pt idx="66">
                  <c:v>2014</c:v>
                </c:pt>
                <c:pt idx="67">
                  <c:v>2014</c:v>
                </c:pt>
                <c:pt idx="68">
                  <c:v>2014</c:v>
                </c:pt>
                <c:pt idx="69">
                  <c:v>2014</c:v>
                </c:pt>
                <c:pt idx="70">
                  <c:v>2014</c:v>
                </c:pt>
                <c:pt idx="71">
                  <c:v>2014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2015</c:v>
                </c:pt>
                <c:pt idx="89">
                  <c:v>2015</c:v>
                </c:pt>
                <c:pt idx="90">
                  <c:v>2015</c:v>
                </c:pt>
                <c:pt idx="91">
                  <c:v>2015</c:v>
                </c:pt>
                <c:pt idx="92">
                  <c:v>2016</c:v>
                </c:pt>
                <c:pt idx="93">
                  <c:v>2016</c:v>
                </c:pt>
                <c:pt idx="94">
                  <c:v>2016</c:v>
                </c:pt>
                <c:pt idx="95">
                  <c:v>2016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2016</c:v>
                </c:pt>
                <c:pt idx="109">
                  <c:v>2016</c:v>
                </c:pt>
                <c:pt idx="110">
                  <c:v>2016</c:v>
                </c:pt>
                <c:pt idx="111">
                  <c:v>2016</c:v>
                </c:pt>
                <c:pt idx="112">
                  <c:v>2017</c:v>
                </c:pt>
                <c:pt idx="113">
                  <c:v>2017</c:v>
                </c:pt>
                <c:pt idx="114">
                  <c:v>2017</c:v>
                </c:pt>
                <c:pt idx="115">
                  <c:v>2017</c:v>
                </c:pt>
                <c:pt idx="116">
                  <c:v>2017</c:v>
                </c:pt>
                <c:pt idx="117">
                  <c:v>2017</c:v>
                </c:pt>
                <c:pt idx="118">
                  <c:v>2017</c:v>
                </c:pt>
                <c:pt idx="119">
                  <c:v>2017</c:v>
                </c:pt>
                <c:pt idx="120">
                  <c:v>2017</c:v>
                </c:pt>
                <c:pt idx="121">
                  <c:v>2017</c:v>
                </c:pt>
                <c:pt idx="122">
                  <c:v>2017</c:v>
                </c:pt>
                <c:pt idx="123">
                  <c:v>2017</c:v>
                </c:pt>
                <c:pt idx="124">
                  <c:v>2017</c:v>
                </c:pt>
                <c:pt idx="125">
                  <c:v>2017</c:v>
                </c:pt>
                <c:pt idx="126">
                  <c:v>2017</c:v>
                </c:pt>
                <c:pt idx="127">
                  <c:v>2017</c:v>
                </c:pt>
                <c:pt idx="128">
                  <c:v>2018</c:v>
                </c:pt>
                <c:pt idx="129">
                  <c:v>2018</c:v>
                </c:pt>
                <c:pt idx="130">
                  <c:v>2018</c:v>
                </c:pt>
                <c:pt idx="131">
                  <c:v>2018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2018</c:v>
                </c:pt>
                <c:pt idx="141">
                  <c:v>2018</c:v>
                </c:pt>
                <c:pt idx="142">
                  <c:v>2018</c:v>
                </c:pt>
                <c:pt idx="143">
                  <c:v>2018</c:v>
                </c:pt>
                <c:pt idx="144">
                  <c:v>2018</c:v>
                </c:pt>
                <c:pt idx="145">
                  <c:v>2018</c:v>
                </c:pt>
                <c:pt idx="146">
                  <c:v>2018</c:v>
                </c:pt>
                <c:pt idx="147">
                  <c:v>2018</c:v>
                </c:pt>
                <c:pt idx="148">
                  <c:v>2019</c:v>
                </c:pt>
                <c:pt idx="149">
                  <c:v>2019</c:v>
                </c:pt>
                <c:pt idx="150">
                  <c:v>2019</c:v>
                </c:pt>
                <c:pt idx="151">
                  <c:v>2019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2019</c:v>
                </c:pt>
                <c:pt idx="161">
                  <c:v>2019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2022</c:v>
                </c:pt>
                <c:pt idx="209">
                  <c:v>2022</c:v>
                </c:pt>
                <c:pt idx="210">
                  <c:v>2022</c:v>
                </c:pt>
                <c:pt idx="211">
                  <c:v>2022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2023</c:v>
                </c:pt>
                <c:pt idx="229">
                  <c:v>2023</c:v>
                </c:pt>
                <c:pt idx="230">
                  <c:v>2023</c:v>
                </c:pt>
                <c:pt idx="231">
                  <c:v>2023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2024</c:v>
                </c:pt>
                <c:pt idx="269">
                  <c:v>2024</c:v>
                </c:pt>
                <c:pt idx="270">
                  <c:v>2024</c:v>
                </c:pt>
                <c:pt idx="271">
                  <c:v>2024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  <c:pt idx="288">
                  <c:v>2025</c:v>
                </c:pt>
                <c:pt idx="289">
                  <c:v>2025</c:v>
                </c:pt>
                <c:pt idx="290">
                  <c:v>2025</c:v>
                </c:pt>
                <c:pt idx="291">
                  <c:v>2025</c:v>
                </c:pt>
              </c:numCache>
            </c:numRef>
          </c:xVal>
          <c:yVal>
            <c:numRef>
              <c:f>data_cluster_hs_export!$G$2:$G$293</c:f>
              <c:numCache>
                <c:formatCode>General</c:formatCode>
                <c:ptCount val="292"/>
                <c:pt idx="0">
                  <c:v>-0.26564230957886825</c:v>
                </c:pt>
                <c:pt idx="1">
                  <c:v>-0.44393497951385608</c:v>
                </c:pt>
                <c:pt idx="2">
                  <c:v>-1.3813318500744096</c:v>
                </c:pt>
                <c:pt idx="3">
                  <c:v>-1.4042156255031488</c:v>
                </c:pt>
                <c:pt idx="4">
                  <c:v>-0.72097823586978693</c:v>
                </c:pt>
                <c:pt idx="5">
                  <c:v>-1.3490233924862403</c:v>
                </c:pt>
                <c:pt idx="6">
                  <c:v>0.14125391028230783</c:v>
                </c:pt>
                <c:pt idx="7">
                  <c:v>0.47487728867662904</c:v>
                </c:pt>
                <c:pt idx="8">
                  <c:v>-0.73190998834913579</c:v>
                </c:pt>
                <c:pt idx="9">
                  <c:v>-1.9946331412953566</c:v>
                </c:pt>
                <c:pt idx="10">
                  <c:v>0.41662877211910709</c:v>
                </c:pt>
                <c:pt idx="11">
                  <c:v>0.23384031312051204</c:v>
                </c:pt>
                <c:pt idx="12">
                  <c:v>-3.5578433110301635</c:v>
                </c:pt>
                <c:pt idx="13">
                  <c:v>-4.4179928139605931</c:v>
                </c:pt>
                <c:pt idx="14">
                  <c:v>-1.468084985895092</c:v>
                </c:pt>
                <c:pt idx="15">
                  <c:v>-1.1441842892946601</c:v>
                </c:pt>
                <c:pt idx="16">
                  <c:v>-2.8967088940255072</c:v>
                </c:pt>
                <c:pt idx="17">
                  <c:v>-4.1054013535411551</c:v>
                </c:pt>
                <c:pt idx="18">
                  <c:v>-1.6205593666224374</c:v>
                </c:pt>
                <c:pt idx="19">
                  <c:v>-2.2925956788913462</c:v>
                </c:pt>
                <c:pt idx="20">
                  <c:v>-3.283682876216877</c:v>
                </c:pt>
                <c:pt idx="21">
                  <c:v>-4.5415254167541681</c:v>
                </c:pt>
                <c:pt idx="22">
                  <c:v>-0.93975532690563535</c:v>
                </c:pt>
                <c:pt idx="23">
                  <c:v>-1.8199453612782872</c:v>
                </c:pt>
                <c:pt idx="24">
                  <c:v>-1.0995542098793263</c:v>
                </c:pt>
                <c:pt idx="25">
                  <c:v>-2.3809908827477235</c:v>
                </c:pt>
                <c:pt idx="26">
                  <c:v>-1.1760026883100392</c:v>
                </c:pt>
                <c:pt idx="27">
                  <c:v>-0.87299909854646618</c:v>
                </c:pt>
                <c:pt idx="28">
                  <c:v>-0.43518371560798574</c:v>
                </c:pt>
                <c:pt idx="29">
                  <c:v>-0.93831791482202453</c:v>
                </c:pt>
                <c:pt idx="30">
                  <c:v>0.1631824151071698</c:v>
                </c:pt>
                <c:pt idx="31">
                  <c:v>0.26279764266585015</c:v>
                </c:pt>
                <c:pt idx="32">
                  <c:v>6.4806094269020953E-3</c:v>
                </c:pt>
                <c:pt idx="33">
                  <c:v>-1.1063931545070063</c:v>
                </c:pt>
                <c:pt idx="34">
                  <c:v>-0.13080820497289203</c:v>
                </c:pt>
                <c:pt idx="35">
                  <c:v>3.6557650467966996E-2</c:v>
                </c:pt>
                <c:pt idx="36">
                  <c:v>-1.8026810025172653</c:v>
                </c:pt>
                <c:pt idx="37">
                  <c:v>-2.5825808509828021</c:v>
                </c:pt>
                <c:pt idx="38">
                  <c:v>-0.33824602126275083</c:v>
                </c:pt>
                <c:pt idx="39">
                  <c:v>-1.2701347576567219</c:v>
                </c:pt>
                <c:pt idx="40">
                  <c:v>-1.3032488592122233</c:v>
                </c:pt>
                <c:pt idx="41">
                  <c:v>-2.2873965098618703</c:v>
                </c:pt>
                <c:pt idx="42">
                  <c:v>-1.3627956629979066E-2</c:v>
                </c:pt>
                <c:pt idx="43">
                  <c:v>-0.50253549354813787</c:v>
                </c:pt>
                <c:pt idx="44">
                  <c:v>5.5407583701418961E-3</c:v>
                </c:pt>
                <c:pt idx="45">
                  <c:v>-1.2437166293694688</c:v>
                </c:pt>
                <c:pt idx="46">
                  <c:v>0.77491238355863912</c:v>
                </c:pt>
                <c:pt idx="47">
                  <c:v>1.3540941366994292</c:v>
                </c:pt>
                <c:pt idx="48">
                  <c:v>0.60804524034366203</c:v>
                </c:pt>
                <c:pt idx="49">
                  <c:v>0.55985462173544898</c:v>
                </c:pt>
                <c:pt idx="50">
                  <c:v>0.82726288526369518</c:v>
                </c:pt>
                <c:pt idx="51">
                  <c:v>0.30703964316712207</c:v>
                </c:pt>
                <c:pt idx="52">
                  <c:v>0.97444544008665979</c:v>
                </c:pt>
                <c:pt idx="53">
                  <c:v>0.5731581210036385</c:v>
                </c:pt>
                <c:pt idx="54">
                  <c:v>0.25951375517513608</c:v>
                </c:pt>
                <c:pt idx="55">
                  <c:v>0.36104980792893904</c:v>
                </c:pt>
                <c:pt idx="56">
                  <c:v>-1.0598446835814783</c:v>
                </c:pt>
                <c:pt idx="57">
                  <c:v>-1.4839669415266257</c:v>
                </c:pt>
                <c:pt idx="58">
                  <c:v>-3.7170636542870672E-2</c:v>
                </c:pt>
                <c:pt idx="59">
                  <c:v>-0.65495754471519485</c:v>
                </c:pt>
                <c:pt idx="60">
                  <c:v>8.2625762713080086E-2</c:v>
                </c:pt>
                <c:pt idx="61">
                  <c:v>-0.10261972066728997</c:v>
                </c:pt>
                <c:pt idx="62">
                  <c:v>0.67469908808817769</c:v>
                </c:pt>
                <c:pt idx="63">
                  <c:v>1.7194448601227763E-2</c:v>
                </c:pt>
                <c:pt idx="64">
                  <c:v>-0.63559197615783425</c:v>
                </c:pt>
                <c:pt idx="65">
                  <c:v>-0.64240153811903056</c:v>
                </c:pt>
                <c:pt idx="66">
                  <c:v>0.46984491420454261</c:v>
                </c:pt>
                <c:pt idx="67">
                  <c:v>-0.49573337159642944</c:v>
                </c:pt>
                <c:pt idx="68">
                  <c:v>-3.7645971018196667E-2</c:v>
                </c:pt>
                <c:pt idx="69">
                  <c:v>0.17999874759430079</c:v>
                </c:pt>
                <c:pt idx="70">
                  <c:v>-0.1990372617381222</c:v>
                </c:pt>
                <c:pt idx="71">
                  <c:v>-0.50566639608488062</c:v>
                </c:pt>
                <c:pt idx="72">
                  <c:v>0.60184371182729057</c:v>
                </c:pt>
                <c:pt idx="73">
                  <c:v>-9.5872444645270116E-2</c:v>
                </c:pt>
                <c:pt idx="74">
                  <c:v>0.20095810349653198</c:v>
                </c:pt>
                <c:pt idx="75">
                  <c:v>0.37602266897304393</c:v>
                </c:pt>
                <c:pt idx="76">
                  <c:v>2.2507531290568341</c:v>
                </c:pt>
                <c:pt idx="77">
                  <c:v>1.9227190146805588</c:v>
                </c:pt>
                <c:pt idx="78">
                  <c:v>0.84755226971891684</c:v>
                </c:pt>
                <c:pt idx="79">
                  <c:v>1.1642716744238411</c:v>
                </c:pt>
                <c:pt idx="80">
                  <c:v>-0.14620954323508523</c:v>
                </c:pt>
                <c:pt idx="81">
                  <c:v>-0.57280300136018747</c:v>
                </c:pt>
                <c:pt idx="82">
                  <c:v>0.1253373978109007</c:v>
                </c:pt>
                <c:pt idx="83">
                  <c:v>0.12311761734483889</c:v>
                </c:pt>
                <c:pt idx="84">
                  <c:v>0.11412179495312647</c:v>
                </c:pt>
                <c:pt idx="85">
                  <c:v>-0.48713604095095231</c:v>
                </c:pt>
                <c:pt idx="86">
                  <c:v>-0.12380197599240972</c:v>
                </c:pt>
                <c:pt idx="87">
                  <c:v>0.13599178752260521</c:v>
                </c:pt>
                <c:pt idx="88">
                  <c:v>0.27908288694357686</c:v>
                </c:pt>
                <c:pt idx="89">
                  <c:v>8.4088127918840794E-2</c:v>
                </c:pt>
                <c:pt idx="90">
                  <c:v>-0.16405386466369909</c:v>
                </c:pt>
                <c:pt idx="91">
                  <c:v>-6.4609841282320168E-2</c:v>
                </c:pt>
                <c:pt idx="92">
                  <c:v>-0.11861033767558893</c:v>
                </c:pt>
                <c:pt idx="93">
                  <c:v>-0.28042817709720791</c:v>
                </c:pt>
                <c:pt idx="94">
                  <c:v>-4.7304590003143909E-2</c:v>
                </c:pt>
                <c:pt idx="95">
                  <c:v>-1.0856298219501959E-2</c:v>
                </c:pt>
                <c:pt idx="96">
                  <c:v>0.20691362640356292</c:v>
                </c:pt>
                <c:pt idx="97">
                  <c:v>0.29294469454354299</c:v>
                </c:pt>
                <c:pt idx="98">
                  <c:v>-0.32437575106588312</c:v>
                </c:pt>
                <c:pt idx="99">
                  <c:v>0.27990361283777565</c:v>
                </c:pt>
                <c:pt idx="100">
                  <c:v>1.8786753011990158</c:v>
                </c:pt>
                <c:pt idx="101">
                  <c:v>1.510323809035472</c:v>
                </c:pt>
                <c:pt idx="102">
                  <c:v>1.7183218536184302</c:v>
                </c:pt>
                <c:pt idx="103">
                  <c:v>1.8590512359207483</c:v>
                </c:pt>
                <c:pt idx="104">
                  <c:v>-0.1058406653404671</c:v>
                </c:pt>
                <c:pt idx="105">
                  <c:v>-6.5542328540008077E-2</c:v>
                </c:pt>
                <c:pt idx="106">
                  <c:v>0.63759268194228436</c:v>
                </c:pt>
                <c:pt idx="107">
                  <c:v>0.25497274041926299</c:v>
                </c:pt>
                <c:pt idx="108">
                  <c:v>0.32534337819466397</c:v>
                </c:pt>
                <c:pt idx="109">
                  <c:v>0.14602905922159692</c:v>
                </c:pt>
                <c:pt idx="110">
                  <c:v>1.0550904016198952</c:v>
                </c:pt>
                <c:pt idx="111">
                  <c:v>0.5261694887334849</c:v>
                </c:pt>
                <c:pt idx="112">
                  <c:v>0.59955818573028896</c:v>
                </c:pt>
                <c:pt idx="113">
                  <c:v>0.35000728826492189</c:v>
                </c:pt>
                <c:pt idx="114">
                  <c:v>-0.21335805850076506</c:v>
                </c:pt>
                <c:pt idx="115">
                  <c:v>9.1706447057128937E-2</c:v>
                </c:pt>
                <c:pt idx="116">
                  <c:v>2.4720940007392684</c:v>
                </c:pt>
                <c:pt idx="117">
                  <c:v>2.5243960048727772</c:v>
                </c:pt>
                <c:pt idx="118">
                  <c:v>-4.9051166356071096E-2</c:v>
                </c:pt>
                <c:pt idx="119">
                  <c:v>1.9527316757675739</c:v>
                </c:pt>
                <c:pt idx="120">
                  <c:v>0.77488781643401738</c:v>
                </c:pt>
                <c:pt idx="121">
                  <c:v>0.34231121806944209</c:v>
                </c:pt>
                <c:pt idx="122">
                  <c:v>0.22303711004873605</c:v>
                </c:pt>
                <c:pt idx="123">
                  <c:v>0.74890781392368888</c:v>
                </c:pt>
                <c:pt idx="124">
                  <c:v>2.0165120904442619</c:v>
                </c:pt>
                <c:pt idx="125">
                  <c:v>1.5169148839265081</c:v>
                </c:pt>
                <c:pt idx="126">
                  <c:v>0.63151210674854008</c:v>
                </c:pt>
                <c:pt idx="127">
                  <c:v>1.4222126188508</c:v>
                </c:pt>
                <c:pt idx="128">
                  <c:v>5.8211280770205098E-2</c:v>
                </c:pt>
                <c:pt idx="129">
                  <c:v>0.17749745265910399</c:v>
                </c:pt>
                <c:pt idx="130">
                  <c:v>0.32816631924187512</c:v>
                </c:pt>
                <c:pt idx="131">
                  <c:v>5.2215939373469133E-2</c:v>
                </c:pt>
                <c:pt idx="132">
                  <c:v>-0.17009025968066194</c:v>
                </c:pt>
                <c:pt idx="133">
                  <c:v>2.9647560491548042E-3</c:v>
                </c:pt>
                <c:pt idx="134">
                  <c:v>-0.19081445099353322</c:v>
                </c:pt>
                <c:pt idx="135">
                  <c:v>-0.48414216228142726</c:v>
                </c:pt>
                <c:pt idx="136">
                  <c:v>-1.4684876877358761</c:v>
                </c:pt>
                <c:pt idx="137">
                  <c:v>-0.55948823596464492</c:v>
                </c:pt>
                <c:pt idx="138">
                  <c:v>-1.7034961062862728</c:v>
                </c:pt>
                <c:pt idx="139">
                  <c:v>-1.3340082792667409</c:v>
                </c:pt>
                <c:pt idx="140">
                  <c:v>-0.62187743480216839</c:v>
                </c:pt>
                <c:pt idx="141">
                  <c:v>-0.45306326954054732</c:v>
                </c:pt>
                <c:pt idx="142">
                  <c:v>-0.46981863171250737</c:v>
                </c:pt>
                <c:pt idx="143">
                  <c:v>-0.77439182435587239</c:v>
                </c:pt>
                <c:pt idx="144">
                  <c:v>0.84121405179820208</c:v>
                </c:pt>
                <c:pt idx="145">
                  <c:v>1.3359790738157751</c:v>
                </c:pt>
                <c:pt idx="146">
                  <c:v>0.73645045202355286</c:v>
                </c:pt>
                <c:pt idx="147">
                  <c:v>0.56998726219637108</c:v>
                </c:pt>
                <c:pt idx="148">
                  <c:v>0.8982846201541661</c:v>
                </c:pt>
                <c:pt idx="149">
                  <c:v>0.68058495597650426</c:v>
                </c:pt>
                <c:pt idx="150">
                  <c:v>1.2770204459163441</c:v>
                </c:pt>
                <c:pt idx="151">
                  <c:v>1.1871434535654872</c:v>
                </c:pt>
                <c:pt idx="152">
                  <c:v>-0.21306976831362023</c:v>
                </c:pt>
                <c:pt idx="153">
                  <c:v>-0.41366958696250311</c:v>
                </c:pt>
                <c:pt idx="154">
                  <c:v>7.2237730363746921E-2</c:v>
                </c:pt>
                <c:pt idx="155">
                  <c:v>-0.15364893942900526</c:v>
                </c:pt>
                <c:pt idx="156">
                  <c:v>-0.8335748506428422</c:v>
                </c:pt>
                <c:pt idx="157">
                  <c:v>-0.9295559719103379</c:v>
                </c:pt>
                <c:pt idx="158">
                  <c:v>-1.4110869060006026E-2</c:v>
                </c:pt>
                <c:pt idx="159">
                  <c:v>-0.29784066310397006</c:v>
                </c:pt>
                <c:pt idx="160">
                  <c:v>-0.73330529565166769</c:v>
                </c:pt>
                <c:pt idx="161">
                  <c:v>-0.79138299663360767</c:v>
                </c:pt>
                <c:pt idx="162">
                  <c:v>0.31282812569793611</c:v>
                </c:pt>
                <c:pt idx="163">
                  <c:v>0.31688392304130802</c:v>
                </c:pt>
                <c:pt idx="164">
                  <c:v>0.86923730155660284</c:v>
                </c:pt>
                <c:pt idx="165">
                  <c:v>0.67142489045585174</c:v>
                </c:pt>
                <c:pt idx="166">
                  <c:v>0.75821702215020981</c:v>
                </c:pt>
                <c:pt idx="167">
                  <c:v>1.0362404008479218</c:v>
                </c:pt>
                <c:pt idx="168">
                  <c:v>-5.8720213186906536</c:v>
                </c:pt>
                <c:pt idx="169">
                  <c:v>-6.1107535820139915</c:v>
                </c:pt>
                <c:pt idx="170">
                  <c:v>3.5084821711300487</c:v>
                </c:pt>
                <c:pt idx="171">
                  <c:v>2.2459230282070131</c:v>
                </c:pt>
                <c:pt idx="172">
                  <c:v>-13.076741440445701</c:v>
                </c:pt>
                <c:pt idx="173">
                  <c:v>-13.449524977065238</c:v>
                </c:pt>
                <c:pt idx="174">
                  <c:v>0.82436876065597886</c:v>
                </c:pt>
                <c:pt idx="175">
                  <c:v>-2.2018192403305132</c:v>
                </c:pt>
                <c:pt idx="176">
                  <c:v>-3.6230506117637438</c:v>
                </c:pt>
                <c:pt idx="177">
                  <c:v>-3.6875295267387962</c:v>
                </c:pt>
                <c:pt idx="178">
                  <c:v>1.7496128021536563</c:v>
                </c:pt>
                <c:pt idx="179">
                  <c:v>3.812344683053138</c:v>
                </c:pt>
                <c:pt idx="180">
                  <c:v>-9.8107396813353134</c:v>
                </c:pt>
                <c:pt idx="181">
                  <c:v>-10.090165875589653</c:v>
                </c:pt>
                <c:pt idx="182">
                  <c:v>0.47316871767660729</c:v>
                </c:pt>
                <c:pt idx="183">
                  <c:v>0.13961409785200196</c:v>
                </c:pt>
                <c:pt idx="184">
                  <c:v>-10.260788720529403</c:v>
                </c:pt>
                <c:pt idx="185">
                  <c:v>-10.276302834282514</c:v>
                </c:pt>
                <c:pt idx="186">
                  <c:v>0.72965359060849089</c:v>
                </c:pt>
                <c:pt idx="187">
                  <c:v>-1.7957222419949357</c:v>
                </c:pt>
                <c:pt idx="188">
                  <c:v>1.9428126002794937</c:v>
                </c:pt>
                <c:pt idx="189">
                  <c:v>-0.62319540430046239</c:v>
                </c:pt>
                <c:pt idx="190">
                  <c:v>8.311464590272255E-2</c:v>
                </c:pt>
                <c:pt idx="191">
                  <c:v>1.5244104334755164</c:v>
                </c:pt>
                <c:pt idx="192">
                  <c:v>1.1184606927194407</c:v>
                </c:pt>
                <c:pt idx="193">
                  <c:v>-0.50686163990971256</c:v>
                </c:pt>
                <c:pt idx="194">
                  <c:v>1.8458632295773425</c:v>
                </c:pt>
                <c:pt idx="195">
                  <c:v>0.58806104979523433</c:v>
                </c:pt>
                <c:pt idx="196">
                  <c:v>-0.25859743194969287</c:v>
                </c:pt>
                <c:pt idx="197">
                  <c:v>-1.0319888097993339</c:v>
                </c:pt>
                <c:pt idx="198">
                  <c:v>-0.76255561777172076</c:v>
                </c:pt>
                <c:pt idx="199">
                  <c:v>-9.7992979043315831E-2</c:v>
                </c:pt>
                <c:pt idx="200">
                  <c:v>4.3860333621503482</c:v>
                </c:pt>
                <c:pt idx="201">
                  <c:v>1.8874102730208113</c:v>
                </c:pt>
                <c:pt idx="202">
                  <c:v>2.2077938630119469</c:v>
                </c:pt>
                <c:pt idx="203">
                  <c:v>4.2301947873575489</c:v>
                </c:pt>
                <c:pt idx="204">
                  <c:v>4.9176366349780842E-2</c:v>
                </c:pt>
                <c:pt idx="205">
                  <c:v>-0.40807185936133461</c:v>
                </c:pt>
                <c:pt idx="206">
                  <c:v>0.86703084261086261</c:v>
                </c:pt>
                <c:pt idx="207">
                  <c:v>1.46572942535055</c:v>
                </c:pt>
                <c:pt idx="208">
                  <c:v>1.2985802285253398</c:v>
                </c:pt>
                <c:pt idx="209">
                  <c:v>0.27459955625362209</c:v>
                </c:pt>
                <c:pt idx="210">
                  <c:v>1.1286019302321901</c:v>
                </c:pt>
                <c:pt idx="211">
                  <c:v>1.9291371195943738</c:v>
                </c:pt>
                <c:pt idx="212">
                  <c:v>0.64788894209388648</c:v>
                </c:pt>
                <c:pt idx="213">
                  <c:v>-0.60227924273788158</c:v>
                </c:pt>
                <c:pt idx="214">
                  <c:v>1.6280433106379038</c:v>
                </c:pt>
                <c:pt idx="215">
                  <c:v>2.149623075816363</c:v>
                </c:pt>
                <c:pt idx="216">
                  <c:v>-2.0671616710759921</c:v>
                </c:pt>
                <c:pt idx="217">
                  <c:v>-1.9916383255658392</c:v>
                </c:pt>
                <c:pt idx="218">
                  <c:v>-1.5677906220824354</c:v>
                </c:pt>
                <c:pt idx="219">
                  <c:v>-0.84304938846227129</c:v>
                </c:pt>
                <c:pt idx="220">
                  <c:v>0.58569431791028492</c:v>
                </c:pt>
                <c:pt idx="221">
                  <c:v>0.46115485843316062</c:v>
                </c:pt>
                <c:pt idx="222">
                  <c:v>1.0277214587440522</c:v>
                </c:pt>
                <c:pt idx="223">
                  <c:v>2.428959206215525</c:v>
                </c:pt>
                <c:pt idx="224">
                  <c:v>1.4313467273622811</c:v>
                </c:pt>
                <c:pt idx="225">
                  <c:v>1.65373321511687</c:v>
                </c:pt>
                <c:pt idx="226">
                  <c:v>0.16648728936240431</c:v>
                </c:pt>
                <c:pt idx="227">
                  <c:v>0.94714374205589991</c:v>
                </c:pt>
                <c:pt idx="228">
                  <c:v>1.3883640898298362</c:v>
                </c:pt>
                <c:pt idx="229">
                  <c:v>-0.22744129975502081</c:v>
                </c:pt>
                <c:pt idx="230">
                  <c:v>0.10822182527690605</c:v>
                </c:pt>
                <c:pt idx="231">
                  <c:v>0.3161099745136402</c:v>
                </c:pt>
                <c:pt idx="232">
                  <c:v>1.4759385035830395</c:v>
                </c:pt>
                <c:pt idx="233">
                  <c:v>-0.94199003346141597</c:v>
                </c:pt>
                <c:pt idx="234">
                  <c:v>6.5493966740925114E-2</c:v>
                </c:pt>
                <c:pt idx="235">
                  <c:v>0.49429728762396685</c:v>
                </c:pt>
                <c:pt idx="236">
                  <c:v>-1.5379932664356266</c:v>
                </c:pt>
                <c:pt idx="237">
                  <c:v>-2.96232576895608</c:v>
                </c:pt>
                <c:pt idx="238">
                  <c:v>-1.4350651524638591</c:v>
                </c:pt>
                <c:pt idx="239">
                  <c:v>-1.4958963214910126</c:v>
                </c:pt>
                <c:pt idx="240">
                  <c:v>1.362740568589244</c:v>
                </c:pt>
                <c:pt idx="241">
                  <c:v>3.3137959113811011E-2</c:v>
                </c:pt>
                <c:pt idx="242">
                  <c:v>0.799970788141108</c:v>
                </c:pt>
                <c:pt idx="243">
                  <c:v>1.0779868195341884</c:v>
                </c:pt>
                <c:pt idx="244">
                  <c:v>0.69953692902983344</c:v>
                </c:pt>
                <c:pt idx="245">
                  <c:v>-0.83701733507933507</c:v>
                </c:pt>
                <c:pt idx="246">
                  <c:v>0.3227009071263518</c:v>
                </c:pt>
                <c:pt idx="247">
                  <c:v>-0.19232404471208708</c:v>
                </c:pt>
                <c:pt idx="248">
                  <c:v>2.3359588026966547</c:v>
                </c:pt>
                <c:pt idx="249">
                  <c:v>0.39242832347734202</c:v>
                </c:pt>
                <c:pt idx="250">
                  <c:v>0.82603710498769489</c:v>
                </c:pt>
                <c:pt idx="251">
                  <c:v>0.61415875922665375</c:v>
                </c:pt>
                <c:pt idx="252">
                  <c:v>-0.27505597868087905</c:v>
                </c:pt>
                <c:pt idx="253">
                  <c:v>-0.26942607773384397</c:v>
                </c:pt>
                <c:pt idx="254">
                  <c:v>-5.2551522415263063E-2</c:v>
                </c:pt>
                <c:pt idx="255">
                  <c:v>-0.18241471680150112</c:v>
                </c:pt>
                <c:pt idx="256">
                  <c:v>1.7363603942146351</c:v>
                </c:pt>
                <c:pt idx="257">
                  <c:v>1.432026290013092</c:v>
                </c:pt>
                <c:pt idx="258">
                  <c:v>0.42996620634170712</c:v>
                </c:pt>
                <c:pt idx="259">
                  <c:v>1.2521726761369569</c:v>
                </c:pt>
                <c:pt idx="260">
                  <c:v>5.5454419377964248E-2</c:v>
                </c:pt>
                <c:pt idx="261">
                  <c:v>-0.49398677856419337</c:v>
                </c:pt>
                <c:pt idx="262">
                  <c:v>1.1596069734324581</c:v>
                </c:pt>
                <c:pt idx="263">
                  <c:v>0.84187322906342721</c:v>
                </c:pt>
                <c:pt idx="264">
                  <c:v>-0.26756306953106568</c:v>
                </c:pt>
                <c:pt idx="265">
                  <c:v>-0.50358721299028975</c:v>
                </c:pt>
                <c:pt idx="266">
                  <c:v>-8.4118151145665343E-2</c:v>
                </c:pt>
                <c:pt idx="267">
                  <c:v>-0.35185080229070154</c:v>
                </c:pt>
                <c:pt idx="268">
                  <c:v>0.877059487557313</c:v>
                </c:pt>
                <c:pt idx="269">
                  <c:v>0.43349115215204903</c:v>
                </c:pt>
                <c:pt idx="270">
                  <c:v>0.53893400861308405</c:v>
                </c:pt>
                <c:pt idx="271">
                  <c:v>0.45622753459714716</c:v>
                </c:pt>
                <c:pt idx="272">
                  <c:v>-0.26624808616432227</c:v>
                </c:pt>
                <c:pt idx="273">
                  <c:v>-0.3989585451423473</c:v>
                </c:pt>
                <c:pt idx="274">
                  <c:v>-1.9512226852114511E-2</c:v>
                </c:pt>
                <c:pt idx="275">
                  <c:v>0.20939697133562885</c:v>
                </c:pt>
                <c:pt idx="276">
                  <c:v>0.4397199192889798</c:v>
                </c:pt>
                <c:pt idx="277">
                  <c:v>0.83836493177998594</c:v>
                </c:pt>
                <c:pt idx="278">
                  <c:v>-8.2255734956584892E-2</c:v>
                </c:pt>
                <c:pt idx="279">
                  <c:v>0.23477837424939674</c:v>
                </c:pt>
                <c:pt idx="280">
                  <c:v>-0.74460636681637882</c:v>
                </c:pt>
                <c:pt idx="281">
                  <c:v>-0.5607547780382397</c:v>
                </c:pt>
                <c:pt idx="282">
                  <c:v>0.72418125285179868</c:v>
                </c:pt>
                <c:pt idx="283">
                  <c:v>-0.17606213387669556</c:v>
                </c:pt>
                <c:pt idx="284">
                  <c:v>-0.37629081703927114</c:v>
                </c:pt>
                <c:pt idx="285">
                  <c:v>-0.43658647742987933</c:v>
                </c:pt>
                <c:pt idx="286">
                  <c:v>0.30154220637721435</c:v>
                </c:pt>
                <c:pt idx="287">
                  <c:v>-3.1208783804359541E-3</c:v>
                </c:pt>
                <c:pt idx="288">
                  <c:v>-6.8744074650670672E-3</c:v>
                </c:pt>
                <c:pt idx="289">
                  <c:v>-3.1093439656520117E-2</c:v>
                </c:pt>
                <c:pt idx="290">
                  <c:v>-5.4520243395466128E-2</c:v>
                </c:pt>
                <c:pt idx="291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5A-47BE-8C20-9BCD553FF329}"/>
            </c:ext>
          </c:extLst>
        </c:ser>
        <c:ser>
          <c:idx val="1"/>
          <c:order val="1"/>
          <c:tx>
            <c:v>Above median (AI/ICT-related HS export share &gt; 0.0027)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D62728"/>
              </a:solidFill>
              <a:ln>
                <a:solidFill>
                  <a:srgbClr val="D62728"/>
                </a:solidFill>
                <a:prstDash val="solid"/>
              </a:ln>
            </c:spPr>
          </c:marker>
          <c:xVal>
            <c:numRef>
              <c:f>data_cluster_hs_export!$D$294:$D$581</c:f>
              <c:numCache>
                <c:formatCode>General</c:formatCode>
                <c:ptCount val="288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2013</c:v>
                </c:pt>
                <c:pt idx="33">
                  <c:v>2013</c:v>
                </c:pt>
                <c:pt idx="34">
                  <c:v>2013</c:v>
                </c:pt>
                <c:pt idx="35">
                  <c:v>2013</c:v>
                </c:pt>
                <c:pt idx="36">
                  <c:v>2013</c:v>
                </c:pt>
                <c:pt idx="37">
                  <c:v>2013</c:v>
                </c:pt>
                <c:pt idx="38">
                  <c:v>2013</c:v>
                </c:pt>
                <c:pt idx="39">
                  <c:v>2013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2014</c:v>
                </c:pt>
                <c:pt idx="57">
                  <c:v>2014</c:v>
                </c:pt>
                <c:pt idx="58">
                  <c:v>2014</c:v>
                </c:pt>
                <c:pt idx="59">
                  <c:v>2014</c:v>
                </c:pt>
                <c:pt idx="60">
                  <c:v>2014</c:v>
                </c:pt>
                <c:pt idx="61">
                  <c:v>2014</c:v>
                </c:pt>
                <c:pt idx="62">
                  <c:v>2014</c:v>
                </c:pt>
                <c:pt idx="63">
                  <c:v>2014</c:v>
                </c:pt>
                <c:pt idx="64">
                  <c:v>2014</c:v>
                </c:pt>
                <c:pt idx="65">
                  <c:v>2014</c:v>
                </c:pt>
                <c:pt idx="66">
                  <c:v>2014</c:v>
                </c:pt>
                <c:pt idx="67">
                  <c:v>2014</c:v>
                </c:pt>
                <c:pt idx="68">
                  <c:v>2015</c:v>
                </c:pt>
                <c:pt idx="69">
                  <c:v>2015</c:v>
                </c:pt>
                <c:pt idx="70">
                  <c:v>2015</c:v>
                </c:pt>
                <c:pt idx="71">
                  <c:v>2015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2016</c:v>
                </c:pt>
                <c:pt idx="89">
                  <c:v>2016</c:v>
                </c:pt>
                <c:pt idx="90">
                  <c:v>2016</c:v>
                </c:pt>
                <c:pt idx="91">
                  <c:v>2016</c:v>
                </c:pt>
                <c:pt idx="92">
                  <c:v>2016</c:v>
                </c:pt>
                <c:pt idx="93">
                  <c:v>2016</c:v>
                </c:pt>
                <c:pt idx="94">
                  <c:v>2016</c:v>
                </c:pt>
                <c:pt idx="95">
                  <c:v>2016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2017</c:v>
                </c:pt>
                <c:pt idx="109">
                  <c:v>2017</c:v>
                </c:pt>
                <c:pt idx="110">
                  <c:v>2017</c:v>
                </c:pt>
                <c:pt idx="111">
                  <c:v>2017</c:v>
                </c:pt>
                <c:pt idx="112">
                  <c:v>2017</c:v>
                </c:pt>
                <c:pt idx="113">
                  <c:v>2017</c:v>
                </c:pt>
                <c:pt idx="114">
                  <c:v>2017</c:v>
                </c:pt>
                <c:pt idx="115">
                  <c:v>2017</c:v>
                </c:pt>
                <c:pt idx="116">
                  <c:v>2017</c:v>
                </c:pt>
                <c:pt idx="117">
                  <c:v>2017</c:v>
                </c:pt>
                <c:pt idx="118">
                  <c:v>2017</c:v>
                </c:pt>
                <c:pt idx="119">
                  <c:v>2017</c:v>
                </c:pt>
                <c:pt idx="120">
                  <c:v>2017</c:v>
                </c:pt>
                <c:pt idx="121">
                  <c:v>2017</c:v>
                </c:pt>
                <c:pt idx="122">
                  <c:v>2017</c:v>
                </c:pt>
                <c:pt idx="123">
                  <c:v>2017</c:v>
                </c:pt>
                <c:pt idx="124">
                  <c:v>2017</c:v>
                </c:pt>
                <c:pt idx="125">
                  <c:v>2017</c:v>
                </c:pt>
                <c:pt idx="126">
                  <c:v>2017</c:v>
                </c:pt>
                <c:pt idx="127">
                  <c:v>2017</c:v>
                </c:pt>
                <c:pt idx="128">
                  <c:v>2017</c:v>
                </c:pt>
                <c:pt idx="129">
                  <c:v>2017</c:v>
                </c:pt>
                <c:pt idx="130">
                  <c:v>2017</c:v>
                </c:pt>
                <c:pt idx="131">
                  <c:v>2017</c:v>
                </c:pt>
                <c:pt idx="132">
                  <c:v>2018</c:v>
                </c:pt>
                <c:pt idx="133">
                  <c:v>2018</c:v>
                </c:pt>
                <c:pt idx="134">
                  <c:v>2018</c:v>
                </c:pt>
                <c:pt idx="135">
                  <c:v>2018</c:v>
                </c:pt>
                <c:pt idx="136">
                  <c:v>2018</c:v>
                </c:pt>
                <c:pt idx="137">
                  <c:v>2018</c:v>
                </c:pt>
                <c:pt idx="138">
                  <c:v>2018</c:v>
                </c:pt>
                <c:pt idx="139">
                  <c:v>2018</c:v>
                </c:pt>
                <c:pt idx="140">
                  <c:v>2018</c:v>
                </c:pt>
                <c:pt idx="141">
                  <c:v>2018</c:v>
                </c:pt>
                <c:pt idx="142">
                  <c:v>2018</c:v>
                </c:pt>
                <c:pt idx="143">
                  <c:v>2018</c:v>
                </c:pt>
                <c:pt idx="144">
                  <c:v>2018</c:v>
                </c:pt>
                <c:pt idx="145">
                  <c:v>2018</c:v>
                </c:pt>
                <c:pt idx="146">
                  <c:v>2018</c:v>
                </c:pt>
                <c:pt idx="147">
                  <c:v>2018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2019</c:v>
                </c:pt>
                <c:pt idx="153">
                  <c:v>2019</c:v>
                </c:pt>
                <c:pt idx="154">
                  <c:v>2019</c:v>
                </c:pt>
                <c:pt idx="155">
                  <c:v>2019</c:v>
                </c:pt>
                <c:pt idx="156">
                  <c:v>2019</c:v>
                </c:pt>
                <c:pt idx="157">
                  <c:v>2019</c:v>
                </c:pt>
                <c:pt idx="158">
                  <c:v>2019</c:v>
                </c:pt>
                <c:pt idx="159">
                  <c:v>2019</c:v>
                </c:pt>
                <c:pt idx="160">
                  <c:v>2019</c:v>
                </c:pt>
                <c:pt idx="161">
                  <c:v>2019</c:v>
                </c:pt>
                <c:pt idx="162">
                  <c:v>2019</c:v>
                </c:pt>
                <c:pt idx="163">
                  <c:v>2019</c:v>
                </c:pt>
                <c:pt idx="164">
                  <c:v>2019</c:v>
                </c:pt>
                <c:pt idx="165">
                  <c:v>2019</c:v>
                </c:pt>
                <c:pt idx="166">
                  <c:v>2019</c:v>
                </c:pt>
                <c:pt idx="167">
                  <c:v>2019</c:v>
                </c:pt>
                <c:pt idx="168">
                  <c:v>2019</c:v>
                </c:pt>
                <c:pt idx="169">
                  <c:v>2019</c:v>
                </c:pt>
                <c:pt idx="170">
                  <c:v>2019</c:v>
                </c:pt>
                <c:pt idx="171">
                  <c:v>2019</c:v>
                </c:pt>
                <c:pt idx="172">
                  <c:v>2020</c:v>
                </c:pt>
                <c:pt idx="173">
                  <c:v>2020</c:v>
                </c:pt>
                <c:pt idx="174">
                  <c:v>2020</c:v>
                </c:pt>
                <c:pt idx="175">
                  <c:v>2020</c:v>
                </c:pt>
                <c:pt idx="176">
                  <c:v>2020</c:v>
                </c:pt>
                <c:pt idx="177">
                  <c:v>2020</c:v>
                </c:pt>
                <c:pt idx="178">
                  <c:v>2020</c:v>
                </c:pt>
                <c:pt idx="179">
                  <c:v>2020</c:v>
                </c:pt>
                <c:pt idx="180">
                  <c:v>2020</c:v>
                </c:pt>
                <c:pt idx="181">
                  <c:v>2020</c:v>
                </c:pt>
                <c:pt idx="182">
                  <c:v>2020</c:v>
                </c:pt>
                <c:pt idx="183">
                  <c:v>2020</c:v>
                </c:pt>
                <c:pt idx="184">
                  <c:v>2020</c:v>
                </c:pt>
                <c:pt idx="185">
                  <c:v>2020</c:v>
                </c:pt>
                <c:pt idx="186">
                  <c:v>2020</c:v>
                </c:pt>
                <c:pt idx="187">
                  <c:v>2020</c:v>
                </c:pt>
                <c:pt idx="188">
                  <c:v>2020</c:v>
                </c:pt>
                <c:pt idx="189">
                  <c:v>2020</c:v>
                </c:pt>
                <c:pt idx="190">
                  <c:v>2020</c:v>
                </c:pt>
                <c:pt idx="191">
                  <c:v>2020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2021</c:v>
                </c:pt>
                <c:pt idx="211">
                  <c:v>2021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2022</c:v>
                </c:pt>
                <c:pt idx="231">
                  <c:v>2022</c:v>
                </c:pt>
                <c:pt idx="232">
                  <c:v>2023</c:v>
                </c:pt>
                <c:pt idx="233">
                  <c:v>2023</c:v>
                </c:pt>
                <c:pt idx="234">
                  <c:v>2023</c:v>
                </c:pt>
                <c:pt idx="235">
                  <c:v>2023</c:v>
                </c:pt>
                <c:pt idx="236">
                  <c:v>2023</c:v>
                </c:pt>
                <c:pt idx="237">
                  <c:v>2023</c:v>
                </c:pt>
                <c:pt idx="238">
                  <c:v>2023</c:v>
                </c:pt>
                <c:pt idx="239">
                  <c:v>2023</c:v>
                </c:pt>
                <c:pt idx="240">
                  <c:v>2023</c:v>
                </c:pt>
                <c:pt idx="241">
                  <c:v>2023</c:v>
                </c:pt>
                <c:pt idx="242">
                  <c:v>2023</c:v>
                </c:pt>
                <c:pt idx="243">
                  <c:v>2023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2024</c:v>
                </c:pt>
                <c:pt idx="249">
                  <c:v>2024</c:v>
                </c:pt>
                <c:pt idx="250">
                  <c:v>2024</c:v>
                </c:pt>
                <c:pt idx="251">
                  <c:v>2024</c:v>
                </c:pt>
                <c:pt idx="252">
                  <c:v>2024</c:v>
                </c:pt>
                <c:pt idx="253">
                  <c:v>2024</c:v>
                </c:pt>
                <c:pt idx="254">
                  <c:v>2024</c:v>
                </c:pt>
                <c:pt idx="255">
                  <c:v>2024</c:v>
                </c:pt>
                <c:pt idx="256">
                  <c:v>2024</c:v>
                </c:pt>
                <c:pt idx="257">
                  <c:v>2024</c:v>
                </c:pt>
                <c:pt idx="258">
                  <c:v>2024</c:v>
                </c:pt>
                <c:pt idx="259">
                  <c:v>2024</c:v>
                </c:pt>
                <c:pt idx="260">
                  <c:v>2024</c:v>
                </c:pt>
                <c:pt idx="261">
                  <c:v>2024</c:v>
                </c:pt>
                <c:pt idx="262">
                  <c:v>2024</c:v>
                </c:pt>
                <c:pt idx="263">
                  <c:v>2024</c:v>
                </c:pt>
                <c:pt idx="264">
                  <c:v>2024</c:v>
                </c:pt>
                <c:pt idx="265">
                  <c:v>2024</c:v>
                </c:pt>
                <c:pt idx="266">
                  <c:v>2024</c:v>
                </c:pt>
                <c:pt idx="267">
                  <c:v>2024</c:v>
                </c:pt>
                <c:pt idx="268">
                  <c:v>2025</c:v>
                </c:pt>
                <c:pt idx="269">
                  <c:v>2025</c:v>
                </c:pt>
                <c:pt idx="270">
                  <c:v>2025</c:v>
                </c:pt>
                <c:pt idx="271">
                  <c:v>2025</c:v>
                </c:pt>
                <c:pt idx="272">
                  <c:v>2025</c:v>
                </c:pt>
                <c:pt idx="273">
                  <c:v>2025</c:v>
                </c:pt>
                <c:pt idx="274">
                  <c:v>2025</c:v>
                </c:pt>
                <c:pt idx="275">
                  <c:v>2025</c:v>
                </c:pt>
                <c:pt idx="276">
                  <c:v>2025</c:v>
                </c:pt>
                <c:pt idx="277">
                  <c:v>2025</c:v>
                </c:pt>
                <c:pt idx="278">
                  <c:v>2025</c:v>
                </c:pt>
                <c:pt idx="279">
                  <c:v>2025</c:v>
                </c:pt>
                <c:pt idx="280">
                  <c:v>2025</c:v>
                </c:pt>
                <c:pt idx="281">
                  <c:v>2025</c:v>
                </c:pt>
                <c:pt idx="282">
                  <c:v>2025</c:v>
                </c:pt>
                <c:pt idx="283">
                  <c:v>2025</c:v>
                </c:pt>
                <c:pt idx="284">
                  <c:v>2025</c:v>
                </c:pt>
                <c:pt idx="285">
                  <c:v>2025</c:v>
                </c:pt>
                <c:pt idx="286">
                  <c:v>2025</c:v>
                </c:pt>
                <c:pt idx="287">
                  <c:v>2025</c:v>
                </c:pt>
              </c:numCache>
            </c:numRef>
          </c:xVal>
          <c:yVal>
            <c:numRef>
              <c:f>data_cluster_hs_export!$G$294:$G$581</c:f>
              <c:numCache>
                <c:formatCode>General</c:formatCode>
                <c:ptCount val="288"/>
                <c:pt idx="0">
                  <c:v>9.2616002622778915E-2</c:v>
                </c:pt>
                <c:pt idx="1">
                  <c:v>0.61454835947600683</c:v>
                </c:pt>
                <c:pt idx="2">
                  <c:v>0.89939483995655589</c:v>
                </c:pt>
                <c:pt idx="3">
                  <c:v>1.1808560325801118</c:v>
                </c:pt>
                <c:pt idx="4">
                  <c:v>0.83612488664531526</c:v>
                </c:pt>
                <c:pt idx="5">
                  <c:v>0.67997235008080126</c:v>
                </c:pt>
                <c:pt idx="6">
                  <c:v>0.50049004709387601</c:v>
                </c:pt>
                <c:pt idx="7">
                  <c:v>0.9413258690012245</c:v>
                </c:pt>
                <c:pt idx="8">
                  <c:v>0.31332096396137299</c:v>
                </c:pt>
                <c:pt idx="9">
                  <c:v>-0.10643235308456145</c:v>
                </c:pt>
                <c:pt idx="10">
                  <c:v>-4.4869424188079154E-2</c:v>
                </c:pt>
                <c:pt idx="11">
                  <c:v>-0.16273935738707901</c:v>
                </c:pt>
                <c:pt idx="12">
                  <c:v>-0.18521246864232244</c:v>
                </c:pt>
                <c:pt idx="13">
                  <c:v>-1.2637784803558223</c:v>
                </c:pt>
                <c:pt idx="14">
                  <c:v>-5.2795841261839671E-2</c:v>
                </c:pt>
                <c:pt idx="15">
                  <c:v>-3.9450123525116121E-2</c:v>
                </c:pt>
                <c:pt idx="16">
                  <c:v>-5.4029254337575217E-2</c:v>
                </c:pt>
                <c:pt idx="17">
                  <c:v>-1.2429766151063308</c:v>
                </c:pt>
                <c:pt idx="18">
                  <c:v>-0.12697692728141019</c:v>
                </c:pt>
                <c:pt idx="19">
                  <c:v>2.1276684188162975E-2</c:v>
                </c:pt>
                <c:pt idx="20">
                  <c:v>-0.32472647373697416</c:v>
                </c:pt>
                <c:pt idx="21">
                  <c:v>-1.8139364015399</c:v>
                </c:pt>
                <c:pt idx="22">
                  <c:v>3.5343935314330999E-2</c:v>
                </c:pt>
                <c:pt idx="23">
                  <c:v>-0.24613356157585023</c:v>
                </c:pt>
                <c:pt idx="24">
                  <c:v>-1.6280635865737629</c:v>
                </c:pt>
                <c:pt idx="25">
                  <c:v>-2.453635222613276</c:v>
                </c:pt>
                <c:pt idx="26">
                  <c:v>-0.96922525562108064</c:v>
                </c:pt>
                <c:pt idx="27">
                  <c:v>-1.0724333951104441</c:v>
                </c:pt>
                <c:pt idx="28">
                  <c:v>-1.4862389038890746</c:v>
                </c:pt>
                <c:pt idx="29">
                  <c:v>-2.6486668808434137</c:v>
                </c:pt>
                <c:pt idx="30">
                  <c:v>-0.70761224838733949</c:v>
                </c:pt>
                <c:pt idx="31">
                  <c:v>-0.10024508264757004</c:v>
                </c:pt>
                <c:pt idx="32">
                  <c:v>-1.1913368759070364</c:v>
                </c:pt>
                <c:pt idx="33">
                  <c:v>-1.9978324758434329</c:v>
                </c:pt>
                <c:pt idx="34">
                  <c:v>-0.73724213590623755</c:v>
                </c:pt>
                <c:pt idx="35">
                  <c:v>-0.91195967368665976</c:v>
                </c:pt>
                <c:pt idx="36">
                  <c:v>-0.2668114338305837</c:v>
                </c:pt>
                <c:pt idx="37">
                  <c:v>-1.1036026474346108</c:v>
                </c:pt>
                <c:pt idx="38">
                  <c:v>0.10607414917842456</c:v>
                </c:pt>
                <c:pt idx="39">
                  <c:v>0.19098522298304116</c:v>
                </c:pt>
                <c:pt idx="40">
                  <c:v>0.54586999163456773</c:v>
                </c:pt>
                <c:pt idx="41">
                  <c:v>-0.41064631977665855</c:v>
                </c:pt>
                <c:pt idx="42">
                  <c:v>0.70642650900507031</c:v>
                </c:pt>
                <c:pt idx="43">
                  <c:v>1.0226418522737479</c:v>
                </c:pt>
                <c:pt idx="44">
                  <c:v>1.205057100905597</c:v>
                </c:pt>
                <c:pt idx="45">
                  <c:v>0.35473491447531091</c:v>
                </c:pt>
                <c:pt idx="46">
                  <c:v>1.9567787515864445</c:v>
                </c:pt>
                <c:pt idx="47">
                  <c:v>1.190812142791823</c:v>
                </c:pt>
                <c:pt idx="48">
                  <c:v>-0.23830578037063171</c:v>
                </c:pt>
                <c:pt idx="49">
                  <c:v>-0.69436298449679079</c:v>
                </c:pt>
                <c:pt idx="50">
                  <c:v>0.99271178751701716</c:v>
                </c:pt>
                <c:pt idx="51">
                  <c:v>0.8027116295009934</c:v>
                </c:pt>
                <c:pt idx="52">
                  <c:v>-0.73775127444920263</c:v>
                </c:pt>
                <c:pt idx="53">
                  <c:v>-0.87395035304667956</c:v>
                </c:pt>
                <c:pt idx="54">
                  <c:v>0.20283128440671516</c:v>
                </c:pt>
                <c:pt idx="55">
                  <c:v>-0.77038759201291962</c:v>
                </c:pt>
                <c:pt idx="56">
                  <c:v>0.50391511063603911</c:v>
                </c:pt>
                <c:pt idx="57">
                  <c:v>0.38489933569674806</c:v>
                </c:pt>
                <c:pt idx="58">
                  <c:v>0.93895915127589302</c:v>
                </c:pt>
                <c:pt idx="59">
                  <c:v>0.3604753690907021</c:v>
                </c:pt>
                <c:pt idx="60">
                  <c:v>7.3473765864294371</c:v>
                </c:pt>
                <c:pt idx="61">
                  <c:v>6.8741599328546545</c:v>
                </c:pt>
                <c:pt idx="62">
                  <c:v>4.4352299730116496</c:v>
                </c:pt>
                <c:pt idx="63">
                  <c:v>7.3099334555518691</c:v>
                </c:pt>
                <c:pt idx="64">
                  <c:v>1.3553618816128583</c:v>
                </c:pt>
                <c:pt idx="65">
                  <c:v>0.70542793172322216</c:v>
                </c:pt>
                <c:pt idx="66">
                  <c:v>0.72324209611805812</c:v>
                </c:pt>
                <c:pt idx="67">
                  <c:v>0.43792540256365298</c:v>
                </c:pt>
                <c:pt idx="68">
                  <c:v>2.1335424718526896E-2</c:v>
                </c:pt>
                <c:pt idx="69">
                  <c:v>-0.59414044609208405</c:v>
                </c:pt>
                <c:pt idx="70">
                  <c:v>0.65778403978474742</c:v>
                </c:pt>
                <c:pt idx="71">
                  <c:v>0.45566821907582167</c:v>
                </c:pt>
                <c:pt idx="72">
                  <c:v>0.41668627246598899</c:v>
                </c:pt>
                <c:pt idx="73">
                  <c:v>-0.47235285542918604</c:v>
                </c:pt>
                <c:pt idx="74">
                  <c:v>-0.19885935702409907</c:v>
                </c:pt>
                <c:pt idx="75">
                  <c:v>-0.3600890531802059</c:v>
                </c:pt>
                <c:pt idx="76">
                  <c:v>0.29855354285163038</c:v>
                </c:pt>
                <c:pt idx="77">
                  <c:v>-0.47972768132192978</c:v>
                </c:pt>
                <c:pt idx="78">
                  <c:v>-8.9414898423502587E-2</c:v>
                </c:pt>
                <c:pt idx="79">
                  <c:v>-8.8439121019513678E-2</c:v>
                </c:pt>
                <c:pt idx="80">
                  <c:v>18.328578063419037</c:v>
                </c:pt>
                <c:pt idx="81">
                  <c:v>18.955022320797561</c:v>
                </c:pt>
                <c:pt idx="82">
                  <c:v>15.905810160190644</c:v>
                </c:pt>
                <c:pt idx="83">
                  <c:v>18.343702761513786</c:v>
                </c:pt>
                <c:pt idx="84">
                  <c:v>0.66075179047467292</c:v>
                </c:pt>
                <c:pt idx="85">
                  <c:v>0.71728036681706908</c:v>
                </c:pt>
                <c:pt idx="86">
                  <c:v>2.7912869879358926E-2</c:v>
                </c:pt>
                <c:pt idx="87">
                  <c:v>0.44124858238985798</c:v>
                </c:pt>
                <c:pt idx="88">
                  <c:v>0.69243770785740977</c:v>
                </c:pt>
                <c:pt idx="89">
                  <c:v>0.69667255164343178</c:v>
                </c:pt>
                <c:pt idx="90">
                  <c:v>0.65648168579866284</c:v>
                </c:pt>
                <c:pt idx="91">
                  <c:v>0.67387131071388295</c:v>
                </c:pt>
                <c:pt idx="92">
                  <c:v>0.27860513231977801</c:v>
                </c:pt>
                <c:pt idx="93">
                  <c:v>0.16032115441809891</c:v>
                </c:pt>
                <c:pt idx="94">
                  <c:v>0.24619510094493702</c:v>
                </c:pt>
                <c:pt idx="95">
                  <c:v>0.56021580938968807</c:v>
                </c:pt>
                <c:pt idx="96">
                  <c:v>-0.6951946375147382</c:v>
                </c:pt>
                <c:pt idx="97">
                  <c:v>-0.9474050098037794</c:v>
                </c:pt>
                <c:pt idx="98">
                  <c:v>-0.52027408063893632</c:v>
                </c:pt>
                <c:pt idx="99">
                  <c:v>-0.59721808051947733</c:v>
                </c:pt>
                <c:pt idx="100">
                  <c:v>-3.3115780556468373</c:v>
                </c:pt>
                <c:pt idx="101">
                  <c:v>-2.3039111882363645</c:v>
                </c:pt>
                <c:pt idx="102">
                  <c:v>-2.9158948376772491</c:v>
                </c:pt>
                <c:pt idx="103">
                  <c:v>-3.6961635285906365</c:v>
                </c:pt>
                <c:pt idx="104">
                  <c:v>0.25837958787036319</c:v>
                </c:pt>
                <c:pt idx="105">
                  <c:v>0.65826627678273919</c:v>
                </c:pt>
                <c:pt idx="106">
                  <c:v>0.73200384369860516</c:v>
                </c:pt>
                <c:pt idx="107">
                  <c:v>0.71349901011999117</c:v>
                </c:pt>
                <c:pt idx="108">
                  <c:v>0.78616412906575106</c:v>
                </c:pt>
                <c:pt idx="109">
                  <c:v>0.74103491771630314</c:v>
                </c:pt>
                <c:pt idx="110">
                  <c:v>-0.20364537794406878</c:v>
                </c:pt>
                <c:pt idx="111">
                  <c:v>0.63932081158630116</c:v>
                </c:pt>
                <c:pt idx="112">
                  <c:v>0.1507797162184652</c:v>
                </c:pt>
                <c:pt idx="113">
                  <c:v>-0.10249939779924788</c:v>
                </c:pt>
                <c:pt idx="114">
                  <c:v>-0.26884506369373296</c:v>
                </c:pt>
                <c:pt idx="115">
                  <c:v>-7.9783867035730927E-2</c:v>
                </c:pt>
                <c:pt idx="116">
                  <c:v>1.6647192282288961</c:v>
                </c:pt>
                <c:pt idx="117">
                  <c:v>1.5726056100512928</c:v>
                </c:pt>
                <c:pt idx="118">
                  <c:v>0.98726553765954383</c:v>
                </c:pt>
                <c:pt idx="119">
                  <c:v>1.4979471361736059</c:v>
                </c:pt>
                <c:pt idx="120">
                  <c:v>0.88730828907390391</c:v>
                </c:pt>
                <c:pt idx="121">
                  <c:v>0.55799583927453589</c:v>
                </c:pt>
                <c:pt idx="122">
                  <c:v>0.63331091710201193</c:v>
                </c:pt>
                <c:pt idx="123">
                  <c:v>0.89053149409434584</c:v>
                </c:pt>
                <c:pt idx="124">
                  <c:v>6.0228740309448732</c:v>
                </c:pt>
                <c:pt idx="125">
                  <c:v>5.9524962396982399</c:v>
                </c:pt>
                <c:pt idx="126">
                  <c:v>4.7979924738822781</c:v>
                </c:pt>
                <c:pt idx="127">
                  <c:v>5.6733497511086632</c:v>
                </c:pt>
                <c:pt idx="128">
                  <c:v>1.0914375503477329</c:v>
                </c:pt>
                <c:pt idx="129">
                  <c:v>0.77378648218358492</c:v>
                </c:pt>
                <c:pt idx="130">
                  <c:v>-0.46496850488224206</c:v>
                </c:pt>
                <c:pt idx="131">
                  <c:v>0.63236498765517979</c:v>
                </c:pt>
                <c:pt idx="132">
                  <c:v>-3.0890495413360419E-2</c:v>
                </c:pt>
                <c:pt idx="133">
                  <c:v>0.70436184472490981</c:v>
                </c:pt>
                <c:pt idx="134">
                  <c:v>-0.37845503404507719</c:v>
                </c:pt>
                <c:pt idx="135">
                  <c:v>-0.44071774143137299</c:v>
                </c:pt>
                <c:pt idx="136">
                  <c:v>-0.85346390397992189</c:v>
                </c:pt>
                <c:pt idx="137">
                  <c:v>-0.58665416924442604</c:v>
                </c:pt>
                <c:pt idx="138">
                  <c:v>-0.45083812998151118</c:v>
                </c:pt>
                <c:pt idx="139">
                  <c:v>-1.0388815708978532</c:v>
                </c:pt>
                <c:pt idx="140">
                  <c:v>-0.17374369252594701</c:v>
                </c:pt>
                <c:pt idx="141">
                  <c:v>-0.15383585632429808</c:v>
                </c:pt>
                <c:pt idx="142">
                  <c:v>-9.4418697622485004E-2</c:v>
                </c:pt>
                <c:pt idx="143">
                  <c:v>-0.41758951411248901</c:v>
                </c:pt>
                <c:pt idx="144">
                  <c:v>3.5391422005323694</c:v>
                </c:pt>
                <c:pt idx="145">
                  <c:v>3.8014603254516723</c:v>
                </c:pt>
                <c:pt idx="146">
                  <c:v>-0.36708855616052638</c:v>
                </c:pt>
                <c:pt idx="147">
                  <c:v>1.7637946495625059</c:v>
                </c:pt>
                <c:pt idx="148">
                  <c:v>-0.49220694854774294</c:v>
                </c:pt>
                <c:pt idx="149">
                  <c:v>0.41068430201465511</c:v>
                </c:pt>
                <c:pt idx="150">
                  <c:v>-0.60915575871749095</c:v>
                </c:pt>
                <c:pt idx="151">
                  <c:v>-0.72275559772991471</c:v>
                </c:pt>
                <c:pt idx="152">
                  <c:v>-0.27128455696010012</c:v>
                </c:pt>
                <c:pt idx="153">
                  <c:v>-0.47297799177851707</c:v>
                </c:pt>
                <c:pt idx="154">
                  <c:v>0.1374653705052129</c:v>
                </c:pt>
                <c:pt idx="155">
                  <c:v>0.162437419674061</c:v>
                </c:pt>
                <c:pt idx="156">
                  <c:v>-0.72683828897076608</c:v>
                </c:pt>
                <c:pt idx="157">
                  <c:v>-0.93999679709258999</c:v>
                </c:pt>
                <c:pt idx="158">
                  <c:v>0.67371743677701046</c:v>
                </c:pt>
                <c:pt idx="159">
                  <c:v>0.56661972983481634</c:v>
                </c:pt>
                <c:pt idx="160">
                  <c:v>0.4384166790122872</c:v>
                </c:pt>
                <c:pt idx="161">
                  <c:v>0.24168578243425221</c:v>
                </c:pt>
                <c:pt idx="162">
                  <c:v>0.79261069491608427</c:v>
                </c:pt>
                <c:pt idx="163">
                  <c:v>0.74602981041785821</c:v>
                </c:pt>
                <c:pt idx="164">
                  <c:v>0.2937881326285563</c:v>
                </c:pt>
                <c:pt idx="165">
                  <c:v>0.76508940488487553</c:v>
                </c:pt>
                <c:pt idx="166">
                  <c:v>-0.81182975289263659</c:v>
                </c:pt>
                <c:pt idx="167">
                  <c:v>1.0641944495974975</c:v>
                </c:pt>
                <c:pt idx="168">
                  <c:v>-0.12859335988762766</c:v>
                </c:pt>
                <c:pt idx="169">
                  <c:v>-0.32154765833279697</c:v>
                </c:pt>
                <c:pt idx="170">
                  <c:v>0.56885798608977911</c:v>
                </c:pt>
                <c:pt idx="171">
                  <c:v>0.6408810234895721</c:v>
                </c:pt>
                <c:pt idx="172">
                  <c:v>-7.9847948866310681</c:v>
                </c:pt>
                <c:pt idx="173">
                  <c:v>-8.2206600102329226</c:v>
                </c:pt>
                <c:pt idx="174">
                  <c:v>0.46118188805930949</c:v>
                </c:pt>
                <c:pt idx="175">
                  <c:v>-1.0768855115855178</c:v>
                </c:pt>
                <c:pt idx="176">
                  <c:v>-5.5117432414984107</c:v>
                </c:pt>
                <c:pt idx="177">
                  <c:v>-6.0477828073613109</c:v>
                </c:pt>
                <c:pt idx="178">
                  <c:v>1.0663028045156304</c:v>
                </c:pt>
                <c:pt idx="179">
                  <c:v>1.9676759169072984</c:v>
                </c:pt>
                <c:pt idx="180">
                  <c:v>-9.1974015560336042</c:v>
                </c:pt>
                <c:pt idx="181">
                  <c:v>-9.4157638701608679</c:v>
                </c:pt>
                <c:pt idx="182">
                  <c:v>1.4391287067798215</c:v>
                </c:pt>
                <c:pt idx="183">
                  <c:v>0.33628419121901221</c:v>
                </c:pt>
                <c:pt idx="184">
                  <c:v>3.4578095605905887</c:v>
                </c:pt>
                <c:pt idx="185">
                  <c:v>3.6187658069427835</c:v>
                </c:pt>
                <c:pt idx="186">
                  <c:v>9.3237810475628535</c:v>
                </c:pt>
                <c:pt idx="187">
                  <c:v>14.933429444226089</c:v>
                </c:pt>
                <c:pt idx="188">
                  <c:v>-5.1870723493020137</c:v>
                </c:pt>
                <c:pt idx="189">
                  <c:v>-5.5233877578965265</c:v>
                </c:pt>
                <c:pt idx="190">
                  <c:v>1.4182708153157462</c:v>
                </c:pt>
                <c:pt idx="191">
                  <c:v>2.9439454385808403</c:v>
                </c:pt>
                <c:pt idx="192">
                  <c:v>0.76893286752627699</c:v>
                </c:pt>
                <c:pt idx="193">
                  <c:v>-0.12040772358579854</c:v>
                </c:pt>
                <c:pt idx="194">
                  <c:v>0.48171699050076189</c:v>
                </c:pt>
                <c:pt idx="195">
                  <c:v>1.4769560816494312</c:v>
                </c:pt>
                <c:pt idx="196">
                  <c:v>0.31461082759038206</c:v>
                </c:pt>
                <c:pt idx="197">
                  <c:v>-2.0409268972643462</c:v>
                </c:pt>
                <c:pt idx="198">
                  <c:v>1.097113718613111</c:v>
                </c:pt>
                <c:pt idx="199">
                  <c:v>0.42604586480458417</c:v>
                </c:pt>
                <c:pt idx="200">
                  <c:v>0.77492257463683512</c:v>
                </c:pt>
                <c:pt idx="201">
                  <c:v>-0.83094601408312574</c:v>
                </c:pt>
                <c:pt idx="202">
                  <c:v>2.7609048047935403E-2</c:v>
                </c:pt>
                <c:pt idx="203">
                  <c:v>0.85548580385178141</c:v>
                </c:pt>
                <c:pt idx="204">
                  <c:v>12.176886461707223</c:v>
                </c:pt>
                <c:pt idx="205">
                  <c:v>9.0402581837302627</c:v>
                </c:pt>
                <c:pt idx="206">
                  <c:v>0.5617185951764796</c:v>
                </c:pt>
                <c:pt idx="207">
                  <c:v>10.52537395238202</c:v>
                </c:pt>
                <c:pt idx="208">
                  <c:v>3.8584405374490256</c:v>
                </c:pt>
                <c:pt idx="209">
                  <c:v>1.0561243309838426</c:v>
                </c:pt>
                <c:pt idx="210">
                  <c:v>2.0469395382772038</c:v>
                </c:pt>
                <c:pt idx="211">
                  <c:v>3.6815274398948827</c:v>
                </c:pt>
                <c:pt idx="212">
                  <c:v>0.40154250941074832</c:v>
                </c:pt>
                <c:pt idx="213">
                  <c:v>1.0084359083347181</c:v>
                </c:pt>
                <c:pt idx="214">
                  <c:v>0.64298889545450244</c:v>
                </c:pt>
                <c:pt idx="215">
                  <c:v>1.3702545552891778</c:v>
                </c:pt>
                <c:pt idx="216">
                  <c:v>-2.6609443169839953</c:v>
                </c:pt>
                <c:pt idx="217">
                  <c:v>-2.1229358469342294</c:v>
                </c:pt>
                <c:pt idx="218">
                  <c:v>0.37338056935970299</c:v>
                </c:pt>
                <c:pt idx="219">
                  <c:v>0.37386578423211692</c:v>
                </c:pt>
                <c:pt idx="220">
                  <c:v>-1.0044763978131481</c:v>
                </c:pt>
                <c:pt idx="221">
                  <c:v>-1.4498059135976793</c:v>
                </c:pt>
                <c:pt idx="222">
                  <c:v>0.13221272000764106</c:v>
                </c:pt>
                <c:pt idx="223">
                  <c:v>-0.33728125818969223</c:v>
                </c:pt>
                <c:pt idx="224">
                  <c:v>2.8975720388514441</c:v>
                </c:pt>
                <c:pt idx="225">
                  <c:v>3.0134574969968924</c:v>
                </c:pt>
                <c:pt idx="226">
                  <c:v>0.11836057066008809</c:v>
                </c:pt>
                <c:pt idx="227">
                  <c:v>2.607758140674961</c:v>
                </c:pt>
                <c:pt idx="228">
                  <c:v>1.5403141268462113</c:v>
                </c:pt>
                <c:pt idx="229">
                  <c:v>1.3102425391146273</c:v>
                </c:pt>
                <c:pt idx="230">
                  <c:v>0.24027154732824307</c:v>
                </c:pt>
                <c:pt idx="231">
                  <c:v>1.6179605359437201</c:v>
                </c:pt>
                <c:pt idx="232">
                  <c:v>-0.98019515889366993</c:v>
                </c:pt>
                <c:pt idx="233">
                  <c:v>-2.5508576021803226</c:v>
                </c:pt>
                <c:pt idx="234">
                  <c:v>-0.13027453123457455</c:v>
                </c:pt>
                <c:pt idx="235">
                  <c:v>-1.0702367914746427</c:v>
                </c:pt>
                <c:pt idx="236">
                  <c:v>-0.19093583944082815</c:v>
                </c:pt>
                <c:pt idx="237">
                  <c:v>-3.2259227434105444</c:v>
                </c:pt>
                <c:pt idx="238">
                  <c:v>-0.54354189717324675</c:v>
                </c:pt>
                <c:pt idx="239">
                  <c:v>-1.0064641370532392</c:v>
                </c:pt>
                <c:pt idx="240">
                  <c:v>-6.6927658082332888</c:v>
                </c:pt>
                <c:pt idx="241">
                  <c:v>-7.955341703093274</c:v>
                </c:pt>
                <c:pt idx="242">
                  <c:v>-2.5855542962976177</c:v>
                </c:pt>
                <c:pt idx="243">
                  <c:v>-9.0375833468898072</c:v>
                </c:pt>
                <c:pt idx="244">
                  <c:v>-1.2332667915025379</c:v>
                </c:pt>
                <c:pt idx="245">
                  <c:v>-2.1529435732412807</c:v>
                </c:pt>
                <c:pt idx="246">
                  <c:v>-1.1646182848044611</c:v>
                </c:pt>
                <c:pt idx="247">
                  <c:v>-2.3856877313900817</c:v>
                </c:pt>
                <c:pt idx="248">
                  <c:v>-1.8366159871647127</c:v>
                </c:pt>
                <c:pt idx="249">
                  <c:v>-2.4463356446785758</c:v>
                </c:pt>
                <c:pt idx="250">
                  <c:v>-0.21195285203919834</c:v>
                </c:pt>
                <c:pt idx="251">
                  <c:v>-1.1247210626404764</c:v>
                </c:pt>
                <c:pt idx="252">
                  <c:v>-0.76398245054191438</c:v>
                </c:pt>
                <c:pt idx="253">
                  <c:v>-1.3181654375038181</c:v>
                </c:pt>
                <c:pt idx="254">
                  <c:v>0.15197449145164205</c:v>
                </c:pt>
                <c:pt idx="255">
                  <c:v>-8.7013171124686664E-2</c:v>
                </c:pt>
                <c:pt idx="256">
                  <c:v>0.16738745154850099</c:v>
                </c:pt>
                <c:pt idx="257">
                  <c:v>-4.1217278471559204E-3</c:v>
                </c:pt>
                <c:pt idx="258">
                  <c:v>0.27545247469052403</c:v>
                </c:pt>
                <c:pt idx="259">
                  <c:v>0.68596377940700104</c:v>
                </c:pt>
                <c:pt idx="260">
                  <c:v>0.57631554946716701</c:v>
                </c:pt>
                <c:pt idx="261">
                  <c:v>-1.3475656933011551</c:v>
                </c:pt>
                <c:pt idx="262">
                  <c:v>4.1610059157908612</c:v>
                </c:pt>
                <c:pt idx="263">
                  <c:v>2.3766670965922447</c:v>
                </c:pt>
                <c:pt idx="264">
                  <c:v>-3.2333375546518051E-2</c:v>
                </c:pt>
                <c:pt idx="265">
                  <c:v>-0.12243536174728198</c:v>
                </c:pt>
                <c:pt idx="266">
                  <c:v>0.21729749415612565</c:v>
                </c:pt>
                <c:pt idx="267">
                  <c:v>0.2982196320767394</c:v>
                </c:pt>
                <c:pt idx="268">
                  <c:v>-4.0626120301336499E-2</c:v>
                </c:pt>
                <c:pt idx="269">
                  <c:v>-0.64960653009995739</c:v>
                </c:pt>
                <c:pt idx="270">
                  <c:v>0.6380507018262298</c:v>
                </c:pt>
                <c:pt idx="271">
                  <c:v>1.235120832270407</c:v>
                </c:pt>
                <c:pt idx="272">
                  <c:v>-0.35308220120580563</c:v>
                </c:pt>
                <c:pt idx="273">
                  <c:v>-0.67387334670426191</c:v>
                </c:pt>
                <c:pt idx="274">
                  <c:v>0.16956839292984849</c:v>
                </c:pt>
                <c:pt idx="275">
                  <c:v>0.37008740234464971</c:v>
                </c:pt>
                <c:pt idx="276">
                  <c:v>6.3031178006735966E-2</c:v>
                </c:pt>
                <c:pt idx="277">
                  <c:v>-0.37378753748365889</c:v>
                </c:pt>
                <c:pt idx="278">
                  <c:v>0.18847413300152815</c:v>
                </c:pt>
                <c:pt idx="279">
                  <c:v>0.31295676387087734</c:v>
                </c:pt>
                <c:pt idx="280">
                  <c:v>3.7555055239175816</c:v>
                </c:pt>
                <c:pt idx="281">
                  <c:v>4.186398837203722</c:v>
                </c:pt>
                <c:pt idx="282">
                  <c:v>-2.8716445193852991</c:v>
                </c:pt>
                <c:pt idx="283">
                  <c:v>4.4019772197251861</c:v>
                </c:pt>
                <c:pt idx="284">
                  <c:v>1.1664057740270906E-2</c:v>
                </c:pt>
                <c:pt idx="285">
                  <c:v>9.6561946396513942E-2</c:v>
                </c:pt>
                <c:pt idx="286">
                  <c:v>-0.13369066632513404</c:v>
                </c:pt>
                <c:pt idx="287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A5A-47BE-8C20-9BCD553FF3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(Spring &amp; Autumn forecast) vs. AI/ICT-related HS export share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9467BD"/>
              </a:solidFill>
              <a:ln>
                <a:solidFill>
                  <a:srgbClr val="9467BD"/>
                </a:solidFill>
                <a:prstDash val="solid"/>
              </a:ln>
            </c:spPr>
          </c:marker>
          <c:xVal>
            <c:numRef>
              <c:f>data_hs_export_share_yrs!$H$2:$H$61</c:f>
              <c:numCache>
                <c:formatCode>General</c:formatCode>
                <c:ptCount val="60"/>
                <c:pt idx="0">
                  <c:v>1.2802209101079819E-3</c:v>
                </c:pt>
                <c:pt idx="1">
                  <c:v>1.2802209101079819E-3</c:v>
                </c:pt>
                <c:pt idx="2">
                  <c:v>1.089781682979109E-3</c:v>
                </c:pt>
                <c:pt idx="3">
                  <c:v>1.089781682979109E-3</c:v>
                </c:pt>
                <c:pt idx="4">
                  <c:v>1.9365478320968409E-3</c:v>
                </c:pt>
                <c:pt idx="5">
                  <c:v>1.9365478320968409E-3</c:v>
                </c:pt>
                <c:pt idx="6">
                  <c:v>1.62386443036395E-3</c:v>
                </c:pt>
                <c:pt idx="7">
                  <c:v>1.62386443036395E-3</c:v>
                </c:pt>
                <c:pt idx="8">
                  <c:v>1.1314571143666431E-3</c:v>
                </c:pt>
                <c:pt idx="9">
                  <c:v>1.1314571143666431E-3</c:v>
                </c:pt>
                <c:pt idx="10">
                  <c:v>1.014469878411819E-3</c:v>
                </c:pt>
                <c:pt idx="11">
                  <c:v>1.014469878411819E-3</c:v>
                </c:pt>
                <c:pt idx="12">
                  <c:v>7.4930942000427699E-4</c:v>
                </c:pt>
                <c:pt idx="13">
                  <c:v>7.4930942000427699E-4</c:v>
                </c:pt>
                <c:pt idx="14">
                  <c:v>1.923663900762973E-3</c:v>
                </c:pt>
                <c:pt idx="15">
                  <c:v>1.923663900762973E-3</c:v>
                </c:pt>
                <c:pt idx="16">
                  <c:v>1.312969725716661E-3</c:v>
                </c:pt>
                <c:pt idx="17">
                  <c:v>1.312969725716661E-3</c:v>
                </c:pt>
                <c:pt idx="18">
                  <c:v>1.0726805330251909E-3</c:v>
                </c:pt>
                <c:pt idx="19">
                  <c:v>1.0726805330251909E-3</c:v>
                </c:pt>
                <c:pt idx="20">
                  <c:v>1.372182399148419E-3</c:v>
                </c:pt>
                <c:pt idx="21">
                  <c:v>1.372182399148419E-3</c:v>
                </c:pt>
                <c:pt idx="22">
                  <c:v>8.3940839252033268E-4</c:v>
                </c:pt>
                <c:pt idx="23">
                  <c:v>8.3940839252033268E-4</c:v>
                </c:pt>
                <c:pt idx="24">
                  <c:v>2.4884109011011962E-3</c:v>
                </c:pt>
                <c:pt idx="25">
                  <c:v>2.4884109011011962E-3</c:v>
                </c:pt>
                <c:pt idx="26">
                  <c:v>1.194863073206081E-3</c:v>
                </c:pt>
                <c:pt idx="27">
                  <c:v>1.194863073206081E-3</c:v>
                </c:pt>
                <c:pt idx="28">
                  <c:v>9.9939188696901698E-4</c:v>
                </c:pt>
                <c:pt idx="29">
                  <c:v>9.9939188696901698E-4</c:v>
                </c:pt>
                <c:pt idx="30">
                  <c:v>8.5662439392624936E-3</c:v>
                </c:pt>
                <c:pt idx="31">
                  <c:v>8.5662439392624936E-3</c:v>
                </c:pt>
                <c:pt idx="32">
                  <c:v>7.8392311441250039E-3</c:v>
                </c:pt>
                <c:pt idx="33">
                  <c:v>7.8392311441250039E-3</c:v>
                </c:pt>
                <c:pt idx="34">
                  <c:v>3.0499904166596229E-3</c:v>
                </c:pt>
                <c:pt idx="35">
                  <c:v>3.0499904166596229E-3</c:v>
                </c:pt>
                <c:pt idx="36">
                  <c:v>9.2278925085046721E-3</c:v>
                </c:pt>
                <c:pt idx="37">
                  <c:v>9.2278925085046721E-3</c:v>
                </c:pt>
                <c:pt idx="38">
                  <c:v>4.2581579870975293E-2</c:v>
                </c:pt>
                <c:pt idx="39">
                  <c:v>4.2581579870975293E-2</c:v>
                </c:pt>
                <c:pt idx="40">
                  <c:v>8.9996521427787666E-3</c:v>
                </c:pt>
                <c:pt idx="41">
                  <c:v>8.9996521427787666E-3</c:v>
                </c:pt>
                <c:pt idx="42">
                  <c:v>7.6054945428721031E-3</c:v>
                </c:pt>
                <c:pt idx="43">
                  <c:v>7.6054945428721031E-3</c:v>
                </c:pt>
                <c:pt idx="44">
                  <c:v>3.2520324935252378E-3</c:v>
                </c:pt>
                <c:pt idx="45">
                  <c:v>3.2520324935252378E-3</c:v>
                </c:pt>
                <c:pt idx="46">
                  <c:v>7.2438945945355968E-3</c:v>
                </c:pt>
                <c:pt idx="47">
                  <c:v>7.2438945945355968E-3</c:v>
                </c:pt>
                <c:pt idx="48">
                  <c:v>3.9751937262975177E-2</c:v>
                </c:pt>
                <c:pt idx="49">
                  <c:v>3.9751937262975177E-2</c:v>
                </c:pt>
                <c:pt idx="50">
                  <c:v>1.1274054550446029E-2</c:v>
                </c:pt>
                <c:pt idx="51">
                  <c:v>1.1274054550446029E-2</c:v>
                </c:pt>
                <c:pt idx="52">
                  <c:v>9.0522441223979538E-3</c:v>
                </c:pt>
                <c:pt idx="53">
                  <c:v>9.0522441223979538E-3</c:v>
                </c:pt>
                <c:pt idx="54">
                  <c:v>2.7698144991347719E-3</c:v>
                </c:pt>
                <c:pt idx="55">
                  <c:v>2.7698144991347719E-3</c:v>
                </c:pt>
                <c:pt idx="56">
                  <c:v>8.9861308352750593E-3</c:v>
                </c:pt>
                <c:pt idx="57">
                  <c:v>8.9861308352750593E-3</c:v>
                </c:pt>
                <c:pt idx="58">
                  <c:v>5.4550377494533613E-2</c:v>
                </c:pt>
                <c:pt idx="59">
                  <c:v>5.4550377494533613E-2</c:v>
                </c:pt>
              </c:numCache>
            </c:numRef>
          </c:xVal>
          <c:yVal>
            <c:numRef>
              <c:f>data_hs_export_share_yrs!$G$2:$G$61</c:f>
              <c:numCache>
                <c:formatCode>General</c:formatCode>
                <c:ptCount val="60"/>
                <c:pt idx="0">
                  <c:v>3.5084821711300487</c:v>
                </c:pt>
                <c:pt idx="1">
                  <c:v>2.2459230282070131</c:v>
                </c:pt>
                <c:pt idx="2">
                  <c:v>0.82436876065597886</c:v>
                </c:pt>
                <c:pt idx="3">
                  <c:v>-2.2018192403305132</c:v>
                </c:pt>
                <c:pt idx="4">
                  <c:v>1.7496128021536563</c:v>
                </c:pt>
                <c:pt idx="5">
                  <c:v>3.812344683053138</c:v>
                </c:pt>
                <c:pt idx="6">
                  <c:v>0.47316871767660729</c:v>
                </c:pt>
                <c:pt idx="7">
                  <c:v>0.13961409785200196</c:v>
                </c:pt>
                <c:pt idx="8">
                  <c:v>0.72965359060849089</c:v>
                </c:pt>
                <c:pt idx="9">
                  <c:v>-1.7957222419949357</c:v>
                </c:pt>
                <c:pt idx="10">
                  <c:v>1.1286019302321901</c:v>
                </c:pt>
                <c:pt idx="11">
                  <c:v>1.9291371195943738</c:v>
                </c:pt>
                <c:pt idx="12">
                  <c:v>1.6280433106379038</c:v>
                </c:pt>
                <c:pt idx="13">
                  <c:v>2.149623075816363</c:v>
                </c:pt>
                <c:pt idx="14">
                  <c:v>-1.5677906220824354</c:v>
                </c:pt>
                <c:pt idx="15">
                  <c:v>-0.84304938846227129</c:v>
                </c:pt>
                <c:pt idx="16">
                  <c:v>1.0277214587440522</c:v>
                </c:pt>
                <c:pt idx="17">
                  <c:v>2.428959206215525</c:v>
                </c:pt>
                <c:pt idx="18">
                  <c:v>0.16648728936240431</c:v>
                </c:pt>
                <c:pt idx="19">
                  <c:v>0.94714374205589991</c:v>
                </c:pt>
                <c:pt idx="20">
                  <c:v>-1.9512226852114511E-2</c:v>
                </c:pt>
                <c:pt idx="21">
                  <c:v>0.20939697133562885</c:v>
                </c:pt>
                <c:pt idx="22">
                  <c:v>-8.2255734956584892E-2</c:v>
                </c:pt>
                <c:pt idx="23">
                  <c:v>0.23477837424939674</c:v>
                </c:pt>
                <c:pt idx="24">
                  <c:v>0.72418125285179868</c:v>
                </c:pt>
                <c:pt idx="25">
                  <c:v>-0.17606213387669556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1.0663028045156304</c:v>
                </c:pt>
                <c:pt idx="33">
                  <c:v>1.9676759169072984</c:v>
                </c:pt>
                <c:pt idx="34">
                  <c:v>1.4391287067798215</c:v>
                </c:pt>
                <c:pt idx="35">
                  <c:v>0.33628419121901221</c:v>
                </c:pt>
                <c:pt idx="36">
                  <c:v>9.3237810475628535</c:v>
                </c:pt>
                <c:pt idx="37">
                  <c:v>14.933429444226089</c:v>
                </c:pt>
                <c:pt idx="38">
                  <c:v>1.4182708153157462</c:v>
                </c:pt>
                <c:pt idx="39">
                  <c:v>2.9439454385808403</c:v>
                </c:pt>
                <c:pt idx="40">
                  <c:v>0.64298889545450244</c:v>
                </c:pt>
                <c:pt idx="41">
                  <c:v>1.3702545552891778</c:v>
                </c:pt>
                <c:pt idx="42">
                  <c:v>0.37338056935970299</c:v>
                </c:pt>
                <c:pt idx="43">
                  <c:v>0.37386578423211692</c:v>
                </c:pt>
                <c:pt idx="44">
                  <c:v>0.13221272000764106</c:v>
                </c:pt>
                <c:pt idx="45">
                  <c:v>-0.33728125818969223</c:v>
                </c:pt>
                <c:pt idx="46">
                  <c:v>0.11836057066008809</c:v>
                </c:pt>
                <c:pt idx="47">
                  <c:v>2.607758140674961</c:v>
                </c:pt>
                <c:pt idx="48">
                  <c:v>0.24027154732824307</c:v>
                </c:pt>
                <c:pt idx="49">
                  <c:v>1.6179605359437201</c:v>
                </c:pt>
                <c:pt idx="50">
                  <c:v>0.6380507018262298</c:v>
                </c:pt>
                <c:pt idx="51">
                  <c:v>1.235120832270407</c:v>
                </c:pt>
                <c:pt idx="52">
                  <c:v>0.16956839292984849</c:v>
                </c:pt>
                <c:pt idx="53">
                  <c:v>0.37008740234464971</c:v>
                </c:pt>
                <c:pt idx="54">
                  <c:v>0.18847413300152815</c:v>
                </c:pt>
                <c:pt idx="55">
                  <c:v>0.31295676387087734</c:v>
                </c:pt>
                <c:pt idx="56">
                  <c:v>-2.8716445193852991</c:v>
                </c:pt>
                <c:pt idx="57">
                  <c:v>4.4019772197251861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36-4F01-B722-1F1BC31A7F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AI/ICT-related HS export share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over time -- clustered by National vs. semiconductor index correlation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(National vs. semiconductor index correlation &lt;= 0.6918)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98DF8A"/>
              </a:solidFill>
              <a:ln>
                <a:solidFill>
                  <a:srgbClr val="98DF8A"/>
                </a:solidFill>
                <a:prstDash val="solid"/>
              </a:ln>
            </c:spPr>
          </c:marker>
          <c:xVal>
            <c:numRef>
              <c:f>data_cluster_stock_corr!$D$2:$D$289</c:f>
              <c:numCache>
                <c:formatCode>General</c:formatCode>
                <c:ptCount val="288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2012</c:v>
                </c:pt>
                <c:pt idx="5">
                  <c:v>2012</c:v>
                </c:pt>
                <c:pt idx="6">
                  <c:v>2012</c:v>
                </c:pt>
                <c:pt idx="7">
                  <c:v>2012</c:v>
                </c:pt>
                <c:pt idx="8">
                  <c:v>2013</c:v>
                </c:pt>
                <c:pt idx="9">
                  <c:v>2013</c:v>
                </c:pt>
                <c:pt idx="10">
                  <c:v>2013</c:v>
                </c:pt>
                <c:pt idx="11">
                  <c:v>2013</c:v>
                </c:pt>
                <c:pt idx="12">
                  <c:v>2013</c:v>
                </c:pt>
                <c:pt idx="13">
                  <c:v>2013</c:v>
                </c:pt>
                <c:pt idx="14">
                  <c:v>2013</c:v>
                </c:pt>
                <c:pt idx="15">
                  <c:v>2013</c:v>
                </c:pt>
                <c:pt idx="16">
                  <c:v>2013</c:v>
                </c:pt>
                <c:pt idx="17">
                  <c:v>2013</c:v>
                </c:pt>
                <c:pt idx="18">
                  <c:v>2013</c:v>
                </c:pt>
                <c:pt idx="19">
                  <c:v>2013</c:v>
                </c:pt>
                <c:pt idx="20">
                  <c:v>2013</c:v>
                </c:pt>
                <c:pt idx="21">
                  <c:v>2013</c:v>
                </c:pt>
                <c:pt idx="22">
                  <c:v>2013</c:v>
                </c:pt>
                <c:pt idx="23">
                  <c:v>2013</c:v>
                </c:pt>
                <c:pt idx="24">
                  <c:v>2014</c:v>
                </c:pt>
                <c:pt idx="25">
                  <c:v>2014</c:v>
                </c:pt>
                <c:pt idx="26">
                  <c:v>2014</c:v>
                </c:pt>
                <c:pt idx="27">
                  <c:v>2014</c:v>
                </c:pt>
                <c:pt idx="28">
                  <c:v>2014</c:v>
                </c:pt>
                <c:pt idx="29">
                  <c:v>2014</c:v>
                </c:pt>
                <c:pt idx="30">
                  <c:v>2014</c:v>
                </c:pt>
                <c:pt idx="31">
                  <c:v>2014</c:v>
                </c:pt>
                <c:pt idx="32">
                  <c:v>2014</c:v>
                </c:pt>
                <c:pt idx="33">
                  <c:v>2014</c:v>
                </c:pt>
                <c:pt idx="34">
                  <c:v>2014</c:v>
                </c:pt>
                <c:pt idx="35">
                  <c:v>2014</c:v>
                </c:pt>
                <c:pt idx="36">
                  <c:v>2014</c:v>
                </c:pt>
                <c:pt idx="37">
                  <c:v>2014</c:v>
                </c:pt>
                <c:pt idx="38">
                  <c:v>2014</c:v>
                </c:pt>
                <c:pt idx="39">
                  <c:v>2014</c:v>
                </c:pt>
                <c:pt idx="40">
                  <c:v>2014</c:v>
                </c:pt>
                <c:pt idx="41">
                  <c:v>2014</c:v>
                </c:pt>
                <c:pt idx="42">
                  <c:v>2014</c:v>
                </c:pt>
                <c:pt idx="43">
                  <c:v>2014</c:v>
                </c:pt>
                <c:pt idx="44">
                  <c:v>2014</c:v>
                </c:pt>
                <c:pt idx="45">
                  <c:v>2014</c:v>
                </c:pt>
                <c:pt idx="46">
                  <c:v>2014</c:v>
                </c:pt>
                <c:pt idx="47">
                  <c:v>2014</c:v>
                </c:pt>
                <c:pt idx="48">
                  <c:v>2014</c:v>
                </c:pt>
                <c:pt idx="49">
                  <c:v>2014</c:v>
                </c:pt>
                <c:pt idx="50">
                  <c:v>2014</c:v>
                </c:pt>
                <c:pt idx="51">
                  <c:v>2014</c:v>
                </c:pt>
                <c:pt idx="52">
                  <c:v>2014</c:v>
                </c:pt>
                <c:pt idx="53">
                  <c:v>2014</c:v>
                </c:pt>
                <c:pt idx="54">
                  <c:v>2014</c:v>
                </c:pt>
                <c:pt idx="55">
                  <c:v>2014</c:v>
                </c:pt>
                <c:pt idx="56">
                  <c:v>2015</c:v>
                </c:pt>
                <c:pt idx="57">
                  <c:v>2015</c:v>
                </c:pt>
                <c:pt idx="58">
                  <c:v>2015</c:v>
                </c:pt>
                <c:pt idx="59">
                  <c:v>2015</c:v>
                </c:pt>
                <c:pt idx="60">
                  <c:v>2015</c:v>
                </c:pt>
                <c:pt idx="61">
                  <c:v>2015</c:v>
                </c:pt>
                <c:pt idx="62">
                  <c:v>2015</c:v>
                </c:pt>
                <c:pt idx="63">
                  <c:v>2015</c:v>
                </c:pt>
                <c:pt idx="64">
                  <c:v>2015</c:v>
                </c:pt>
                <c:pt idx="65">
                  <c:v>2015</c:v>
                </c:pt>
                <c:pt idx="66">
                  <c:v>2015</c:v>
                </c:pt>
                <c:pt idx="67">
                  <c:v>2015</c:v>
                </c:pt>
                <c:pt idx="68">
                  <c:v>2015</c:v>
                </c:pt>
                <c:pt idx="69">
                  <c:v>2015</c:v>
                </c:pt>
                <c:pt idx="70">
                  <c:v>2015</c:v>
                </c:pt>
                <c:pt idx="71">
                  <c:v>2015</c:v>
                </c:pt>
                <c:pt idx="72">
                  <c:v>2015</c:v>
                </c:pt>
                <c:pt idx="73">
                  <c:v>2015</c:v>
                </c:pt>
                <c:pt idx="74">
                  <c:v>2015</c:v>
                </c:pt>
                <c:pt idx="75">
                  <c:v>2015</c:v>
                </c:pt>
                <c:pt idx="76">
                  <c:v>2015</c:v>
                </c:pt>
                <c:pt idx="77">
                  <c:v>2015</c:v>
                </c:pt>
                <c:pt idx="78">
                  <c:v>2015</c:v>
                </c:pt>
                <c:pt idx="79">
                  <c:v>2015</c:v>
                </c:pt>
                <c:pt idx="80">
                  <c:v>2015</c:v>
                </c:pt>
                <c:pt idx="81">
                  <c:v>2015</c:v>
                </c:pt>
                <c:pt idx="82">
                  <c:v>2015</c:v>
                </c:pt>
                <c:pt idx="83">
                  <c:v>2015</c:v>
                </c:pt>
                <c:pt idx="84">
                  <c:v>2015</c:v>
                </c:pt>
                <c:pt idx="85">
                  <c:v>2015</c:v>
                </c:pt>
                <c:pt idx="86">
                  <c:v>2015</c:v>
                </c:pt>
                <c:pt idx="87">
                  <c:v>2015</c:v>
                </c:pt>
                <c:pt idx="88">
                  <c:v>2015</c:v>
                </c:pt>
                <c:pt idx="89">
                  <c:v>2015</c:v>
                </c:pt>
                <c:pt idx="90">
                  <c:v>2015</c:v>
                </c:pt>
                <c:pt idx="91">
                  <c:v>2015</c:v>
                </c:pt>
                <c:pt idx="92">
                  <c:v>2015</c:v>
                </c:pt>
                <c:pt idx="93">
                  <c:v>2015</c:v>
                </c:pt>
                <c:pt idx="94">
                  <c:v>2015</c:v>
                </c:pt>
                <c:pt idx="95">
                  <c:v>2015</c:v>
                </c:pt>
                <c:pt idx="96">
                  <c:v>2016</c:v>
                </c:pt>
                <c:pt idx="97">
                  <c:v>2016</c:v>
                </c:pt>
                <c:pt idx="98">
                  <c:v>2016</c:v>
                </c:pt>
                <c:pt idx="99">
                  <c:v>2016</c:v>
                </c:pt>
                <c:pt idx="100">
                  <c:v>2016</c:v>
                </c:pt>
                <c:pt idx="101">
                  <c:v>2016</c:v>
                </c:pt>
                <c:pt idx="102">
                  <c:v>2016</c:v>
                </c:pt>
                <c:pt idx="103">
                  <c:v>2016</c:v>
                </c:pt>
                <c:pt idx="104">
                  <c:v>2016</c:v>
                </c:pt>
                <c:pt idx="105">
                  <c:v>2016</c:v>
                </c:pt>
                <c:pt idx="106">
                  <c:v>2016</c:v>
                </c:pt>
                <c:pt idx="107">
                  <c:v>2016</c:v>
                </c:pt>
                <c:pt idx="108">
                  <c:v>2016</c:v>
                </c:pt>
                <c:pt idx="109">
                  <c:v>2016</c:v>
                </c:pt>
                <c:pt idx="110">
                  <c:v>2016</c:v>
                </c:pt>
                <c:pt idx="111">
                  <c:v>2016</c:v>
                </c:pt>
                <c:pt idx="112">
                  <c:v>2016</c:v>
                </c:pt>
                <c:pt idx="113">
                  <c:v>2016</c:v>
                </c:pt>
                <c:pt idx="114">
                  <c:v>2016</c:v>
                </c:pt>
                <c:pt idx="115">
                  <c:v>2016</c:v>
                </c:pt>
                <c:pt idx="116">
                  <c:v>2016</c:v>
                </c:pt>
                <c:pt idx="117">
                  <c:v>2016</c:v>
                </c:pt>
                <c:pt idx="118">
                  <c:v>2016</c:v>
                </c:pt>
                <c:pt idx="119">
                  <c:v>2016</c:v>
                </c:pt>
                <c:pt idx="120">
                  <c:v>2016</c:v>
                </c:pt>
                <c:pt idx="121">
                  <c:v>2016</c:v>
                </c:pt>
                <c:pt idx="122">
                  <c:v>2016</c:v>
                </c:pt>
                <c:pt idx="123">
                  <c:v>2016</c:v>
                </c:pt>
                <c:pt idx="124">
                  <c:v>2016</c:v>
                </c:pt>
                <c:pt idx="125">
                  <c:v>2016</c:v>
                </c:pt>
                <c:pt idx="126">
                  <c:v>2016</c:v>
                </c:pt>
                <c:pt idx="127">
                  <c:v>2016</c:v>
                </c:pt>
                <c:pt idx="128">
                  <c:v>2016</c:v>
                </c:pt>
                <c:pt idx="129">
                  <c:v>2016</c:v>
                </c:pt>
                <c:pt idx="130">
                  <c:v>2016</c:v>
                </c:pt>
                <c:pt idx="131">
                  <c:v>2016</c:v>
                </c:pt>
                <c:pt idx="132">
                  <c:v>2016</c:v>
                </c:pt>
                <c:pt idx="133">
                  <c:v>2016</c:v>
                </c:pt>
                <c:pt idx="134">
                  <c:v>2016</c:v>
                </c:pt>
                <c:pt idx="135">
                  <c:v>2016</c:v>
                </c:pt>
                <c:pt idx="136">
                  <c:v>2017</c:v>
                </c:pt>
                <c:pt idx="137">
                  <c:v>2017</c:v>
                </c:pt>
                <c:pt idx="138">
                  <c:v>2017</c:v>
                </c:pt>
                <c:pt idx="139">
                  <c:v>2017</c:v>
                </c:pt>
                <c:pt idx="140">
                  <c:v>2017</c:v>
                </c:pt>
                <c:pt idx="141">
                  <c:v>2017</c:v>
                </c:pt>
                <c:pt idx="142">
                  <c:v>2017</c:v>
                </c:pt>
                <c:pt idx="143">
                  <c:v>2017</c:v>
                </c:pt>
                <c:pt idx="144">
                  <c:v>2017</c:v>
                </c:pt>
                <c:pt idx="145">
                  <c:v>2017</c:v>
                </c:pt>
                <c:pt idx="146">
                  <c:v>2017</c:v>
                </c:pt>
                <c:pt idx="147">
                  <c:v>2017</c:v>
                </c:pt>
                <c:pt idx="148">
                  <c:v>2018</c:v>
                </c:pt>
                <c:pt idx="149">
                  <c:v>2018</c:v>
                </c:pt>
                <c:pt idx="150">
                  <c:v>2018</c:v>
                </c:pt>
                <c:pt idx="151">
                  <c:v>2018</c:v>
                </c:pt>
                <c:pt idx="152">
                  <c:v>2018</c:v>
                </c:pt>
                <c:pt idx="153">
                  <c:v>2018</c:v>
                </c:pt>
                <c:pt idx="154">
                  <c:v>2018</c:v>
                </c:pt>
                <c:pt idx="155">
                  <c:v>2018</c:v>
                </c:pt>
                <c:pt idx="156">
                  <c:v>2018</c:v>
                </c:pt>
                <c:pt idx="157">
                  <c:v>2018</c:v>
                </c:pt>
                <c:pt idx="158">
                  <c:v>2018</c:v>
                </c:pt>
                <c:pt idx="159">
                  <c:v>2018</c:v>
                </c:pt>
                <c:pt idx="160">
                  <c:v>2018</c:v>
                </c:pt>
                <c:pt idx="161">
                  <c:v>2018</c:v>
                </c:pt>
                <c:pt idx="162">
                  <c:v>2018</c:v>
                </c:pt>
                <c:pt idx="163">
                  <c:v>2018</c:v>
                </c:pt>
                <c:pt idx="164">
                  <c:v>2018</c:v>
                </c:pt>
                <c:pt idx="165">
                  <c:v>2018</c:v>
                </c:pt>
                <c:pt idx="166">
                  <c:v>2018</c:v>
                </c:pt>
                <c:pt idx="167">
                  <c:v>2018</c:v>
                </c:pt>
                <c:pt idx="168">
                  <c:v>2018</c:v>
                </c:pt>
                <c:pt idx="169">
                  <c:v>2018</c:v>
                </c:pt>
                <c:pt idx="170">
                  <c:v>2018</c:v>
                </c:pt>
                <c:pt idx="171">
                  <c:v>2018</c:v>
                </c:pt>
                <c:pt idx="172">
                  <c:v>2018</c:v>
                </c:pt>
                <c:pt idx="173">
                  <c:v>2018</c:v>
                </c:pt>
                <c:pt idx="174">
                  <c:v>2018</c:v>
                </c:pt>
                <c:pt idx="175">
                  <c:v>2018</c:v>
                </c:pt>
                <c:pt idx="176">
                  <c:v>2018</c:v>
                </c:pt>
                <c:pt idx="177">
                  <c:v>2018</c:v>
                </c:pt>
                <c:pt idx="178">
                  <c:v>2018</c:v>
                </c:pt>
                <c:pt idx="179">
                  <c:v>2018</c:v>
                </c:pt>
                <c:pt idx="180">
                  <c:v>2022</c:v>
                </c:pt>
                <c:pt idx="181">
                  <c:v>2022</c:v>
                </c:pt>
                <c:pt idx="182">
                  <c:v>2022</c:v>
                </c:pt>
                <c:pt idx="183">
                  <c:v>2022</c:v>
                </c:pt>
                <c:pt idx="184">
                  <c:v>2022</c:v>
                </c:pt>
                <c:pt idx="185">
                  <c:v>2022</c:v>
                </c:pt>
                <c:pt idx="186">
                  <c:v>2022</c:v>
                </c:pt>
                <c:pt idx="187">
                  <c:v>2022</c:v>
                </c:pt>
                <c:pt idx="188">
                  <c:v>2023</c:v>
                </c:pt>
                <c:pt idx="189">
                  <c:v>2023</c:v>
                </c:pt>
                <c:pt idx="190">
                  <c:v>2023</c:v>
                </c:pt>
                <c:pt idx="191">
                  <c:v>2023</c:v>
                </c:pt>
                <c:pt idx="192">
                  <c:v>2023</c:v>
                </c:pt>
                <c:pt idx="193">
                  <c:v>2023</c:v>
                </c:pt>
                <c:pt idx="194">
                  <c:v>2023</c:v>
                </c:pt>
                <c:pt idx="195">
                  <c:v>2023</c:v>
                </c:pt>
                <c:pt idx="196">
                  <c:v>2024</c:v>
                </c:pt>
                <c:pt idx="197">
                  <c:v>2024</c:v>
                </c:pt>
                <c:pt idx="198">
                  <c:v>2024</c:v>
                </c:pt>
                <c:pt idx="199">
                  <c:v>2024</c:v>
                </c:pt>
                <c:pt idx="200">
                  <c:v>2024</c:v>
                </c:pt>
                <c:pt idx="201">
                  <c:v>2024</c:v>
                </c:pt>
                <c:pt idx="202">
                  <c:v>2024</c:v>
                </c:pt>
                <c:pt idx="203">
                  <c:v>2024</c:v>
                </c:pt>
                <c:pt idx="204">
                  <c:v>2024</c:v>
                </c:pt>
                <c:pt idx="205">
                  <c:v>2024</c:v>
                </c:pt>
                <c:pt idx="206">
                  <c:v>2024</c:v>
                </c:pt>
                <c:pt idx="207">
                  <c:v>2024</c:v>
                </c:pt>
                <c:pt idx="208">
                  <c:v>2024</c:v>
                </c:pt>
                <c:pt idx="209">
                  <c:v>2024</c:v>
                </c:pt>
                <c:pt idx="210">
                  <c:v>2024</c:v>
                </c:pt>
                <c:pt idx="211">
                  <c:v>2024</c:v>
                </c:pt>
                <c:pt idx="212">
                  <c:v>2024</c:v>
                </c:pt>
                <c:pt idx="213">
                  <c:v>2024</c:v>
                </c:pt>
                <c:pt idx="214">
                  <c:v>2024</c:v>
                </c:pt>
                <c:pt idx="215">
                  <c:v>2024</c:v>
                </c:pt>
                <c:pt idx="216">
                  <c:v>2024</c:v>
                </c:pt>
                <c:pt idx="217">
                  <c:v>2024</c:v>
                </c:pt>
                <c:pt idx="218">
                  <c:v>2024</c:v>
                </c:pt>
                <c:pt idx="219">
                  <c:v>2024</c:v>
                </c:pt>
                <c:pt idx="220">
                  <c:v>2024</c:v>
                </c:pt>
                <c:pt idx="221">
                  <c:v>2024</c:v>
                </c:pt>
                <c:pt idx="222">
                  <c:v>2024</c:v>
                </c:pt>
                <c:pt idx="223">
                  <c:v>2024</c:v>
                </c:pt>
                <c:pt idx="224">
                  <c:v>2024</c:v>
                </c:pt>
                <c:pt idx="225">
                  <c:v>2024</c:v>
                </c:pt>
                <c:pt idx="226">
                  <c:v>2024</c:v>
                </c:pt>
                <c:pt idx="227">
                  <c:v>2024</c:v>
                </c:pt>
                <c:pt idx="228">
                  <c:v>2025</c:v>
                </c:pt>
                <c:pt idx="229">
                  <c:v>2025</c:v>
                </c:pt>
                <c:pt idx="230">
                  <c:v>2025</c:v>
                </c:pt>
                <c:pt idx="231">
                  <c:v>2025</c:v>
                </c:pt>
                <c:pt idx="232">
                  <c:v>2025</c:v>
                </c:pt>
                <c:pt idx="233">
                  <c:v>2025</c:v>
                </c:pt>
                <c:pt idx="234">
                  <c:v>2025</c:v>
                </c:pt>
                <c:pt idx="235">
                  <c:v>2025</c:v>
                </c:pt>
                <c:pt idx="236">
                  <c:v>2025</c:v>
                </c:pt>
                <c:pt idx="237">
                  <c:v>2025</c:v>
                </c:pt>
                <c:pt idx="238">
                  <c:v>2025</c:v>
                </c:pt>
                <c:pt idx="239">
                  <c:v>2025</c:v>
                </c:pt>
                <c:pt idx="240">
                  <c:v>2025</c:v>
                </c:pt>
                <c:pt idx="241">
                  <c:v>2025</c:v>
                </c:pt>
                <c:pt idx="242">
                  <c:v>2025</c:v>
                </c:pt>
                <c:pt idx="243">
                  <c:v>2025</c:v>
                </c:pt>
                <c:pt idx="244">
                  <c:v>2025</c:v>
                </c:pt>
                <c:pt idx="245">
                  <c:v>2025</c:v>
                </c:pt>
                <c:pt idx="246">
                  <c:v>2025</c:v>
                </c:pt>
                <c:pt idx="247">
                  <c:v>2025</c:v>
                </c:pt>
                <c:pt idx="248">
                  <c:v>2025</c:v>
                </c:pt>
                <c:pt idx="249">
                  <c:v>2025</c:v>
                </c:pt>
                <c:pt idx="250">
                  <c:v>2025</c:v>
                </c:pt>
                <c:pt idx="251">
                  <c:v>2025</c:v>
                </c:pt>
                <c:pt idx="252">
                  <c:v>2025</c:v>
                </c:pt>
                <c:pt idx="253">
                  <c:v>2025</c:v>
                </c:pt>
                <c:pt idx="254">
                  <c:v>2025</c:v>
                </c:pt>
                <c:pt idx="255">
                  <c:v>2025</c:v>
                </c:pt>
                <c:pt idx="256">
                  <c:v>2025</c:v>
                </c:pt>
                <c:pt idx="257">
                  <c:v>2025</c:v>
                </c:pt>
                <c:pt idx="258">
                  <c:v>2025</c:v>
                </c:pt>
                <c:pt idx="259">
                  <c:v>2025</c:v>
                </c:pt>
                <c:pt idx="260">
                  <c:v>2025</c:v>
                </c:pt>
                <c:pt idx="261">
                  <c:v>2025</c:v>
                </c:pt>
                <c:pt idx="262">
                  <c:v>2025</c:v>
                </c:pt>
                <c:pt idx="263">
                  <c:v>2025</c:v>
                </c:pt>
                <c:pt idx="264">
                  <c:v>2025</c:v>
                </c:pt>
                <c:pt idx="265">
                  <c:v>2025</c:v>
                </c:pt>
                <c:pt idx="266">
                  <c:v>2025</c:v>
                </c:pt>
                <c:pt idx="267">
                  <c:v>2025</c:v>
                </c:pt>
                <c:pt idx="268">
                  <c:v>2026</c:v>
                </c:pt>
                <c:pt idx="269">
                  <c:v>2026</c:v>
                </c:pt>
                <c:pt idx="270">
                  <c:v>2026</c:v>
                </c:pt>
                <c:pt idx="271">
                  <c:v>2026</c:v>
                </c:pt>
                <c:pt idx="272">
                  <c:v>2026</c:v>
                </c:pt>
                <c:pt idx="273">
                  <c:v>2026</c:v>
                </c:pt>
                <c:pt idx="274">
                  <c:v>2026</c:v>
                </c:pt>
                <c:pt idx="275">
                  <c:v>2026</c:v>
                </c:pt>
                <c:pt idx="276">
                  <c:v>2026</c:v>
                </c:pt>
                <c:pt idx="277">
                  <c:v>2026</c:v>
                </c:pt>
                <c:pt idx="278">
                  <c:v>2026</c:v>
                </c:pt>
                <c:pt idx="279">
                  <c:v>2026</c:v>
                </c:pt>
                <c:pt idx="280">
                  <c:v>2026</c:v>
                </c:pt>
                <c:pt idx="281">
                  <c:v>2026</c:v>
                </c:pt>
                <c:pt idx="282">
                  <c:v>2026</c:v>
                </c:pt>
                <c:pt idx="283">
                  <c:v>2026</c:v>
                </c:pt>
                <c:pt idx="284">
                  <c:v>2026</c:v>
                </c:pt>
                <c:pt idx="285">
                  <c:v>2026</c:v>
                </c:pt>
                <c:pt idx="286">
                  <c:v>2026</c:v>
                </c:pt>
                <c:pt idx="287">
                  <c:v>2026</c:v>
                </c:pt>
              </c:numCache>
            </c:numRef>
          </c:xVal>
          <c:yVal>
            <c:numRef>
              <c:f>data_cluster_stock_corr!$G$2:$G$289</c:f>
              <c:numCache>
                <c:formatCode>General</c:formatCode>
                <c:ptCount val="288"/>
                <c:pt idx="0">
                  <c:v>-1.3813318500744096</c:v>
                </c:pt>
                <c:pt idx="1">
                  <c:v>-1.4042156255031488</c:v>
                </c:pt>
                <c:pt idx="2">
                  <c:v>0.50049004709387601</c:v>
                </c:pt>
                <c:pt idx="3">
                  <c:v>0.9413258690012245</c:v>
                </c:pt>
                <c:pt idx="4">
                  <c:v>-3.5578433110301635</c:v>
                </c:pt>
                <c:pt idx="5">
                  <c:v>-4.4179928139605931</c:v>
                </c:pt>
                <c:pt idx="6">
                  <c:v>-1.468084985895092</c:v>
                </c:pt>
                <c:pt idx="7">
                  <c:v>-1.1441842892946601</c:v>
                </c:pt>
                <c:pt idx="8">
                  <c:v>-1.1913368759070364</c:v>
                </c:pt>
                <c:pt idx="9">
                  <c:v>-1.9978324758434329</c:v>
                </c:pt>
                <c:pt idx="10">
                  <c:v>-0.73724213590623755</c:v>
                </c:pt>
                <c:pt idx="11">
                  <c:v>-0.91195967368665976</c:v>
                </c:pt>
                <c:pt idx="12">
                  <c:v>6.4806094269020953E-3</c:v>
                </c:pt>
                <c:pt idx="13">
                  <c:v>-1.1063931545070063</c:v>
                </c:pt>
                <c:pt idx="14">
                  <c:v>-0.13080820497289203</c:v>
                </c:pt>
                <c:pt idx="15">
                  <c:v>3.6557650467966996E-2</c:v>
                </c:pt>
                <c:pt idx="16">
                  <c:v>-1.3032488592122233</c:v>
                </c:pt>
                <c:pt idx="17">
                  <c:v>-2.2873965098618703</c:v>
                </c:pt>
                <c:pt idx="18">
                  <c:v>-1.3627956629979066E-2</c:v>
                </c:pt>
                <c:pt idx="19">
                  <c:v>-0.50253549354813787</c:v>
                </c:pt>
                <c:pt idx="20">
                  <c:v>-0.23830578037063171</c:v>
                </c:pt>
                <c:pt idx="21">
                  <c:v>-0.69436298449679079</c:v>
                </c:pt>
                <c:pt idx="22">
                  <c:v>0.99271178751701716</c:v>
                </c:pt>
                <c:pt idx="23">
                  <c:v>0.8027116295009934</c:v>
                </c:pt>
                <c:pt idx="24">
                  <c:v>-0.73775127444920263</c:v>
                </c:pt>
                <c:pt idx="25">
                  <c:v>-0.87395035304667956</c:v>
                </c:pt>
                <c:pt idx="26">
                  <c:v>0.20283128440671516</c:v>
                </c:pt>
                <c:pt idx="27">
                  <c:v>-0.77038759201291962</c:v>
                </c:pt>
                <c:pt idx="28">
                  <c:v>0.60804524034366203</c:v>
                </c:pt>
                <c:pt idx="29">
                  <c:v>0.55985462173544898</c:v>
                </c:pt>
                <c:pt idx="30">
                  <c:v>0.82726288526369518</c:v>
                </c:pt>
                <c:pt idx="31">
                  <c:v>0.30703964316712207</c:v>
                </c:pt>
                <c:pt idx="32">
                  <c:v>0.50391511063603911</c:v>
                </c:pt>
                <c:pt idx="33">
                  <c:v>0.38489933569674806</c:v>
                </c:pt>
                <c:pt idx="34">
                  <c:v>0.93895915127589302</c:v>
                </c:pt>
                <c:pt idx="35">
                  <c:v>0.3604753690907021</c:v>
                </c:pt>
                <c:pt idx="36">
                  <c:v>0.97444544008665979</c:v>
                </c:pt>
                <c:pt idx="37">
                  <c:v>0.5731581210036385</c:v>
                </c:pt>
                <c:pt idx="38">
                  <c:v>0.25951375517513608</c:v>
                </c:pt>
                <c:pt idx="39">
                  <c:v>0.36104980792893904</c:v>
                </c:pt>
                <c:pt idx="40">
                  <c:v>8.2625762713080086E-2</c:v>
                </c:pt>
                <c:pt idx="41">
                  <c:v>-0.10261972066728997</c:v>
                </c:pt>
                <c:pt idx="42">
                  <c:v>0.67469908808817769</c:v>
                </c:pt>
                <c:pt idx="43">
                  <c:v>1.7194448601227763E-2</c:v>
                </c:pt>
                <c:pt idx="44">
                  <c:v>7.3473765864294371</c:v>
                </c:pt>
                <c:pt idx="45">
                  <c:v>6.8741599328546545</c:v>
                </c:pt>
                <c:pt idx="46">
                  <c:v>4.4352299730116496</c:v>
                </c:pt>
                <c:pt idx="47">
                  <c:v>7.3099334555518691</c:v>
                </c:pt>
                <c:pt idx="48">
                  <c:v>-0.63559197615783425</c:v>
                </c:pt>
                <c:pt idx="49">
                  <c:v>-0.64240153811903056</c:v>
                </c:pt>
                <c:pt idx="50">
                  <c:v>0.46984491420454261</c:v>
                </c:pt>
                <c:pt idx="51">
                  <c:v>-0.49573337159642944</c:v>
                </c:pt>
                <c:pt idx="52">
                  <c:v>1.3553618816128583</c:v>
                </c:pt>
                <c:pt idx="53">
                  <c:v>0.70542793172322216</c:v>
                </c:pt>
                <c:pt idx="54">
                  <c:v>0.72324209611805812</c:v>
                </c:pt>
                <c:pt idx="55">
                  <c:v>0.43792540256365298</c:v>
                </c:pt>
                <c:pt idx="56">
                  <c:v>2.1335424718526896E-2</c:v>
                </c:pt>
                <c:pt idx="57">
                  <c:v>-0.59414044609208405</c:v>
                </c:pt>
                <c:pt idx="58">
                  <c:v>0.65778403978474742</c:v>
                </c:pt>
                <c:pt idx="59">
                  <c:v>0.45566821907582167</c:v>
                </c:pt>
                <c:pt idx="60">
                  <c:v>0.60184371182729057</c:v>
                </c:pt>
                <c:pt idx="61">
                  <c:v>-9.5872444645270116E-2</c:v>
                </c:pt>
                <c:pt idx="62">
                  <c:v>0.20095810349653198</c:v>
                </c:pt>
                <c:pt idx="63">
                  <c:v>0.37602266897304393</c:v>
                </c:pt>
                <c:pt idx="64">
                  <c:v>0.41668627246598899</c:v>
                </c:pt>
                <c:pt idx="65">
                  <c:v>-0.47235285542918604</c:v>
                </c:pt>
                <c:pt idx="66">
                  <c:v>-0.19885935702409907</c:v>
                </c:pt>
                <c:pt idx="67">
                  <c:v>-0.3600890531802059</c:v>
                </c:pt>
                <c:pt idx="68">
                  <c:v>2.2507531290568341</c:v>
                </c:pt>
                <c:pt idx="69">
                  <c:v>1.9227190146805588</c:v>
                </c:pt>
                <c:pt idx="70">
                  <c:v>0.84755226971891684</c:v>
                </c:pt>
                <c:pt idx="71">
                  <c:v>1.1642716744238411</c:v>
                </c:pt>
                <c:pt idx="72">
                  <c:v>-0.14620954323508523</c:v>
                </c:pt>
                <c:pt idx="73">
                  <c:v>-0.57280300136018747</c:v>
                </c:pt>
                <c:pt idx="74">
                  <c:v>0.1253373978109007</c:v>
                </c:pt>
                <c:pt idx="75">
                  <c:v>0.12311761734483889</c:v>
                </c:pt>
                <c:pt idx="76">
                  <c:v>0.29855354285163038</c:v>
                </c:pt>
                <c:pt idx="77">
                  <c:v>-0.47972768132192978</c:v>
                </c:pt>
                <c:pt idx="78">
                  <c:v>-8.9414898423502587E-2</c:v>
                </c:pt>
                <c:pt idx="79">
                  <c:v>-8.8439121019513678E-2</c:v>
                </c:pt>
                <c:pt idx="80">
                  <c:v>18.328578063419037</c:v>
                </c:pt>
                <c:pt idx="81">
                  <c:v>18.955022320797561</c:v>
                </c:pt>
                <c:pt idx="82">
                  <c:v>15.905810160190644</c:v>
                </c:pt>
                <c:pt idx="83">
                  <c:v>18.343702761513786</c:v>
                </c:pt>
                <c:pt idx="84">
                  <c:v>0.11412179495312647</c:v>
                </c:pt>
                <c:pt idx="85">
                  <c:v>-0.48713604095095231</c:v>
                </c:pt>
                <c:pt idx="86">
                  <c:v>-0.12380197599240972</c:v>
                </c:pt>
                <c:pt idx="87">
                  <c:v>0.13599178752260521</c:v>
                </c:pt>
                <c:pt idx="88">
                  <c:v>0.66075179047467292</c:v>
                </c:pt>
                <c:pt idx="89">
                  <c:v>0.71728036681706908</c:v>
                </c:pt>
                <c:pt idx="90">
                  <c:v>2.7912869879358926E-2</c:v>
                </c:pt>
                <c:pt idx="91">
                  <c:v>0.44124858238985798</c:v>
                </c:pt>
                <c:pt idx="92">
                  <c:v>0.27908288694357686</c:v>
                </c:pt>
                <c:pt idx="93">
                  <c:v>8.4088127918840794E-2</c:v>
                </c:pt>
                <c:pt idx="94">
                  <c:v>-0.16405386466369909</c:v>
                </c:pt>
                <c:pt idx="95">
                  <c:v>-6.4609841282320168E-2</c:v>
                </c:pt>
                <c:pt idx="96">
                  <c:v>0.69243770785740977</c:v>
                </c:pt>
                <c:pt idx="97">
                  <c:v>0.69667255164343178</c:v>
                </c:pt>
                <c:pt idx="98">
                  <c:v>0.65648168579866284</c:v>
                </c:pt>
                <c:pt idx="99">
                  <c:v>0.67387131071388295</c:v>
                </c:pt>
                <c:pt idx="100">
                  <c:v>-0.11861033767558893</c:v>
                </c:pt>
                <c:pt idx="101">
                  <c:v>-0.28042817709720791</c:v>
                </c:pt>
                <c:pt idx="102">
                  <c:v>-4.7304590003143909E-2</c:v>
                </c:pt>
                <c:pt idx="103">
                  <c:v>-1.0856298219501959E-2</c:v>
                </c:pt>
                <c:pt idx="104">
                  <c:v>0.27860513231977801</c:v>
                </c:pt>
                <c:pt idx="105">
                  <c:v>0.16032115441809891</c:v>
                </c:pt>
                <c:pt idx="106">
                  <c:v>0.24619510094493702</c:v>
                </c:pt>
                <c:pt idx="107">
                  <c:v>0.56021580938968807</c:v>
                </c:pt>
                <c:pt idx="108">
                  <c:v>0.20691362640356292</c:v>
                </c:pt>
                <c:pt idx="109">
                  <c:v>0.29294469454354299</c:v>
                </c:pt>
                <c:pt idx="110">
                  <c:v>-0.32437575106588312</c:v>
                </c:pt>
                <c:pt idx="111">
                  <c:v>0.27990361283777565</c:v>
                </c:pt>
                <c:pt idx="112">
                  <c:v>1.8786753011990158</c:v>
                </c:pt>
                <c:pt idx="113">
                  <c:v>1.510323809035472</c:v>
                </c:pt>
                <c:pt idx="114">
                  <c:v>1.7183218536184302</c:v>
                </c:pt>
                <c:pt idx="115">
                  <c:v>1.8590512359207483</c:v>
                </c:pt>
                <c:pt idx="116">
                  <c:v>-0.6951946375147382</c:v>
                </c:pt>
                <c:pt idx="117">
                  <c:v>-0.9474050098037794</c:v>
                </c:pt>
                <c:pt idx="118">
                  <c:v>-0.52027408063893632</c:v>
                </c:pt>
                <c:pt idx="119">
                  <c:v>-0.59721808051947733</c:v>
                </c:pt>
                <c:pt idx="120">
                  <c:v>-3.3115780556468373</c:v>
                </c:pt>
                <c:pt idx="121">
                  <c:v>-2.3039111882363645</c:v>
                </c:pt>
                <c:pt idx="122">
                  <c:v>-2.9158948376772491</c:v>
                </c:pt>
                <c:pt idx="123">
                  <c:v>-3.6961635285906365</c:v>
                </c:pt>
                <c:pt idx="124">
                  <c:v>-0.1058406653404671</c:v>
                </c:pt>
                <c:pt idx="125">
                  <c:v>-6.5542328540008077E-2</c:v>
                </c:pt>
                <c:pt idx="126">
                  <c:v>0.63759268194228436</c:v>
                </c:pt>
                <c:pt idx="127">
                  <c:v>0.25497274041926299</c:v>
                </c:pt>
                <c:pt idx="128">
                  <c:v>0.25837958787036319</c:v>
                </c:pt>
                <c:pt idx="129">
                  <c:v>0.65826627678273919</c:v>
                </c:pt>
                <c:pt idx="130">
                  <c:v>0.73200384369860516</c:v>
                </c:pt>
                <c:pt idx="131">
                  <c:v>0.71349901011999117</c:v>
                </c:pt>
                <c:pt idx="132">
                  <c:v>0.32534337819466397</c:v>
                </c:pt>
                <c:pt idx="133">
                  <c:v>0.14602905922159692</c:v>
                </c:pt>
                <c:pt idx="134">
                  <c:v>1.0550904016198952</c:v>
                </c:pt>
                <c:pt idx="135">
                  <c:v>0.5261694887334849</c:v>
                </c:pt>
                <c:pt idx="136">
                  <c:v>6.0228740309448732</c:v>
                </c:pt>
                <c:pt idx="137">
                  <c:v>5.9524962396982399</c:v>
                </c:pt>
                <c:pt idx="138">
                  <c:v>4.7979924738822781</c:v>
                </c:pt>
                <c:pt idx="139">
                  <c:v>5.6733497511086632</c:v>
                </c:pt>
                <c:pt idx="140">
                  <c:v>0.77488781643401738</c:v>
                </c:pt>
                <c:pt idx="141">
                  <c:v>0.34231121806944209</c:v>
                </c:pt>
                <c:pt idx="142">
                  <c:v>0.22303711004873605</c:v>
                </c:pt>
                <c:pt idx="143">
                  <c:v>0.74890781392368888</c:v>
                </c:pt>
                <c:pt idx="144">
                  <c:v>2.0165120904442619</c:v>
                </c:pt>
                <c:pt idx="145">
                  <c:v>1.5169148839265081</c:v>
                </c:pt>
                <c:pt idx="146">
                  <c:v>0.63151210674854008</c:v>
                </c:pt>
                <c:pt idx="147">
                  <c:v>1.4222126188508</c:v>
                </c:pt>
                <c:pt idx="148">
                  <c:v>-0.85346390397992189</c:v>
                </c:pt>
                <c:pt idx="149">
                  <c:v>-0.58665416924442604</c:v>
                </c:pt>
                <c:pt idx="150">
                  <c:v>-0.45083812998151118</c:v>
                </c:pt>
                <c:pt idx="151">
                  <c:v>-1.0388815708978532</c:v>
                </c:pt>
                <c:pt idx="152">
                  <c:v>-0.17009025968066194</c:v>
                </c:pt>
                <c:pt idx="153">
                  <c:v>2.9647560491548042E-3</c:v>
                </c:pt>
                <c:pt idx="154">
                  <c:v>-0.19081445099353322</c:v>
                </c:pt>
                <c:pt idx="155">
                  <c:v>-0.48414216228142726</c:v>
                </c:pt>
                <c:pt idx="156">
                  <c:v>-1.4684876877358761</c:v>
                </c:pt>
                <c:pt idx="157">
                  <c:v>-0.55948823596464492</c:v>
                </c:pt>
                <c:pt idx="158">
                  <c:v>-1.7034961062862728</c:v>
                </c:pt>
                <c:pt idx="159">
                  <c:v>-1.3340082792667409</c:v>
                </c:pt>
                <c:pt idx="160">
                  <c:v>-0.17374369252594701</c:v>
                </c:pt>
                <c:pt idx="161">
                  <c:v>-0.15383585632429808</c:v>
                </c:pt>
                <c:pt idx="162">
                  <c:v>-9.4418697622485004E-2</c:v>
                </c:pt>
                <c:pt idx="163">
                  <c:v>-0.41758951411248901</c:v>
                </c:pt>
                <c:pt idx="164">
                  <c:v>3.5391422005323694</c:v>
                </c:pt>
                <c:pt idx="165">
                  <c:v>3.8014603254516723</c:v>
                </c:pt>
                <c:pt idx="166">
                  <c:v>-0.36708855616052638</c:v>
                </c:pt>
                <c:pt idx="167">
                  <c:v>1.7637946495625059</c:v>
                </c:pt>
                <c:pt idx="168">
                  <c:v>-0.62187743480216839</c:v>
                </c:pt>
                <c:pt idx="169">
                  <c:v>-0.45306326954054732</c:v>
                </c:pt>
                <c:pt idx="170">
                  <c:v>-0.46981863171250737</c:v>
                </c:pt>
                <c:pt idx="171">
                  <c:v>-0.77439182435587239</c:v>
                </c:pt>
                <c:pt idx="172">
                  <c:v>-0.49220694854774294</c:v>
                </c:pt>
                <c:pt idx="173">
                  <c:v>0.41068430201465511</c:v>
                </c:pt>
                <c:pt idx="174">
                  <c:v>-0.60915575871749095</c:v>
                </c:pt>
                <c:pt idx="175">
                  <c:v>-0.72275559772991471</c:v>
                </c:pt>
                <c:pt idx="176">
                  <c:v>0.84121405179820208</c:v>
                </c:pt>
                <c:pt idx="177">
                  <c:v>1.3359790738157751</c:v>
                </c:pt>
                <c:pt idx="178">
                  <c:v>0.73645045202355286</c:v>
                </c:pt>
                <c:pt idx="179">
                  <c:v>0.56998726219637108</c:v>
                </c:pt>
                <c:pt idx="180">
                  <c:v>0.64788894209388648</c:v>
                </c:pt>
                <c:pt idx="181">
                  <c:v>-0.60227924273788158</c:v>
                </c:pt>
                <c:pt idx="182">
                  <c:v>1.6280433106379038</c:v>
                </c:pt>
                <c:pt idx="183">
                  <c:v>2.149623075816363</c:v>
                </c:pt>
                <c:pt idx="184">
                  <c:v>1.4313467273622811</c:v>
                </c:pt>
                <c:pt idx="185">
                  <c:v>1.65373321511687</c:v>
                </c:pt>
                <c:pt idx="186">
                  <c:v>0.16648728936240431</c:v>
                </c:pt>
                <c:pt idx="187">
                  <c:v>0.94714374205589991</c:v>
                </c:pt>
                <c:pt idx="188">
                  <c:v>-1.5379932664356266</c:v>
                </c:pt>
                <c:pt idx="189">
                  <c:v>-2.96232576895608</c:v>
                </c:pt>
                <c:pt idx="190">
                  <c:v>-1.4350651524638591</c:v>
                </c:pt>
                <c:pt idx="191">
                  <c:v>-1.4958963214910126</c:v>
                </c:pt>
                <c:pt idx="192">
                  <c:v>2.3359588026966547</c:v>
                </c:pt>
                <c:pt idx="193">
                  <c:v>0.39242832347734202</c:v>
                </c:pt>
                <c:pt idx="194">
                  <c:v>0.82603710498769489</c:v>
                </c:pt>
                <c:pt idx="195">
                  <c:v>0.61415875922665375</c:v>
                </c:pt>
                <c:pt idx="196">
                  <c:v>-1.8366159871647127</c:v>
                </c:pt>
                <c:pt idx="197">
                  <c:v>-2.4463356446785758</c:v>
                </c:pt>
                <c:pt idx="198">
                  <c:v>-0.21195285203919834</c:v>
                </c:pt>
                <c:pt idx="199">
                  <c:v>-1.1247210626404764</c:v>
                </c:pt>
                <c:pt idx="200">
                  <c:v>-0.27505597868087905</c:v>
                </c:pt>
                <c:pt idx="201">
                  <c:v>-0.26942607773384397</c:v>
                </c:pt>
                <c:pt idx="202">
                  <c:v>-5.2551522415263063E-2</c:v>
                </c:pt>
                <c:pt idx="203">
                  <c:v>-0.18241471680150112</c:v>
                </c:pt>
                <c:pt idx="204">
                  <c:v>1.7363603942146351</c:v>
                </c:pt>
                <c:pt idx="205">
                  <c:v>1.432026290013092</c:v>
                </c:pt>
                <c:pt idx="206">
                  <c:v>0.42996620634170712</c:v>
                </c:pt>
                <c:pt idx="207">
                  <c:v>1.2521726761369569</c:v>
                </c:pt>
                <c:pt idx="208">
                  <c:v>5.5454419377964248E-2</c:v>
                </c:pt>
                <c:pt idx="209">
                  <c:v>-0.49398677856419337</c:v>
                </c:pt>
                <c:pt idx="210">
                  <c:v>1.1596069734324581</c:v>
                </c:pt>
                <c:pt idx="211">
                  <c:v>0.84187322906342721</c:v>
                </c:pt>
                <c:pt idx="212">
                  <c:v>0.16738745154850099</c:v>
                </c:pt>
                <c:pt idx="213">
                  <c:v>-4.1217278471559204E-3</c:v>
                </c:pt>
                <c:pt idx="214">
                  <c:v>0.27545247469052403</c:v>
                </c:pt>
                <c:pt idx="215">
                  <c:v>0.68596377940700104</c:v>
                </c:pt>
                <c:pt idx="216">
                  <c:v>0.57631554946716701</c:v>
                </c:pt>
                <c:pt idx="217">
                  <c:v>-1.3475656933011551</c:v>
                </c:pt>
                <c:pt idx="218">
                  <c:v>4.1610059157908612</c:v>
                </c:pt>
                <c:pt idx="219">
                  <c:v>2.3766670965922447</c:v>
                </c:pt>
                <c:pt idx="220">
                  <c:v>-0.26756306953106568</c:v>
                </c:pt>
                <c:pt idx="221">
                  <c:v>-0.50358721299028975</c:v>
                </c:pt>
                <c:pt idx="222">
                  <c:v>-8.4118151145665343E-2</c:v>
                </c:pt>
                <c:pt idx="223">
                  <c:v>-0.35185080229070154</c:v>
                </c:pt>
                <c:pt idx="224">
                  <c:v>0.877059487557313</c:v>
                </c:pt>
                <c:pt idx="225">
                  <c:v>0.43349115215204903</c:v>
                </c:pt>
                <c:pt idx="226">
                  <c:v>0.53893400861308405</c:v>
                </c:pt>
                <c:pt idx="227">
                  <c:v>0.45622753459714716</c:v>
                </c:pt>
                <c:pt idx="228">
                  <c:v>-4.0626120301336499E-2</c:v>
                </c:pt>
                <c:pt idx="229">
                  <c:v>-0.64960653009995739</c:v>
                </c:pt>
                <c:pt idx="230">
                  <c:v>0.6380507018262298</c:v>
                </c:pt>
                <c:pt idx="231">
                  <c:v>1.235120832270407</c:v>
                </c:pt>
                <c:pt idx="232">
                  <c:v>-0.26624808616432227</c:v>
                </c:pt>
                <c:pt idx="233">
                  <c:v>-0.3989585451423473</c:v>
                </c:pt>
                <c:pt idx="234">
                  <c:v>-1.9512226852114511E-2</c:v>
                </c:pt>
                <c:pt idx="235">
                  <c:v>0.20939697133562885</c:v>
                </c:pt>
                <c:pt idx="236">
                  <c:v>-0.35308220120580563</c:v>
                </c:pt>
                <c:pt idx="237">
                  <c:v>-0.67387334670426191</c:v>
                </c:pt>
                <c:pt idx="238">
                  <c:v>0.16956839292984849</c:v>
                </c:pt>
                <c:pt idx="239">
                  <c:v>0.37008740234464971</c:v>
                </c:pt>
                <c:pt idx="240">
                  <c:v>0.4397199192889798</c:v>
                </c:pt>
                <c:pt idx="241">
                  <c:v>0.83836493177998594</c:v>
                </c:pt>
                <c:pt idx="242">
                  <c:v>-8.2255734956584892E-2</c:v>
                </c:pt>
                <c:pt idx="243">
                  <c:v>0.23477837424939674</c:v>
                </c:pt>
                <c:pt idx="244">
                  <c:v>-0.74460636681637882</c:v>
                </c:pt>
                <c:pt idx="245">
                  <c:v>-0.5607547780382397</c:v>
                </c:pt>
                <c:pt idx="246">
                  <c:v>0.72418125285179868</c:v>
                </c:pt>
                <c:pt idx="247">
                  <c:v>-0.17606213387669556</c:v>
                </c:pt>
                <c:pt idx="248">
                  <c:v>6.3031178006735966E-2</c:v>
                </c:pt>
                <c:pt idx="249">
                  <c:v>-0.37378753748365889</c:v>
                </c:pt>
                <c:pt idx="250">
                  <c:v>0.18847413300152815</c:v>
                </c:pt>
                <c:pt idx="251">
                  <c:v>0.31295676387087734</c:v>
                </c:pt>
                <c:pt idx="252">
                  <c:v>3.7555055239175816</c:v>
                </c:pt>
                <c:pt idx="253">
                  <c:v>4.186398837203722</c:v>
                </c:pt>
                <c:pt idx="254">
                  <c:v>-2.8716445193852991</c:v>
                </c:pt>
                <c:pt idx="255">
                  <c:v>4.4019772197251861</c:v>
                </c:pt>
                <c:pt idx="256">
                  <c:v>-0.37629081703927114</c:v>
                </c:pt>
                <c:pt idx="257">
                  <c:v>-0.43658647742987933</c:v>
                </c:pt>
                <c:pt idx="258">
                  <c:v>0.30154220637721435</c:v>
                </c:pt>
                <c:pt idx="259">
                  <c:v>-3.1208783804359541E-3</c:v>
                </c:pt>
                <c:pt idx="260">
                  <c:v>1.1664057740270906E-2</c:v>
                </c:pt>
                <c:pt idx="261">
                  <c:v>9.6561946396513942E-2</c:v>
                </c:pt>
                <c:pt idx="262">
                  <c:v>-0.13369066632513404</c:v>
                </c:pt>
                <c:pt idx="263">
                  <c:v>0.28046899053471286</c:v>
                </c:pt>
                <c:pt idx="264">
                  <c:v>-6.8744074650670672E-3</c:v>
                </c:pt>
                <c:pt idx="265">
                  <c:v>-3.1093439656520117E-2</c:v>
                </c:pt>
                <c:pt idx="266">
                  <c:v>-5.4520243395466128E-2</c:v>
                </c:pt>
                <c:pt idx="267">
                  <c:v>9.3612324681175973E-2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A5A-46DD-AA8A-451154B165AD}"/>
            </c:ext>
          </c:extLst>
        </c:ser>
        <c:ser>
          <c:idx val="1"/>
          <c:order val="1"/>
          <c:tx>
            <c:v>Above median (National vs. semiconductor index correlation &gt; 0.6918)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2CA02C"/>
              </a:solidFill>
              <a:ln>
                <a:solidFill>
                  <a:srgbClr val="2CA02C"/>
                </a:solidFill>
                <a:prstDash val="solid"/>
              </a:ln>
            </c:spPr>
          </c:marker>
          <c:xVal>
            <c:numRef>
              <c:f>data_cluster_stock_corr!$D$290:$D$573</c:f>
              <c:numCache>
                <c:formatCode>General</c:formatCode>
                <c:ptCount val="284"/>
                <c:pt idx="0">
                  <c:v>2011</c:v>
                </c:pt>
                <c:pt idx="1">
                  <c:v>2011</c:v>
                </c:pt>
                <c:pt idx="2">
                  <c:v>2011</c:v>
                </c:pt>
                <c:pt idx="3">
                  <c:v>2011</c:v>
                </c:pt>
                <c:pt idx="4">
                  <c:v>2011</c:v>
                </c:pt>
                <c:pt idx="5">
                  <c:v>2011</c:v>
                </c:pt>
                <c:pt idx="6">
                  <c:v>2011</c:v>
                </c:pt>
                <c:pt idx="7">
                  <c:v>2011</c:v>
                </c:pt>
                <c:pt idx="8">
                  <c:v>2011</c:v>
                </c:pt>
                <c:pt idx="9">
                  <c:v>2011</c:v>
                </c:pt>
                <c:pt idx="10">
                  <c:v>2011</c:v>
                </c:pt>
                <c:pt idx="11">
                  <c:v>2011</c:v>
                </c:pt>
                <c:pt idx="12">
                  <c:v>2012</c:v>
                </c:pt>
                <c:pt idx="13">
                  <c:v>2012</c:v>
                </c:pt>
                <c:pt idx="14">
                  <c:v>2012</c:v>
                </c:pt>
                <c:pt idx="15">
                  <c:v>2012</c:v>
                </c:pt>
                <c:pt idx="16">
                  <c:v>2012</c:v>
                </c:pt>
                <c:pt idx="17">
                  <c:v>2012</c:v>
                </c:pt>
                <c:pt idx="18">
                  <c:v>2012</c:v>
                </c:pt>
                <c:pt idx="19">
                  <c:v>2012</c:v>
                </c:pt>
                <c:pt idx="20">
                  <c:v>2012</c:v>
                </c:pt>
                <c:pt idx="21">
                  <c:v>2012</c:v>
                </c:pt>
                <c:pt idx="22">
                  <c:v>2012</c:v>
                </c:pt>
                <c:pt idx="23">
                  <c:v>2012</c:v>
                </c:pt>
                <c:pt idx="24">
                  <c:v>2012</c:v>
                </c:pt>
                <c:pt idx="25">
                  <c:v>2012</c:v>
                </c:pt>
                <c:pt idx="26">
                  <c:v>2012</c:v>
                </c:pt>
                <c:pt idx="27">
                  <c:v>2012</c:v>
                </c:pt>
                <c:pt idx="28">
                  <c:v>2012</c:v>
                </c:pt>
                <c:pt idx="29">
                  <c:v>2012</c:v>
                </c:pt>
                <c:pt idx="30">
                  <c:v>2012</c:v>
                </c:pt>
                <c:pt idx="31">
                  <c:v>2012</c:v>
                </c:pt>
                <c:pt idx="32">
                  <c:v>2012</c:v>
                </c:pt>
                <c:pt idx="33">
                  <c:v>2012</c:v>
                </c:pt>
                <c:pt idx="34">
                  <c:v>2012</c:v>
                </c:pt>
                <c:pt idx="35">
                  <c:v>2012</c:v>
                </c:pt>
                <c:pt idx="36">
                  <c:v>2012</c:v>
                </c:pt>
                <c:pt idx="37">
                  <c:v>2012</c:v>
                </c:pt>
                <c:pt idx="38">
                  <c:v>2012</c:v>
                </c:pt>
                <c:pt idx="39">
                  <c:v>2012</c:v>
                </c:pt>
                <c:pt idx="40">
                  <c:v>2013</c:v>
                </c:pt>
                <c:pt idx="41">
                  <c:v>2013</c:v>
                </c:pt>
                <c:pt idx="42">
                  <c:v>2013</c:v>
                </c:pt>
                <c:pt idx="43">
                  <c:v>2013</c:v>
                </c:pt>
                <c:pt idx="44">
                  <c:v>2013</c:v>
                </c:pt>
                <c:pt idx="45">
                  <c:v>2013</c:v>
                </c:pt>
                <c:pt idx="46">
                  <c:v>2013</c:v>
                </c:pt>
                <c:pt idx="47">
                  <c:v>2013</c:v>
                </c:pt>
                <c:pt idx="48">
                  <c:v>2013</c:v>
                </c:pt>
                <c:pt idx="49">
                  <c:v>2013</c:v>
                </c:pt>
                <c:pt idx="50">
                  <c:v>2013</c:v>
                </c:pt>
                <c:pt idx="51">
                  <c:v>2013</c:v>
                </c:pt>
                <c:pt idx="52">
                  <c:v>2013</c:v>
                </c:pt>
                <c:pt idx="53">
                  <c:v>2013</c:v>
                </c:pt>
                <c:pt idx="54">
                  <c:v>2013</c:v>
                </c:pt>
                <c:pt idx="55">
                  <c:v>2013</c:v>
                </c:pt>
                <c:pt idx="56">
                  <c:v>2017</c:v>
                </c:pt>
                <c:pt idx="57">
                  <c:v>2017</c:v>
                </c:pt>
                <c:pt idx="58">
                  <c:v>2017</c:v>
                </c:pt>
                <c:pt idx="59">
                  <c:v>2017</c:v>
                </c:pt>
                <c:pt idx="60">
                  <c:v>2017</c:v>
                </c:pt>
                <c:pt idx="61">
                  <c:v>2017</c:v>
                </c:pt>
                <c:pt idx="62">
                  <c:v>2017</c:v>
                </c:pt>
                <c:pt idx="63">
                  <c:v>2017</c:v>
                </c:pt>
                <c:pt idx="64">
                  <c:v>2017</c:v>
                </c:pt>
                <c:pt idx="65">
                  <c:v>2017</c:v>
                </c:pt>
                <c:pt idx="66">
                  <c:v>2017</c:v>
                </c:pt>
                <c:pt idx="67">
                  <c:v>2017</c:v>
                </c:pt>
                <c:pt idx="68">
                  <c:v>2017</c:v>
                </c:pt>
                <c:pt idx="69">
                  <c:v>2017</c:v>
                </c:pt>
                <c:pt idx="70">
                  <c:v>2017</c:v>
                </c:pt>
                <c:pt idx="71">
                  <c:v>2017</c:v>
                </c:pt>
                <c:pt idx="72">
                  <c:v>2017</c:v>
                </c:pt>
                <c:pt idx="73">
                  <c:v>2017</c:v>
                </c:pt>
                <c:pt idx="74">
                  <c:v>2017</c:v>
                </c:pt>
                <c:pt idx="75">
                  <c:v>2017</c:v>
                </c:pt>
                <c:pt idx="76">
                  <c:v>2017</c:v>
                </c:pt>
                <c:pt idx="77">
                  <c:v>2017</c:v>
                </c:pt>
                <c:pt idx="78">
                  <c:v>2017</c:v>
                </c:pt>
                <c:pt idx="79">
                  <c:v>2017</c:v>
                </c:pt>
                <c:pt idx="80">
                  <c:v>2017</c:v>
                </c:pt>
                <c:pt idx="81">
                  <c:v>2017</c:v>
                </c:pt>
                <c:pt idx="82">
                  <c:v>2017</c:v>
                </c:pt>
                <c:pt idx="83">
                  <c:v>2017</c:v>
                </c:pt>
                <c:pt idx="84">
                  <c:v>2018</c:v>
                </c:pt>
                <c:pt idx="85">
                  <c:v>2018</c:v>
                </c:pt>
                <c:pt idx="86">
                  <c:v>2018</c:v>
                </c:pt>
                <c:pt idx="87">
                  <c:v>2018</c:v>
                </c:pt>
                <c:pt idx="88">
                  <c:v>2018</c:v>
                </c:pt>
                <c:pt idx="89">
                  <c:v>2018</c:v>
                </c:pt>
                <c:pt idx="90">
                  <c:v>2018</c:v>
                </c:pt>
                <c:pt idx="91">
                  <c:v>2018</c:v>
                </c:pt>
                <c:pt idx="92">
                  <c:v>2019</c:v>
                </c:pt>
                <c:pt idx="93">
                  <c:v>2019</c:v>
                </c:pt>
                <c:pt idx="94">
                  <c:v>2019</c:v>
                </c:pt>
                <c:pt idx="95">
                  <c:v>2019</c:v>
                </c:pt>
                <c:pt idx="96">
                  <c:v>2019</c:v>
                </c:pt>
                <c:pt idx="97">
                  <c:v>2019</c:v>
                </c:pt>
                <c:pt idx="98">
                  <c:v>2019</c:v>
                </c:pt>
                <c:pt idx="99">
                  <c:v>2019</c:v>
                </c:pt>
                <c:pt idx="100">
                  <c:v>2019</c:v>
                </c:pt>
                <c:pt idx="101">
                  <c:v>2019</c:v>
                </c:pt>
                <c:pt idx="102">
                  <c:v>2019</c:v>
                </c:pt>
                <c:pt idx="103">
                  <c:v>2019</c:v>
                </c:pt>
                <c:pt idx="104">
                  <c:v>2019</c:v>
                </c:pt>
                <c:pt idx="105">
                  <c:v>2019</c:v>
                </c:pt>
                <c:pt idx="106">
                  <c:v>2019</c:v>
                </c:pt>
                <c:pt idx="107">
                  <c:v>2019</c:v>
                </c:pt>
                <c:pt idx="108">
                  <c:v>2019</c:v>
                </c:pt>
                <c:pt idx="109">
                  <c:v>2019</c:v>
                </c:pt>
                <c:pt idx="110">
                  <c:v>2019</c:v>
                </c:pt>
                <c:pt idx="111">
                  <c:v>2019</c:v>
                </c:pt>
                <c:pt idx="112">
                  <c:v>2019</c:v>
                </c:pt>
                <c:pt idx="113">
                  <c:v>2019</c:v>
                </c:pt>
                <c:pt idx="114">
                  <c:v>2019</c:v>
                </c:pt>
                <c:pt idx="115">
                  <c:v>2019</c:v>
                </c:pt>
                <c:pt idx="116">
                  <c:v>2019</c:v>
                </c:pt>
                <c:pt idx="117">
                  <c:v>2019</c:v>
                </c:pt>
                <c:pt idx="118">
                  <c:v>2019</c:v>
                </c:pt>
                <c:pt idx="119">
                  <c:v>2019</c:v>
                </c:pt>
                <c:pt idx="120">
                  <c:v>2019</c:v>
                </c:pt>
                <c:pt idx="121">
                  <c:v>2019</c:v>
                </c:pt>
                <c:pt idx="122">
                  <c:v>2019</c:v>
                </c:pt>
                <c:pt idx="123">
                  <c:v>2019</c:v>
                </c:pt>
                <c:pt idx="124">
                  <c:v>2019</c:v>
                </c:pt>
                <c:pt idx="125">
                  <c:v>2019</c:v>
                </c:pt>
                <c:pt idx="126">
                  <c:v>2019</c:v>
                </c:pt>
                <c:pt idx="127">
                  <c:v>2019</c:v>
                </c:pt>
                <c:pt idx="128">
                  <c:v>2019</c:v>
                </c:pt>
                <c:pt idx="129">
                  <c:v>2019</c:v>
                </c:pt>
                <c:pt idx="130">
                  <c:v>2019</c:v>
                </c:pt>
                <c:pt idx="131">
                  <c:v>2019</c:v>
                </c:pt>
                <c:pt idx="132">
                  <c:v>2020</c:v>
                </c:pt>
                <c:pt idx="133">
                  <c:v>2020</c:v>
                </c:pt>
                <c:pt idx="134">
                  <c:v>2020</c:v>
                </c:pt>
                <c:pt idx="135">
                  <c:v>2020</c:v>
                </c:pt>
                <c:pt idx="136">
                  <c:v>2020</c:v>
                </c:pt>
                <c:pt idx="137">
                  <c:v>2020</c:v>
                </c:pt>
                <c:pt idx="138">
                  <c:v>2020</c:v>
                </c:pt>
                <c:pt idx="139">
                  <c:v>2020</c:v>
                </c:pt>
                <c:pt idx="140">
                  <c:v>2020</c:v>
                </c:pt>
                <c:pt idx="141">
                  <c:v>2020</c:v>
                </c:pt>
                <c:pt idx="142">
                  <c:v>2020</c:v>
                </c:pt>
                <c:pt idx="143">
                  <c:v>2020</c:v>
                </c:pt>
                <c:pt idx="144">
                  <c:v>2020</c:v>
                </c:pt>
                <c:pt idx="145">
                  <c:v>2020</c:v>
                </c:pt>
                <c:pt idx="146">
                  <c:v>2020</c:v>
                </c:pt>
                <c:pt idx="147">
                  <c:v>2020</c:v>
                </c:pt>
                <c:pt idx="148">
                  <c:v>2020</c:v>
                </c:pt>
                <c:pt idx="149">
                  <c:v>2020</c:v>
                </c:pt>
                <c:pt idx="150">
                  <c:v>2020</c:v>
                </c:pt>
                <c:pt idx="151">
                  <c:v>2020</c:v>
                </c:pt>
                <c:pt idx="152">
                  <c:v>2020</c:v>
                </c:pt>
                <c:pt idx="153">
                  <c:v>2020</c:v>
                </c:pt>
                <c:pt idx="154">
                  <c:v>2020</c:v>
                </c:pt>
                <c:pt idx="155">
                  <c:v>2020</c:v>
                </c:pt>
                <c:pt idx="156">
                  <c:v>2020</c:v>
                </c:pt>
                <c:pt idx="157">
                  <c:v>2020</c:v>
                </c:pt>
                <c:pt idx="158">
                  <c:v>2020</c:v>
                </c:pt>
                <c:pt idx="159">
                  <c:v>2020</c:v>
                </c:pt>
                <c:pt idx="160">
                  <c:v>2020</c:v>
                </c:pt>
                <c:pt idx="161">
                  <c:v>2020</c:v>
                </c:pt>
                <c:pt idx="162">
                  <c:v>2020</c:v>
                </c:pt>
                <c:pt idx="163">
                  <c:v>2020</c:v>
                </c:pt>
                <c:pt idx="164">
                  <c:v>2020</c:v>
                </c:pt>
                <c:pt idx="165">
                  <c:v>2020</c:v>
                </c:pt>
                <c:pt idx="166">
                  <c:v>2020</c:v>
                </c:pt>
                <c:pt idx="167">
                  <c:v>2020</c:v>
                </c:pt>
                <c:pt idx="168">
                  <c:v>2020</c:v>
                </c:pt>
                <c:pt idx="169">
                  <c:v>2020</c:v>
                </c:pt>
                <c:pt idx="170">
                  <c:v>2020</c:v>
                </c:pt>
                <c:pt idx="171">
                  <c:v>2020</c:v>
                </c:pt>
                <c:pt idx="172">
                  <c:v>2021</c:v>
                </c:pt>
                <c:pt idx="173">
                  <c:v>2021</c:v>
                </c:pt>
                <c:pt idx="174">
                  <c:v>2021</c:v>
                </c:pt>
                <c:pt idx="175">
                  <c:v>2021</c:v>
                </c:pt>
                <c:pt idx="176">
                  <c:v>2021</c:v>
                </c:pt>
                <c:pt idx="177">
                  <c:v>2021</c:v>
                </c:pt>
                <c:pt idx="178">
                  <c:v>2021</c:v>
                </c:pt>
                <c:pt idx="179">
                  <c:v>2021</c:v>
                </c:pt>
                <c:pt idx="180">
                  <c:v>2021</c:v>
                </c:pt>
                <c:pt idx="181">
                  <c:v>2021</c:v>
                </c:pt>
                <c:pt idx="182">
                  <c:v>2021</c:v>
                </c:pt>
                <c:pt idx="183">
                  <c:v>2021</c:v>
                </c:pt>
                <c:pt idx="184">
                  <c:v>2021</c:v>
                </c:pt>
                <c:pt idx="185">
                  <c:v>2021</c:v>
                </c:pt>
                <c:pt idx="186">
                  <c:v>2021</c:v>
                </c:pt>
                <c:pt idx="187">
                  <c:v>2021</c:v>
                </c:pt>
                <c:pt idx="188">
                  <c:v>2021</c:v>
                </c:pt>
                <c:pt idx="189">
                  <c:v>2021</c:v>
                </c:pt>
                <c:pt idx="190">
                  <c:v>2021</c:v>
                </c:pt>
                <c:pt idx="191">
                  <c:v>2021</c:v>
                </c:pt>
                <c:pt idx="192">
                  <c:v>2021</c:v>
                </c:pt>
                <c:pt idx="193">
                  <c:v>2021</c:v>
                </c:pt>
                <c:pt idx="194">
                  <c:v>2021</c:v>
                </c:pt>
                <c:pt idx="195">
                  <c:v>2021</c:v>
                </c:pt>
                <c:pt idx="196">
                  <c:v>2021</c:v>
                </c:pt>
                <c:pt idx="197">
                  <c:v>2021</c:v>
                </c:pt>
                <c:pt idx="198">
                  <c:v>2021</c:v>
                </c:pt>
                <c:pt idx="199">
                  <c:v>2021</c:v>
                </c:pt>
                <c:pt idx="200">
                  <c:v>2021</c:v>
                </c:pt>
                <c:pt idx="201">
                  <c:v>2021</c:v>
                </c:pt>
                <c:pt idx="202">
                  <c:v>2021</c:v>
                </c:pt>
                <c:pt idx="203">
                  <c:v>2021</c:v>
                </c:pt>
                <c:pt idx="204">
                  <c:v>2021</c:v>
                </c:pt>
                <c:pt idx="205">
                  <c:v>2021</c:v>
                </c:pt>
                <c:pt idx="206">
                  <c:v>2021</c:v>
                </c:pt>
                <c:pt idx="207">
                  <c:v>2021</c:v>
                </c:pt>
                <c:pt idx="208">
                  <c:v>2021</c:v>
                </c:pt>
                <c:pt idx="209">
                  <c:v>2021</c:v>
                </c:pt>
                <c:pt idx="210">
                  <c:v>2021</c:v>
                </c:pt>
                <c:pt idx="211">
                  <c:v>2021</c:v>
                </c:pt>
                <c:pt idx="212">
                  <c:v>2022</c:v>
                </c:pt>
                <c:pt idx="213">
                  <c:v>2022</c:v>
                </c:pt>
                <c:pt idx="214">
                  <c:v>2022</c:v>
                </c:pt>
                <c:pt idx="215">
                  <c:v>2022</c:v>
                </c:pt>
                <c:pt idx="216">
                  <c:v>2022</c:v>
                </c:pt>
                <c:pt idx="217">
                  <c:v>2022</c:v>
                </c:pt>
                <c:pt idx="218">
                  <c:v>2022</c:v>
                </c:pt>
                <c:pt idx="219">
                  <c:v>2022</c:v>
                </c:pt>
                <c:pt idx="220">
                  <c:v>2022</c:v>
                </c:pt>
                <c:pt idx="221">
                  <c:v>2022</c:v>
                </c:pt>
                <c:pt idx="222">
                  <c:v>2022</c:v>
                </c:pt>
                <c:pt idx="223">
                  <c:v>2022</c:v>
                </c:pt>
                <c:pt idx="224">
                  <c:v>2022</c:v>
                </c:pt>
                <c:pt idx="225">
                  <c:v>2022</c:v>
                </c:pt>
                <c:pt idx="226">
                  <c:v>2022</c:v>
                </c:pt>
                <c:pt idx="227">
                  <c:v>2022</c:v>
                </c:pt>
                <c:pt idx="228">
                  <c:v>2022</c:v>
                </c:pt>
                <c:pt idx="229">
                  <c:v>2022</c:v>
                </c:pt>
                <c:pt idx="230">
                  <c:v>2022</c:v>
                </c:pt>
                <c:pt idx="231">
                  <c:v>2022</c:v>
                </c:pt>
                <c:pt idx="232">
                  <c:v>2022</c:v>
                </c:pt>
                <c:pt idx="233">
                  <c:v>2022</c:v>
                </c:pt>
                <c:pt idx="234">
                  <c:v>2022</c:v>
                </c:pt>
                <c:pt idx="235">
                  <c:v>2022</c:v>
                </c:pt>
                <c:pt idx="236">
                  <c:v>2022</c:v>
                </c:pt>
                <c:pt idx="237">
                  <c:v>2022</c:v>
                </c:pt>
                <c:pt idx="238">
                  <c:v>2022</c:v>
                </c:pt>
                <c:pt idx="239">
                  <c:v>2022</c:v>
                </c:pt>
                <c:pt idx="240">
                  <c:v>2022</c:v>
                </c:pt>
                <c:pt idx="241">
                  <c:v>2022</c:v>
                </c:pt>
                <c:pt idx="242">
                  <c:v>2022</c:v>
                </c:pt>
                <c:pt idx="243">
                  <c:v>2022</c:v>
                </c:pt>
                <c:pt idx="244">
                  <c:v>2023</c:v>
                </c:pt>
                <c:pt idx="245">
                  <c:v>2023</c:v>
                </c:pt>
                <c:pt idx="246">
                  <c:v>2023</c:v>
                </c:pt>
                <c:pt idx="247">
                  <c:v>2023</c:v>
                </c:pt>
                <c:pt idx="248">
                  <c:v>2023</c:v>
                </c:pt>
                <c:pt idx="249">
                  <c:v>2023</c:v>
                </c:pt>
                <c:pt idx="250">
                  <c:v>2023</c:v>
                </c:pt>
                <c:pt idx="251">
                  <c:v>2023</c:v>
                </c:pt>
                <c:pt idx="252">
                  <c:v>2023</c:v>
                </c:pt>
                <c:pt idx="253">
                  <c:v>2023</c:v>
                </c:pt>
                <c:pt idx="254">
                  <c:v>2023</c:v>
                </c:pt>
                <c:pt idx="255">
                  <c:v>2023</c:v>
                </c:pt>
                <c:pt idx="256">
                  <c:v>2023</c:v>
                </c:pt>
                <c:pt idx="257">
                  <c:v>2023</c:v>
                </c:pt>
                <c:pt idx="258">
                  <c:v>2023</c:v>
                </c:pt>
                <c:pt idx="259">
                  <c:v>2023</c:v>
                </c:pt>
                <c:pt idx="260">
                  <c:v>2023</c:v>
                </c:pt>
                <c:pt idx="261">
                  <c:v>2023</c:v>
                </c:pt>
                <c:pt idx="262">
                  <c:v>2023</c:v>
                </c:pt>
                <c:pt idx="263">
                  <c:v>2023</c:v>
                </c:pt>
                <c:pt idx="264">
                  <c:v>2023</c:v>
                </c:pt>
                <c:pt idx="265">
                  <c:v>2023</c:v>
                </c:pt>
                <c:pt idx="266">
                  <c:v>2023</c:v>
                </c:pt>
                <c:pt idx="267">
                  <c:v>2023</c:v>
                </c:pt>
                <c:pt idx="268">
                  <c:v>2023</c:v>
                </c:pt>
                <c:pt idx="269">
                  <c:v>2023</c:v>
                </c:pt>
                <c:pt idx="270">
                  <c:v>2023</c:v>
                </c:pt>
                <c:pt idx="271">
                  <c:v>2023</c:v>
                </c:pt>
                <c:pt idx="272">
                  <c:v>2023</c:v>
                </c:pt>
                <c:pt idx="273">
                  <c:v>2023</c:v>
                </c:pt>
                <c:pt idx="274">
                  <c:v>2023</c:v>
                </c:pt>
                <c:pt idx="275">
                  <c:v>2023</c:v>
                </c:pt>
                <c:pt idx="276">
                  <c:v>2024</c:v>
                </c:pt>
                <c:pt idx="277">
                  <c:v>2024</c:v>
                </c:pt>
                <c:pt idx="278">
                  <c:v>2024</c:v>
                </c:pt>
                <c:pt idx="279">
                  <c:v>2024</c:v>
                </c:pt>
                <c:pt idx="280">
                  <c:v>2024</c:v>
                </c:pt>
                <c:pt idx="281">
                  <c:v>2024</c:v>
                </c:pt>
                <c:pt idx="282">
                  <c:v>2024</c:v>
                </c:pt>
                <c:pt idx="283">
                  <c:v>2024</c:v>
                </c:pt>
              </c:numCache>
            </c:numRef>
          </c:xVal>
          <c:yVal>
            <c:numRef>
              <c:f>data_cluster_stock_corr!$G$290:$G$573</c:f>
              <c:numCache>
                <c:formatCode>General</c:formatCode>
                <c:ptCount val="284"/>
                <c:pt idx="0">
                  <c:v>9.2616002622778915E-2</c:v>
                </c:pt>
                <c:pt idx="1">
                  <c:v>0.61454835947600683</c:v>
                </c:pt>
                <c:pt idx="2">
                  <c:v>-0.26564230957886825</c:v>
                </c:pt>
                <c:pt idx="3">
                  <c:v>-0.44393497951385608</c:v>
                </c:pt>
                <c:pt idx="4">
                  <c:v>0.89939483995655589</c:v>
                </c:pt>
                <c:pt idx="5">
                  <c:v>1.1808560325801118</c:v>
                </c:pt>
                <c:pt idx="6">
                  <c:v>0.83612488664531526</c:v>
                </c:pt>
                <c:pt idx="7">
                  <c:v>0.67997235008080126</c:v>
                </c:pt>
                <c:pt idx="8">
                  <c:v>0.31332096396137299</c:v>
                </c:pt>
                <c:pt idx="9">
                  <c:v>-0.10643235308456145</c:v>
                </c:pt>
                <c:pt idx="10">
                  <c:v>-4.4869424188079154E-2</c:v>
                </c:pt>
                <c:pt idx="11">
                  <c:v>-0.16273935738707901</c:v>
                </c:pt>
                <c:pt idx="12">
                  <c:v>-0.18521246864232244</c:v>
                </c:pt>
                <c:pt idx="13">
                  <c:v>-1.2637784803558223</c:v>
                </c:pt>
                <c:pt idx="14">
                  <c:v>-5.2795841261839671E-2</c:v>
                </c:pt>
                <c:pt idx="15">
                  <c:v>-3.9450123525116121E-2</c:v>
                </c:pt>
                <c:pt idx="16">
                  <c:v>-0.73190998834913579</c:v>
                </c:pt>
                <c:pt idx="17">
                  <c:v>-1.9946331412953566</c:v>
                </c:pt>
                <c:pt idx="18">
                  <c:v>0.41662877211910709</c:v>
                </c:pt>
                <c:pt idx="19">
                  <c:v>0.23384031312051204</c:v>
                </c:pt>
                <c:pt idx="20">
                  <c:v>-5.4029254337575217E-2</c:v>
                </c:pt>
                <c:pt idx="21">
                  <c:v>-1.2429766151063308</c:v>
                </c:pt>
                <c:pt idx="22">
                  <c:v>-0.12697692728141019</c:v>
                </c:pt>
                <c:pt idx="23">
                  <c:v>2.1276684188162975E-2</c:v>
                </c:pt>
                <c:pt idx="24">
                  <c:v>-0.32472647373697416</c:v>
                </c:pt>
                <c:pt idx="25">
                  <c:v>-1.8139364015399</c:v>
                </c:pt>
                <c:pt idx="26">
                  <c:v>3.5343935314330999E-2</c:v>
                </c:pt>
                <c:pt idx="27">
                  <c:v>-0.24613356157585023</c:v>
                </c:pt>
                <c:pt idx="28">
                  <c:v>-1.6280635865737629</c:v>
                </c:pt>
                <c:pt idx="29">
                  <c:v>-2.453635222613276</c:v>
                </c:pt>
                <c:pt idx="30">
                  <c:v>-0.96922525562108064</c:v>
                </c:pt>
                <c:pt idx="31">
                  <c:v>-1.0724333951104441</c:v>
                </c:pt>
                <c:pt idx="32">
                  <c:v>-3.283682876216877</c:v>
                </c:pt>
                <c:pt idx="33">
                  <c:v>-4.5415254167541681</c:v>
                </c:pt>
                <c:pt idx="34">
                  <c:v>-0.93975532690563535</c:v>
                </c:pt>
                <c:pt idx="35">
                  <c:v>-1.8199453612782872</c:v>
                </c:pt>
                <c:pt idx="36">
                  <c:v>-1.4862389038890746</c:v>
                </c:pt>
                <c:pt idx="37">
                  <c:v>-2.6486668808434137</c:v>
                </c:pt>
                <c:pt idx="38">
                  <c:v>-0.70761224838733949</c:v>
                </c:pt>
                <c:pt idx="39">
                  <c:v>-0.10024508264757004</c:v>
                </c:pt>
                <c:pt idx="40">
                  <c:v>-0.43518371560798574</c:v>
                </c:pt>
                <c:pt idx="41">
                  <c:v>-0.93831791482202453</c:v>
                </c:pt>
                <c:pt idx="42">
                  <c:v>0.1631824151071698</c:v>
                </c:pt>
                <c:pt idx="43">
                  <c:v>0.26279764266585015</c:v>
                </c:pt>
                <c:pt idx="44">
                  <c:v>-0.2668114338305837</c:v>
                </c:pt>
                <c:pt idx="45">
                  <c:v>-1.1036026474346108</c:v>
                </c:pt>
                <c:pt idx="46">
                  <c:v>0.10607414917842456</c:v>
                </c:pt>
                <c:pt idx="47">
                  <c:v>0.19098522298304116</c:v>
                </c:pt>
                <c:pt idx="48">
                  <c:v>0.54586999163456773</c:v>
                </c:pt>
                <c:pt idx="49">
                  <c:v>-0.41064631977665855</c:v>
                </c:pt>
                <c:pt idx="50">
                  <c:v>0.70642650900507031</c:v>
                </c:pt>
                <c:pt idx="51">
                  <c:v>1.0226418522737479</c:v>
                </c:pt>
                <c:pt idx="52">
                  <c:v>1.205057100905597</c:v>
                </c:pt>
                <c:pt idx="53">
                  <c:v>0.35473491447531091</c:v>
                </c:pt>
                <c:pt idx="54">
                  <c:v>1.9567787515864445</c:v>
                </c:pt>
                <c:pt idx="55">
                  <c:v>1.190812142791823</c:v>
                </c:pt>
                <c:pt idx="56">
                  <c:v>0.78616412906575106</c:v>
                </c:pt>
                <c:pt idx="57">
                  <c:v>0.74103491771630314</c:v>
                </c:pt>
                <c:pt idx="58">
                  <c:v>-0.20364537794406878</c:v>
                </c:pt>
                <c:pt idx="59">
                  <c:v>0.63932081158630116</c:v>
                </c:pt>
                <c:pt idx="60">
                  <c:v>0.1507797162184652</c:v>
                </c:pt>
                <c:pt idx="61">
                  <c:v>-0.10249939779924788</c:v>
                </c:pt>
                <c:pt idx="62">
                  <c:v>-0.26884506369373296</c:v>
                </c:pt>
                <c:pt idx="63">
                  <c:v>-7.9783867035730927E-2</c:v>
                </c:pt>
                <c:pt idx="64">
                  <c:v>1.6647192282288961</c:v>
                </c:pt>
                <c:pt idx="65">
                  <c:v>1.5726056100512928</c:v>
                </c:pt>
                <c:pt idx="66">
                  <c:v>0.98726553765954383</c:v>
                </c:pt>
                <c:pt idx="67">
                  <c:v>1.4979471361736059</c:v>
                </c:pt>
                <c:pt idx="68">
                  <c:v>0.59955818573028896</c:v>
                </c:pt>
                <c:pt idx="69">
                  <c:v>0.35000728826492189</c:v>
                </c:pt>
                <c:pt idx="70">
                  <c:v>-0.21335805850076506</c:v>
                </c:pt>
                <c:pt idx="71">
                  <c:v>9.1706447057128937E-2</c:v>
                </c:pt>
                <c:pt idx="72">
                  <c:v>2.4720940007392684</c:v>
                </c:pt>
                <c:pt idx="73">
                  <c:v>2.5243960048727772</c:v>
                </c:pt>
                <c:pt idx="74">
                  <c:v>-4.9051166356071096E-2</c:v>
                </c:pt>
                <c:pt idx="75">
                  <c:v>1.9527316757675739</c:v>
                </c:pt>
                <c:pt idx="76">
                  <c:v>0.88730828907390391</c:v>
                </c:pt>
                <c:pt idx="77">
                  <c:v>0.55799583927453589</c:v>
                </c:pt>
                <c:pt idx="78">
                  <c:v>0.63331091710201193</c:v>
                </c:pt>
                <c:pt idx="79">
                  <c:v>0.89053149409434584</c:v>
                </c:pt>
                <c:pt idx="80">
                  <c:v>1.0914375503477329</c:v>
                </c:pt>
                <c:pt idx="81">
                  <c:v>0.77378648218358492</c:v>
                </c:pt>
                <c:pt idx="82">
                  <c:v>-0.46496850488224206</c:v>
                </c:pt>
                <c:pt idx="83">
                  <c:v>0.63236498765517979</c:v>
                </c:pt>
                <c:pt idx="84">
                  <c:v>-3.0890495413360419E-2</c:v>
                </c:pt>
                <c:pt idx="85">
                  <c:v>0.70436184472490981</c:v>
                </c:pt>
                <c:pt idx="86">
                  <c:v>-0.37845503404507719</c:v>
                </c:pt>
                <c:pt idx="87">
                  <c:v>-0.44071774143137299</c:v>
                </c:pt>
                <c:pt idx="88">
                  <c:v>5.8211280770205098E-2</c:v>
                </c:pt>
                <c:pt idx="89">
                  <c:v>0.17749745265910399</c:v>
                </c:pt>
                <c:pt idx="90">
                  <c:v>0.32816631924187512</c:v>
                </c:pt>
                <c:pt idx="91">
                  <c:v>5.2215939373469133E-2</c:v>
                </c:pt>
                <c:pt idx="92">
                  <c:v>-0.27128455696010012</c:v>
                </c:pt>
                <c:pt idx="93">
                  <c:v>-0.47297799177851707</c:v>
                </c:pt>
                <c:pt idx="94">
                  <c:v>0.1374653705052129</c:v>
                </c:pt>
                <c:pt idx="95">
                  <c:v>0.162437419674061</c:v>
                </c:pt>
                <c:pt idx="96">
                  <c:v>0.8982846201541661</c:v>
                </c:pt>
                <c:pt idx="97">
                  <c:v>0.68058495597650426</c:v>
                </c:pt>
                <c:pt idx="98">
                  <c:v>1.2770204459163441</c:v>
                </c:pt>
                <c:pt idx="99">
                  <c:v>1.1871434535654872</c:v>
                </c:pt>
                <c:pt idx="100">
                  <c:v>-0.72683828897076608</c:v>
                </c:pt>
                <c:pt idx="101">
                  <c:v>-0.93999679709258999</c:v>
                </c:pt>
                <c:pt idx="102">
                  <c:v>0.67371743677701046</c:v>
                </c:pt>
                <c:pt idx="103">
                  <c:v>0.56661972983481634</c:v>
                </c:pt>
                <c:pt idx="104">
                  <c:v>-0.21306976831362023</c:v>
                </c:pt>
                <c:pt idx="105">
                  <c:v>-0.41366958696250311</c:v>
                </c:pt>
                <c:pt idx="106">
                  <c:v>7.2237730363746921E-2</c:v>
                </c:pt>
                <c:pt idx="107">
                  <c:v>-0.15364893942900526</c:v>
                </c:pt>
                <c:pt idx="108">
                  <c:v>-0.8335748506428422</c:v>
                </c:pt>
                <c:pt idx="109">
                  <c:v>-0.9295559719103379</c:v>
                </c:pt>
                <c:pt idx="110">
                  <c:v>-1.4110869060006026E-2</c:v>
                </c:pt>
                <c:pt idx="111">
                  <c:v>-0.29784066310397006</c:v>
                </c:pt>
                <c:pt idx="112">
                  <c:v>0.4384166790122872</c:v>
                </c:pt>
                <c:pt idx="113">
                  <c:v>0.24168578243425221</c:v>
                </c:pt>
                <c:pt idx="114">
                  <c:v>0.79261069491608427</c:v>
                </c:pt>
                <c:pt idx="115">
                  <c:v>0.74602981041785821</c:v>
                </c:pt>
                <c:pt idx="116">
                  <c:v>0.2937881326285563</c:v>
                </c:pt>
                <c:pt idx="117">
                  <c:v>0.76508940488487553</c:v>
                </c:pt>
                <c:pt idx="118">
                  <c:v>-0.81182975289263659</c:v>
                </c:pt>
                <c:pt idx="119">
                  <c:v>1.0641944495974975</c:v>
                </c:pt>
                <c:pt idx="120">
                  <c:v>-0.73330529565166769</c:v>
                </c:pt>
                <c:pt idx="121">
                  <c:v>-0.79138299663360767</c:v>
                </c:pt>
                <c:pt idx="122">
                  <c:v>0.31282812569793611</c:v>
                </c:pt>
                <c:pt idx="123">
                  <c:v>0.31688392304130802</c:v>
                </c:pt>
                <c:pt idx="124">
                  <c:v>-0.12859335988762766</c:v>
                </c:pt>
                <c:pt idx="125">
                  <c:v>-0.32154765833279697</c:v>
                </c:pt>
                <c:pt idx="126">
                  <c:v>0.56885798608977911</c:v>
                </c:pt>
                <c:pt idx="127">
                  <c:v>0.6408810234895721</c:v>
                </c:pt>
                <c:pt idx="128">
                  <c:v>0.86923730155660284</c:v>
                </c:pt>
                <c:pt idx="129">
                  <c:v>0.67142489045585174</c:v>
                </c:pt>
                <c:pt idx="130">
                  <c:v>0.75821702215020981</c:v>
                </c:pt>
                <c:pt idx="131">
                  <c:v>1.0362404008479218</c:v>
                </c:pt>
                <c:pt idx="132">
                  <c:v>-7.9847948866310681</c:v>
                </c:pt>
                <c:pt idx="133">
                  <c:v>-8.2206600102329226</c:v>
                </c:pt>
                <c:pt idx="134">
                  <c:v>0.46118188805930949</c:v>
                </c:pt>
                <c:pt idx="135">
                  <c:v>-1.0768855115855178</c:v>
                </c:pt>
                <c:pt idx="136">
                  <c:v>-5.8720213186906536</c:v>
                </c:pt>
                <c:pt idx="137">
                  <c:v>-6.1107535820139915</c:v>
                </c:pt>
                <c:pt idx="138">
                  <c:v>3.5084821711300487</c:v>
                </c:pt>
                <c:pt idx="139">
                  <c:v>2.2459230282070131</c:v>
                </c:pt>
                <c:pt idx="140">
                  <c:v>-5.5117432414984107</c:v>
                </c:pt>
                <c:pt idx="141">
                  <c:v>-6.0477828073613109</c:v>
                </c:pt>
                <c:pt idx="142">
                  <c:v>1.0663028045156304</c:v>
                </c:pt>
                <c:pt idx="143">
                  <c:v>1.9676759169072984</c:v>
                </c:pt>
                <c:pt idx="144">
                  <c:v>-13.076741440445701</c:v>
                </c:pt>
                <c:pt idx="145">
                  <c:v>-13.449524977065238</c:v>
                </c:pt>
                <c:pt idx="146">
                  <c:v>0.82436876065597886</c:v>
                </c:pt>
                <c:pt idx="147">
                  <c:v>-2.2018192403305132</c:v>
                </c:pt>
                <c:pt idx="148">
                  <c:v>-3.6230506117637438</c:v>
                </c:pt>
                <c:pt idx="149">
                  <c:v>-3.6875295267387962</c:v>
                </c:pt>
                <c:pt idx="150">
                  <c:v>1.7496128021536563</c:v>
                </c:pt>
                <c:pt idx="151">
                  <c:v>3.812344683053138</c:v>
                </c:pt>
                <c:pt idx="152">
                  <c:v>-9.1974015560336042</c:v>
                </c:pt>
                <c:pt idx="153">
                  <c:v>-9.4157638701608679</c:v>
                </c:pt>
                <c:pt idx="154">
                  <c:v>1.4391287067798215</c:v>
                </c:pt>
                <c:pt idx="155">
                  <c:v>0.33628419121901221</c:v>
                </c:pt>
                <c:pt idx="156">
                  <c:v>3.4578095605905887</c:v>
                </c:pt>
                <c:pt idx="157">
                  <c:v>3.6187658069427835</c:v>
                </c:pt>
                <c:pt idx="158">
                  <c:v>9.3237810475628535</c:v>
                </c:pt>
                <c:pt idx="159">
                  <c:v>14.933429444226089</c:v>
                </c:pt>
                <c:pt idx="160">
                  <c:v>-9.8107396813353134</c:v>
                </c:pt>
                <c:pt idx="161">
                  <c:v>-10.090165875589653</c:v>
                </c:pt>
                <c:pt idx="162">
                  <c:v>0.47316871767660729</c:v>
                </c:pt>
                <c:pt idx="163">
                  <c:v>0.13961409785200196</c:v>
                </c:pt>
                <c:pt idx="164">
                  <c:v>-5.1870723493020137</c:v>
                </c:pt>
                <c:pt idx="165">
                  <c:v>-5.5233877578965265</c:v>
                </c:pt>
                <c:pt idx="166">
                  <c:v>1.4182708153157462</c:v>
                </c:pt>
                <c:pt idx="167">
                  <c:v>2.9439454385808403</c:v>
                </c:pt>
                <c:pt idx="168">
                  <c:v>-10.260788720529403</c:v>
                </c:pt>
                <c:pt idx="169">
                  <c:v>-10.276302834282514</c:v>
                </c:pt>
                <c:pt idx="170">
                  <c:v>0.72965359060849089</c:v>
                </c:pt>
                <c:pt idx="171">
                  <c:v>-1.7957222419949357</c:v>
                </c:pt>
                <c:pt idx="172">
                  <c:v>0.76893286752627699</c:v>
                </c:pt>
                <c:pt idx="173">
                  <c:v>-0.12040772358579854</c:v>
                </c:pt>
                <c:pt idx="174">
                  <c:v>0.48171699050076189</c:v>
                </c:pt>
                <c:pt idx="175">
                  <c:v>1.4769560816494312</c:v>
                </c:pt>
                <c:pt idx="176">
                  <c:v>1.9428126002794937</c:v>
                </c:pt>
                <c:pt idx="177">
                  <c:v>-0.62319540430046239</c:v>
                </c:pt>
                <c:pt idx="178">
                  <c:v>8.311464590272255E-2</c:v>
                </c:pt>
                <c:pt idx="179">
                  <c:v>1.5244104334755164</c:v>
                </c:pt>
                <c:pt idx="180">
                  <c:v>0.31461082759038206</c:v>
                </c:pt>
                <c:pt idx="181">
                  <c:v>-2.0409268972643462</c:v>
                </c:pt>
                <c:pt idx="182">
                  <c:v>1.097113718613111</c:v>
                </c:pt>
                <c:pt idx="183">
                  <c:v>0.42604586480458417</c:v>
                </c:pt>
                <c:pt idx="184">
                  <c:v>1.1184606927194407</c:v>
                </c:pt>
                <c:pt idx="185">
                  <c:v>-0.50686163990971256</c:v>
                </c:pt>
                <c:pt idx="186">
                  <c:v>1.8458632295773425</c:v>
                </c:pt>
                <c:pt idx="187">
                  <c:v>0.58806104979523433</c:v>
                </c:pt>
                <c:pt idx="188">
                  <c:v>-0.25859743194969287</c:v>
                </c:pt>
                <c:pt idx="189">
                  <c:v>-1.0319888097993339</c:v>
                </c:pt>
                <c:pt idx="190">
                  <c:v>-0.76255561777172076</c:v>
                </c:pt>
                <c:pt idx="191">
                  <c:v>-9.7992979043315831E-2</c:v>
                </c:pt>
                <c:pt idx="192">
                  <c:v>0.77492257463683512</c:v>
                </c:pt>
                <c:pt idx="193">
                  <c:v>-0.83094601408312574</c:v>
                </c:pt>
                <c:pt idx="194">
                  <c:v>2.7609048047935403E-2</c:v>
                </c:pt>
                <c:pt idx="195">
                  <c:v>0.85548580385178141</c:v>
                </c:pt>
                <c:pt idx="196">
                  <c:v>12.176886461707223</c:v>
                </c:pt>
                <c:pt idx="197">
                  <c:v>9.0402581837302627</c:v>
                </c:pt>
                <c:pt idx="198">
                  <c:v>0.5617185951764796</c:v>
                </c:pt>
                <c:pt idx="199">
                  <c:v>10.52537395238202</c:v>
                </c:pt>
                <c:pt idx="200">
                  <c:v>4.3860333621503482</c:v>
                </c:pt>
                <c:pt idx="201">
                  <c:v>1.8874102730208113</c:v>
                </c:pt>
                <c:pt idx="202">
                  <c:v>2.2077938630119469</c:v>
                </c:pt>
                <c:pt idx="203">
                  <c:v>4.2301947873575489</c:v>
                </c:pt>
                <c:pt idx="204">
                  <c:v>3.8584405374490256</c:v>
                </c:pt>
                <c:pt idx="205">
                  <c:v>1.0561243309838426</c:v>
                </c:pt>
                <c:pt idx="206">
                  <c:v>2.0469395382772038</c:v>
                </c:pt>
                <c:pt idx="207">
                  <c:v>3.6815274398948827</c:v>
                </c:pt>
                <c:pt idx="208">
                  <c:v>4.9176366349780842E-2</c:v>
                </c:pt>
                <c:pt idx="209">
                  <c:v>-0.40807185936133461</c:v>
                </c:pt>
                <c:pt idx="210">
                  <c:v>0.86703084261086261</c:v>
                </c:pt>
                <c:pt idx="211">
                  <c:v>1.46572942535055</c:v>
                </c:pt>
                <c:pt idx="212">
                  <c:v>0.40154250941074832</c:v>
                </c:pt>
                <c:pt idx="213">
                  <c:v>1.0084359083347181</c:v>
                </c:pt>
                <c:pt idx="214">
                  <c:v>0.64298889545450244</c:v>
                </c:pt>
                <c:pt idx="215">
                  <c:v>1.3702545552891778</c:v>
                </c:pt>
                <c:pt idx="216">
                  <c:v>1.2985802285253398</c:v>
                </c:pt>
                <c:pt idx="217">
                  <c:v>0.27459955625362209</c:v>
                </c:pt>
                <c:pt idx="218">
                  <c:v>1.1286019302321901</c:v>
                </c:pt>
                <c:pt idx="219">
                  <c:v>1.9291371195943738</c:v>
                </c:pt>
                <c:pt idx="220">
                  <c:v>-2.6609443169839953</c:v>
                </c:pt>
                <c:pt idx="221">
                  <c:v>-2.1229358469342294</c:v>
                </c:pt>
                <c:pt idx="222">
                  <c:v>0.37338056935970299</c:v>
                </c:pt>
                <c:pt idx="223">
                  <c:v>0.37386578423211692</c:v>
                </c:pt>
                <c:pt idx="224">
                  <c:v>-2.0671616710759921</c:v>
                </c:pt>
                <c:pt idx="225">
                  <c:v>-1.9916383255658392</c:v>
                </c:pt>
                <c:pt idx="226">
                  <c:v>-1.5677906220824354</c:v>
                </c:pt>
                <c:pt idx="227">
                  <c:v>-0.84304938846227129</c:v>
                </c:pt>
                <c:pt idx="228">
                  <c:v>-1.0044763978131481</c:v>
                </c:pt>
                <c:pt idx="229">
                  <c:v>-1.4498059135976793</c:v>
                </c:pt>
                <c:pt idx="230">
                  <c:v>0.13221272000764106</c:v>
                </c:pt>
                <c:pt idx="231">
                  <c:v>-0.33728125818969223</c:v>
                </c:pt>
                <c:pt idx="232">
                  <c:v>2.8975720388514441</c:v>
                </c:pt>
                <c:pt idx="233">
                  <c:v>3.0134574969968924</c:v>
                </c:pt>
                <c:pt idx="234">
                  <c:v>0.11836057066008809</c:v>
                </c:pt>
                <c:pt idx="235">
                  <c:v>2.607758140674961</c:v>
                </c:pt>
                <c:pt idx="236">
                  <c:v>0.58569431791028492</c:v>
                </c:pt>
                <c:pt idx="237">
                  <c:v>0.46115485843316062</c:v>
                </c:pt>
                <c:pt idx="238">
                  <c:v>1.0277214587440522</c:v>
                </c:pt>
                <c:pt idx="239">
                  <c:v>2.428959206215525</c:v>
                </c:pt>
                <c:pt idx="240">
                  <c:v>1.5403141268462113</c:v>
                </c:pt>
                <c:pt idx="241">
                  <c:v>1.3102425391146273</c:v>
                </c:pt>
                <c:pt idx="242">
                  <c:v>0.24027154732824307</c:v>
                </c:pt>
                <c:pt idx="243">
                  <c:v>1.6179605359437201</c:v>
                </c:pt>
                <c:pt idx="244">
                  <c:v>-0.98019515889366993</c:v>
                </c:pt>
                <c:pt idx="245">
                  <c:v>-2.5508576021803226</c:v>
                </c:pt>
                <c:pt idx="246">
                  <c:v>-0.13027453123457455</c:v>
                </c:pt>
                <c:pt idx="247">
                  <c:v>-1.0702367914746427</c:v>
                </c:pt>
                <c:pt idx="248">
                  <c:v>1.3883640898298362</c:v>
                </c:pt>
                <c:pt idx="249">
                  <c:v>-0.22744129975502081</c:v>
                </c:pt>
                <c:pt idx="250">
                  <c:v>0.10822182527690605</c:v>
                </c:pt>
                <c:pt idx="251">
                  <c:v>0.3161099745136402</c:v>
                </c:pt>
                <c:pt idx="252">
                  <c:v>-0.19093583944082815</c:v>
                </c:pt>
                <c:pt idx="253">
                  <c:v>-3.2259227434105444</c:v>
                </c:pt>
                <c:pt idx="254">
                  <c:v>-0.54354189717324675</c:v>
                </c:pt>
                <c:pt idx="255">
                  <c:v>-1.0064641370532392</c:v>
                </c:pt>
                <c:pt idx="256">
                  <c:v>1.4759385035830395</c:v>
                </c:pt>
                <c:pt idx="257">
                  <c:v>-0.94199003346141597</c:v>
                </c:pt>
                <c:pt idx="258">
                  <c:v>6.5493966740925114E-2</c:v>
                </c:pt>
                <c:pt idx="259">
                  <c:v>0.49429728762396685</c:v>
                </c:pt>
                <c:pt idx="260">
                  <c:v>1.362740568589244</c:v>
                </c:pt>
                <c:pt idx="261">
                  <c:v>3.3137959113811011E-2</c:v>
                </c:pt>
                <c:pt idx="262">
                  <c:v>0.799970788141108</c:v>
                </c:pt>
                <c:pt idx="263">
                  <c:v>1.0779868195341884</c:v>
                </c:pt>
                <c:pt idx="264">
                  <c:v>-6.6927658082332888</c:v>
                </c:pt>
                <c:pt idx="265">
                  <c:v>-7.955341703093274</c:v>
                </c:pt>
                <c:pt idx="266">
                  <c:v>-2.5855542962976177</c:v>
                </c:pt>
                <c:pt idx="267">
                  <c:v>-9.0375833468898072</c:v>
                </c:pt>
                <c:pt idx="268">
                  <c:v>0.69953692902983344</c:v>
                </c:pt>
                <c:pt idx="269">
                  <c:v>-0.83701733507933507</c:v>
                </c:pt>
                <c:pt idx="270">
                  <c:v>0.3227009071263518</c:v>
                </c:pt>
                <c:pt idx="271">
                  <c:v>-0.19232404471208708</c:v>
                </c:pt>
                <c:pt idx="272">
                  <c:v>-1.2332667915025379</c:v>
                </c:pt>
                <c:pt idx="273">
                  <c:v>-2.1529435732412807</c:v>
                </c:pt>
                <c:pt idx="274">
                  <c:v>-1.1646182848044611</c:v>
                </c:pt>
                <c:pt idx="275">
                  <c:v>-2.3856877313900817</c:v>
                </c:pt>
                <c:pt idx="276">
                  <c:v>-0.76398245054191438</c:v>
                </c:pt>
                <c:pt idx="277">
                  <c:v>-1.3181654375038181</c:v>
                </c:pt>
                <c:pt idx="278">
                  <c:v>0.15197449145164205</c:v>
                </c:pt>
                <c:pt idx="279">
                  <c:v>-8.7013171124686664E-2</c:v>
                </c:pt>
                <c:pt idx="280">
                  <c:v>-3.2333375546518051E-2</c:v>
                </c:pt>
                <c:pt idx="281">
                  <c:v>-0.12243536174728198</c:v>
                </c:pt>
                <c:pt idx="282">
                  <c:v>0.21729749415612565</c:v>
                </c:pt>
                <c:pt idx="283">
                  <c:v>0.2982196320767394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A5A-46DD-AA8A-451154B165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en-US"/>
              <a:t>Growth surprise (Spring &amp; Autumn forecast) vs. National vs. semiconductor index correlation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8C564B"/>
              </a:solidFill>
              <a:ln>
                <a:solidFill>
                  <a:srgbClr val="8C564B"/>
                </a:solidFill>
                <a:prstDash val="solid"/>
              </a:ln>
            </c:spPr>
          </c:marker>
          <c:xVal>
            <c:numRef>
              <c:f>data_stock_corr_yrs!$H$2:$H$61</c:f>
              <c:numCache>
                <c:formatCode>General</c:formatCode>
                <c:ptCount val="60"/>
                <c:pt idx="0">
                  <c:v>0.79318298754570626</c:v>
                </c:pt>
                <c:pt idx="1">
                  <c:v>0.79318298754570626</c:v>
                </c:pt>
                <c:pt idx="2">
                  <c:v>0.59190560042782348</c:v>
                </c:pt>
                <c:pt idx="3">
                  <c:v>0.59190560042782348</c:v>
                </c:pt>
                <c:pt idx="4">
                  <c:v>0.82302044815068109</c:v>
                </c:pt>
                <c:pt idx="5">
                  <c:v>0.82302044815068109</c:v>
                </c:pt>
                <c:pt idx="6">
                  <c:v>0.81381208879363764</c:v>
                </c:pt>
                <c:pt idx="7">
                  <c:v>0.81381208879363764</c:v>
                </c:pt>
                <c:pt idx="8">
                  <c:v>0.20372319717267059</c:v>
                </c:pt>
                <c:pt idx="9">
                  <c:v>0.20372319717267059</c:v>
                </c:pt>
                <c:pt idx="10">
                  <c:v>6.562263636895671E-2</c:v>
                </c:pt>
                <c:pt idx="11">
                  <c:v>6.562263636895671E-2</c:v>
                </c:pt>
                <c:pt idx="12">
                  <c:v>2.7062806004489109E-2</c:v>
                </c:pt>
                <c:pt idx="13">
                  <c:v>2.7062806004489109E-2</c:v>
                </c:pt>
                <c:pt idx="14">
                  <c:v>6.1567950988359252E-3</c:v>
                </c:pt>
                <c:pt idx="15">
                  <c:v>6.1567950988359252E-3</c:v>
                </c:pt>
                <c:pt idx="16">
                  <c:v>-2.9567303162600381E-2</c:v>
                </c:pt>
                <c:pt idx="17">
                  <c:v>-2.9567303162600381E-2</c:v>
                </c:pt>
                <c:pt idx="18">
                  <c:v>0.1653796609584316</c:v>
                </c:pt>
                <c:pt idx="19">
                  <c:v>0.1653796609584316</c:v>
                </c:pt>
                <c:pt idx="20">
                  <c:v>7.4630748449780043E-3</c:v>
                </c:pt>
                <c:pt idx="21">
                  <c:v>7.4630748449780043E-3</c:v>
                </c:pt>
                <c:pt idx="22">
                  <c:v>0.32092170257034919</c:v>
                </c:pt>
                <c:pt idx="23">
                  <c:v>0.32092170257034919</c:v>
                </c:pt>
                <c:pt idx="24">
                  <c:v>6.0061203852044547E-2</c:v>
                </c:pt>
                <c:pt idx="25">
                  <c:v>6.0061203852044547E-2</c:v>
                </c:pt>
                <c:pt idx="26">
                  <c:v>0.58193671258721102</c:v>
                </c:pt>
                <c:pt idx="27">
                  <c:v>0.58193671258721102</c:v>
                </c:pt>
                <c:pt idx="28">
                  <c:v>4.3141098767000223E-2</c:v>
                </c:pt>
                <c:pt idx="29">
                  <c:v>4.3141098767000223E-2</c:v>
                </c:pt>
                <c:pt idx="30">
                  <c:v>0.91541797612301412</c:v>
                </c:pt>
                <c:pt idx="31">
                  <c:v>0.91541797612301412</c:v>
                </c:pt>
                <c:pt idx="32">
                  <c:v>0.94497516890248479</c:v>
                </c:pt>
                <c:pt idx="33">
                  <c:v>0.94497516890248479</c:v>
                </c:pt>
                <c:pt idx="34">
                  <c:v>0.93883988584513833</c:v>
                </c:pt>
                <c:pt idx="35">
                  <c:v>0.93883988584513833</c:v>
                </c:pt>
                <c:pt idx="36">
                  <c:v>0.86710493358213747</c:v>
                </c:pt>
                <c:pt idx="37">
                  <c:v>0.86710493358213747</c:v>
                </c:pt>
                <c:pt idx="38">
                  <c:v>0.9601184888395623</c:v>
                </c:pt>
                <c:pt idx="39">
                  <c:v>0.9601184888395623</c:v>
                </c:pt>
                <c:pt idx="40">
                  <c:v>0.92712779855354743</c:v>
                </c:pt>
                <c:pt idx="41">
                  <c:v>0.92712779855354743</c:v>
                </c:pt>
                <c:pt idx="42">
                  <c:v>0.95435812659996266</c:v>
                </c:pt>
                <c:pt idx="43">
                  <c:v>0.95435812659996266</c:v>
                </c:pt>
                <c:pt idx="44">
                  <c:v>0.93164971955174003</c:v>
                </c:pt>
                <c:pt idx="45">
                  <c:v>0.93164971955174003</c:v>
                </c:pt>
                <c:pt idx="46">
                  <c:v>0.94574295007118003</c:v>
                </c:pt>
                <c:pt idx="47">
                  <c:v>0.94574295007118003</c:v>
                </c:pt>
                <c:pt idx="48">
                  <c:v>0.91994322807589268</c:v>
                </c:pt>
                <c:pt idx="49">
                  <c:v>0.91994322807589268</c:v>
                </c:pt>
                <c:pt idx="50">
                  <c:v>0.8630359765160468</c:v>
                </c:pt>
                <c:pt idx="51">
                  <c:v>0.8630359765160468</c:v>
                </c:pt>
                <c:pt idx="52">
                  <c:v>0.9099167572496889</c:v>
                </c:pt>
                <c:pt idx="53">
                  <c:v>0.9099167572496889</c:v>
                </c:pt>
                <c:pt idx="54">
                  <c:v>0.84141991326698506</c:v>
                </c:pt>
                <c:pt idx="55">
                  <c:v>0.84141991326698506</c:v>
                </c:pt>
                <c:pt idx="56">
                  <c:v>0.92165748687256943</c:v>
                </c:pt>
                <c:pt idx="57">
                  <c:v>0.92165748687256943</c:v>
                </c:pt>
                <c:pt idx="58">
                  <c:v>0.90204063425666803</c:v>
                </c:pt>
                <c:pt idx="59">
                  <c:v>0.90204063425666803</c:v>
                </c:pt>
              </c:numCache>
            </c:numRef>
          </c:xVal>
          <c:yVal>
            <c:numRef>
              <c:f>data_stock_corr_yrs!$G$2:$G$61</c:f>
              <c:numCache>
                <c:formatCode>General</c:formatCode>
                <c:ptCount val="60"/>
                <c:pt idx="0">
                  <c:v>0.64298889545450244</c:v>
                </c:pt>
                <c:pt idx="1">
                  <c:v>1.3702545552891778</c:v>
                </c:pt>
                <c:pt idx="2">
                  <c:v>1.6280433106379038</c:v>
                </c:pt>
                <c:pt idx="3">
                  <c:v>2.149623075816363</c:v>
                </c:pt>
                <c:pt idx="4">
                  <c:v>0.11836057066008809</c:v>
                </c:pt>
                <c:pt idx="5">
                  <c:v>2.607758140674961</c:v>
                </c:pt>
                <c:pt idx="6">
                  <c:v>0.24027154732824307</c:v>
                </c:pt>
                <c:pt idx="7">
                  <c:v>1.6179605359437201</c:v>
                </c:pt>
                <c:pt idx="8">
                  <c:v>0.16648728936240431</c:v>
                </c:pt>
                <c:pt idx="9">
                  <c:v>0.94714374205589991</c:v>
                </c:pt>
                <c:pt idx="10">
                  <c:v>0.6380507018262298</c:v>
                </c:pt>
                <c:pt idx="11">
                  <c:v>1.235120832270407</c:v>
                </c:pt>
                <c:pt idx="12">
                  <c:v>-1.9512226852114511E-2</c:v>
                </c:pt>
                <c:pt idx="13">
                  <c:v>0.20939697133562885</c:v>
                </c:pt>
                <c:pt idx="14">
                  <c:v>0.16956839292984849</c:v>
                </c:pt>
                <c:pt idx="15">
                  <c:v>0.37008740234464971</c:v>
                </c:pt>
                <c:pt idx="16">
                  <c:v>-8.2255734956584892E-2</c:v>
                </c:pt>
                <c:pt idx="17">
                  <c:v>0.23477837424939674</c:v>
                </c:pt>
                <c:pt idx="18">
                  <c:v>0.72418125285179868</c:v>
                </c:pt>
                <c:pt idx="19">
                  <c:v>-0.17606213387669556</c:v>
                </c:pt>
                <c:pt idx="20">
                  <c:v>0.18847413300152815</c:v>
                </c:pt>
                <c:pt idx="21">
                  <c:v>0.31295676387087734</c:v>
                </c:pt>
                <c:pt idx="22">
                  <c:v>-2.8716445193852991</c:v>
                </c:pt>
                <c:pt idx="23">
                  <c:v>4.4019772197251861</c:v>
                </c:pt>
                <c:pt idx="24">
                  <c:v>0.30154220637721435</c:v>
                </c:pt>
                <c:pt idx="25">
                  <c:v>-3.1208783804359541E-3</c:v>
                </c:pt>
                <c:pt idx="26">
                  <c:v>-0.13369066632513404</c:v>
                </c:pt>
                <c:pt idx="27">
                  <c:v>0.28046899053471286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0.46118188805930949</c:v>
                </c:pt>
                <c:pt idx="31">
                  <c:v>-1.0768855115855178</c:v>
                </c:pt>
                <c:pt idx="32">
                  <c:v>3.5084821711300487</c:v>
                </c:pt>
                <c:pt idx="33">
                  <c:v>2.2459230282070131</c:v>
                </c:pt>
                <c:pt idx="34">
                  <c:v>1.0663028045156304</c:v>
                </c:pt>
                <c:pt idx="35">
                  <c:v>1.9676759169072984</c:v>
                </c:pt>
                <c:pt idx="36">
                  <c:v>0.82436876065597886</c:v>
                </c:pt>
                <c:pt idx="37">
                  <c:v>-2.2018192403305132</c:v>
                </c:pt>
                <c:pt idx="38">
                  <c:v>1.7496128021536563</c:v>
                </c:pt>
                <c:pt idx="39">
                  <c:v>3.812344683053138</c:v>
                </c:pt>
                <c:pt idx="40">
                  <c:v>1.4391287067798215</c:v>
                </c:pt>
                <c:pt idx="41">
                  <c:v>0.33628419121901221</c:v>
                </c:pt>
                <c:pt idx="42">
                  <c:v>9.3237810475628535</c:v>
                </c:pt>
                <c:pt idx="43">
                  <c:v>14.933429444226089</c:v>
                </c:pt>
                <c:pt idx="44">
                  <c:v>0.47316871767660729</c:v>
                </c:pt>
                <c:pt idx="45">
                  <c:v>0.13961409785200196</c:v>
                </c:pt>
                <c:pt idx="46">
                  <c:v>1.4182708153157462</c:v>
                </c:pt>
                <c:pt idx="47">
                  <c:v>2.9439454385808403</c:v>
                </c:pt>
                <c:pt idx="48">
                  <c:v>0.72965359060849089</c:v>
                </c:pt>
                <c:pt idx="49">
                  <c:v>-1.7957222419949357</c:v>
                </c:pt>
                <c:pt idx="50">
                  <c:v>1.1286019302321901</c:v>
                </c:pt>
                <c:pt idx="51">
                  <c:v>1.9291371195943738</c:v>
                </c:pt>
                <c:pt idx="52">
                  <c:v>0.37338056935970299</c:v>
                </c:pt>
                <c:pt idx="53">
                  <c:v>0.37386578423211692</c:v>
                </c:pt>
                <c:pt idx="54">
                  <c:v>-1.5677906220824354</c:v>
                </c:pt>
                <c:pt idx="55">
                  <c:v>-0.84304938846227129</c:v>
                </c:pt>
                <c:pt idx="56">
                  <c:v>0.13221272000764106</c:v>
                </c:pt>
                <c:pt idx="57">
                  <c:v>-0.33728125818969223</c:v>
                </c:pt>
                <c:pt idx="58">
                  <c:v>1.0277214587440522</c:v>
                </c:pt>
                <c:pt idx="59">
                  <c:v>2.428959206215525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0C9-4EAE-AF11-37D78B44B9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National vs. semiconductor index correlation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over time -- clustered by AI incoming investment share (per avg. quarterly GDP) (median split)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Below median (AI incoming investment share (per avg. quarterly GDP) &lt;= 0.6046)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F7B6D2"/>
              </a:solidFill>
              <a:ln>
                <a:solidFill>
                  <a:srgbClr val="F7B6D2"/>
                </a:solidFill>
                <a:prstDash val="solid"/>
              </a:ln>
            </c:spPr>
          </c:marker>
          <c:xVal>
            <c:numRef>
              <c:f>data_cluster_ai_inv_share!$D$2:$D$221</c:f>
              <c:numCache>
                <c:formatCode>General</c:formatCode>
                <c:ptCount val="220"/>
                <c:pt idx="0">
                  <c:v>2015</c:v>
                </c:pt>
                <c:pt idx="1">
                  <c:v>2015</c:v>
                </c:pt>
                <c:pt idx="2">
                  <c:v>2015</c:v>
                </c:pt>
                <c:pt idx="3">
                  <c:v>2015</c:v>
                </c:pt>
                <c:pt idx="4">
                  <c:v>2015</c:v>
                </c:pt>
                <c:pt idx="5">
                  <c:v>2015</c:v>
                </c:pt>
                <c:pt idx="6">
                  <c:v>2015</c:v>
                </c:pt>
                <c:pt idx="7">
                  <c:v>2015</c:v>
                </c:pt>
                <c:pt idx="8">
                  <c:v>2015</c:v>
                </c:pt>
                <c:pt idx="9">
                  <c:v>2015</c:v>
                </c:pt>
                <c:pt idx="10">
                  <c:v>2015</c:v>
                </c:pt>
                <c:pt idx="11">
                  <c:v>2015</c:v>
                </c:pt>
                <c:pt idx="12">
                  <c:v>2015</c:v>
                </c:pt>
                <c:pt idx="13">
                  <c:v>2015</c:v>
                </c:pt>
                <c:pt idx="14">
                  <c:v>2015</c:v>
                </c:pt>
                <c:pt idx="15">
                  <c:v>2015</c:v>
                </c:pt>
                <c:pt idx="16">
                  <c:v>2015</c:v>
                </c:pt>
                <c:pt idx="17">
                  <c:v>2015</c:v>
                </c:pt>
                <c:pt idx="18">
                  <c:v>2015</c:v>
                </c:pt>
                <c:pt idx="19">
                  <c:v>2015</c:v>
                </c:pt>
                <c:pt idx="20">
                  <c:v>2015</c:v>
                </c:pt>
                <c:pt idx="21">
                  <c:v>2015</c:v>
                </c:pt>
                <c:pt idx="22">
                  <c:v>2015</c:v>
                </c:pt>
                <c:pt idx="23">
                  <c:v>2015</c:v>
                </c:pt>
                <c:pt idx="24">
                  <c:v>2016</c:v>
                </c:pt>
                <c:pt idx="25">
                  <c:v>2016</c:v>
                </c:pt>
                <c:pt idx="26">
                  <c:v>2016</c:v>
                </c:pt>
                <c:pt idx="27">
                  <c:v>2016</c:v>
                </c:pt>
                <c:pt idx="28">
                  <c:v>2016</c:v>
                </c:pt>
                <c:pt idx="29">
                  <c:v>2016</c:v>
                </c:pt>
                <c:pt idx="30">
                  <c:v>2016</c:v>
                </c:pt>
                <c:pt idx="31">
                  <c:v>2016</c:v>
                </c:pt>
                <c:pt idx="32">
                  <c:v>2016</c:v>
                </c:pt>
                <c:pt idx="33">
                  <c:v>2016</c:v>
                </c:pt>
                <c:pt idx="34">
                  <c:v>2016</c:v>
                </c:pt>
                <c:pt idx="35">
                  <c:v>2016</c:v>
                </c:pt>
                <c:pt idx="36">
                  <c:v>2016</c:v>
                </c:pt>
                <c:pt idx="37">
                  <c:v>2016</c:v>
                </c:pt>
                <c:pt idx="38">
                  <c:v>2016</c:v>
                </c:pt>
                <c:pt idx="39">
                  <c:v>2016</c:v>
                </c:pt>
                <c:pt idx="40">
                  <c:v>2016</c:v>
                </c:pt>
                <c:pt idx="41">
                  <c:v>2016</c:v>
                </c:pt>
                <c:pt idx="42">
                  <c:v>2016</c:v>
                </c:pt>
                <c:pt idx="43">
                  <c:v>2016</c:v>
                </c:pt>
                <c:pt idx="44">
                  <c:v>2016</c:v>
                </c:pt>
                <c:pt idx="45">
                  <c:v>2016</c:v>
                </c:pt>
                <c:pt idx="46">
                  <c:v>2016</c:v>
                </c:pt>
                <c:pt idx="47">
                  <c:v>2016</c:v>
                </c:pt>
                <c:pt idx="48">
                  <c:v>2016</c:v>
                </c:pt>
                <c:pt idx="49">
                  <c:v>2016</c:v>
                </c:pt>
                <c:pt idx="50">
                  <c:v>2016</c:v>
                </c:pt>
                <c:pt idx="51">
                  <c:v>2016</c:v>
                </c:pt>
                <c:pt idx="52">
                  <c:v>2017</c:v>
                </c:pt>
                <c:pt idx="53">
                  <c:v>2017</c:v>
                </c:pt>
                <c:pt idx="54">
                  <c:v>2017</c:v>
                </c:pt>
                <c:pt idx="55">
                  <c:v>2017</c:v>
                </c:pt>
                <c:pt idx="56">
                  <c:v>2017</c:v>
                </c:pt>
                <c:pt idx="57">
                  <c:v>2017</c:v>
                </c:pt>
                <c:pt idx="58">
                  <c:v>2017</c:v>
                </c:pt>
                <c:pt idx="59">
                  <c:v>2017</c:v>
                </c:pt>
                <c:pt idx="60">
                  <c:v>2017</c:v>
                </c:pt>
                <c:pt idx="61">
                  <c:v>2017</c:v>
                </c:pt>
                <c:pt idx="62">
                  <c:v>2017</c:v>
                </c:pt>
                <c:pt idx="63">
                  <c:v>2017</c:v>
                </c:pt>
                <c:pt idx="64">
                  <c:v>2017</c:v>
                </c:pt>
                <c:pt idx="65">
                  <c:v>2017</c:v>
                </c:pt>
                <c:pt idx="66">
                  <c:v>2017</c:v>
                </c:pt>
                <c:pt idx="67">
                  <c:v>2017</c:v>
                </c:pt>
                <c:pt idx="68">
                  <c:v>2017</c:v>
                </c:pt>
                <c:pt idx="69">
                  <c:v>2017</c:v>
                </c:pt>
                <c:pt idx="70">
                  <c:v>2017</c:v>
                </c:pt>
                <c:pt idx="71">
                  <c:v>2017</c:v>
                </c:pt>
                <c:pt idx="72">
                  <c:v>2018</c:v>
                </c:pt>
                <c:pt idx="73">
                  <c:v>2018</c:v>
                </c:pt>
                <c:pt idx="74">
                  <c:v>2018</c:v>
                </c:pt>
                <c:pt idx="75">
                  <c:v>2018</c:v>
                </c:pt>
                <c:pt idx="76">
                  <c:v>2018</c:v>
                </c:pt>
                <c:pt idx="77">
                  <c:v>2018</c:v>
                </c:pt>
                <c:pt idx="78">
                  <c:v>2018</c:v>
                </c:pt>
                <c:pt idx="79">
                  <c:v>2018</c:v>
                </c:pt>
                <c:pt idx="80">
                  <c:v>2018</c:v>
                </c:pt>
                <c:pt idx="81">
                  <c:v>2018</c:v>
                </c:pt>
                <c:pt idx="82">
                  <c:v>2018</c:v>
                </c:pt>
                <c:pt idx="83">
                  <c:v>2018</c:v>
                </c:pt>
                <c:pt idx="84">
                  <c:v>2018</c:v>
                </c:pt>
                <c:pt idx="85">
                  <c:v>2018</c:v>
                </c:pt>
                <c:pt idx="86">
                  <c:v>2018</c:v>
                </c:pt>
                <c:pt idx="87">
                  <c:v>2018</c:v>
                </c:pt>
                <c:pt idx="88">
                  <c:v>2018</c:v>
                </c:pt>
                <c:pt idx="89">
                  <c:v>2018</c:v>
                </c:pt>
                <c:pt idx="90">
                  <c:v>2018</c:v>
                </c:pt>
                <c:pt idx="91">
                  <c:v>2018</c:v>
                </c:pt>
                <c:pt idx="92">
                  <c:v>2018</c:v>
                </c:pt>
                <c:pt idx="93">
                  <c:v>2018</c:v>
                </c:pt>
                <c:pt idx="94">
                  <c:v>2018</c:v>
                </c:pt>
                <c:pt idx="95">
                  <c:v>2018</c:v>
                </c:pt>
                <c:pt idx="96">
                  <c:v>2019</c:v>
                </c:pt>
                <c:pt idx="97">
                  <c:v>2019</c:v>
                </c:pt>
                <c:pt idx="98">
                  <c:v>2019</c:v>
                </c:pt>
                <c:pt idx="99">
                  <c:v>2019</c:v>
                </c:pt>
                <c:pt idx="100">
                  <c:v>2019</c:v>
                </c:pt>
                <c:pt idx="101">
                  <c:v>2019</c:v>
                </c:pt>
                <c:pt idx="102">
                  <c:v>2019</c:v>
                </c:pt>
                <c:pt idx="103">
                  <c:v>2019</c:v>
                </c:pt>
                <c:pt idx="104">
                  <c:v>2019</c:v>
                </c:pt>
                <c:pt idx="105">
                  <c:v>2019</c:v>
                </c:pt>
                <c:pt idx="106">
                  <c:v>2019</c:v>
                </c:pt>
                <c:pt idx="107">
                  <c:v>2019</c:v>
                </c:pt>
                <c:pt idx="108">
                  <c:v>2019</c:v>
                </c:pt>
                <c:pt idx="109">
                  <c:v>2019</c:v>
                </c:pt>
                <c:pt idx="110">
                  <c:v>2019</c:v>
                </c:pt>
                <c:pt idx="111">
                  <c:v>2019</c:v>
                </c:pt>
                <c:pt idx="112">
                  <c:v>2019</c:v>
                </c:pt>
                <c:pt idx="113">
                  <c:v>2019</c:v>
                </c:pt>
                <c:pt idx="114">
                  <c:v>2019</c:v>
                </c:pt>
                <c:pt idx="115">
                  <c:v>2019</c:v>
                </c:pt>
                <c:pt idx="116">
                  <c:v>2019</c:v>
                </c:pt>
                <c:pt idx="117">
                  <c:v>2019</c:v>
                </c:pt>
                <c:pt idx="118">
                  <c:v>2019</c:v>
                </c:pt>
                <c:pt idx="119">
                  <c:v>2019</c:v>
                </c:pt>
                <c:pt idx="120">
                  <c:v>2020</c:v>
                </c:pt>
                <c:pt idx="121">
                  <c:v>2020</c:v>
                </c:pt>
                <c:pt idx="122">
                  <c:v>2020</c:v>
                </c:pt>
                <c:pt idx="123">
                  <c:v>2020</c:v>
                </c:pt>
                <c:pt idx="124">
                  <c:v>2020</c:v>
                </c:pt>
                <c:pt idx="125">
                  <c:v>2020</c:v>
                </c:pt>
                <c:pt idx="126">
                  <c:v>2020</c:v>
                </c:pt>
                <c:pt idx="127">
                  <c:v>2020</c:v>
                </c:pt>
                <c:pt idx="128">
                  <c:v>2020</c:v>
                </c:pt>
                <c:pt idx="129">
                  <c:v>2020</c:v>
                </c:pt>
                <c:pt idx="130">
                  <c:v>2020</c:v>
                </c:pt>
                <c:pt idx="131">
                  <c:v>2020</c:v>
                </c:pt>
                <c:pt idx="132">
                  <c:v>2020</c:v>
                </c:pt>
                <c:pt idx="133">
                  <c:v>2020</c:v>
                </c:pt>
                <c:pt idx="134">
                  <c:v>2020</c:v>
                </c:pt>
                <c:pt idx="135">
                  <c:v>2020</c:v>
                </c:pt>
                <c:pt idx="136">
                  <c:v>2020</c:v>
                </c:pt>
                <c:pt idx="137">
                  <c:v>2020</c:v>
                </c:pt>
                <c:pt idx="138">
                  <c:v>2020</c:v>
                </c:pt>
                <c:pt idx="139">
                  <c:v>2020</c:v>
                </c:pt>
                <c:pt idx="140">
                  <c:v>2021</c:v>
                </c:pt>
                <c:pt idx="141">
                  <c:v>2021</c:v>
                </c:pt>
                <c:pt idx="142">
                  <c:v>2021</c:v>
                </c:pt>
                <c:pt idx="143">
                  <c:v>2021</c:v>
                </c:pt>
                <c:pt idx="144">
                  <c:v>2021</c:v>
                </c:pt>
                <c:pt idx="145">
                  <c:v>2021</c:v>
                </c:pt>
                <c:pt idx="146">
                  <c:v>2021</c:v>
                </c:pt>
                <c:pt idx="147">
                  <c:v>2021</c:v>
                </c:pt>
                <c:pt idx="148">
                  <c:v>2021</c:v>
                </c:pt>
                <c:pt idx="149">
                  <c:v>2021</c:v>
                </c:pt>
                <c:pt idx="150">
                  <c:v>2021</c:v>
                </c:pt>
                <c:pt idx="151">
                  <c:v>2021</c:v>
                </c:pt>
                <c:pt idx="152">
                  <c:v>2021</c:v>
                </c:pt>
                <c:pt idx="153">
                  <c:v>2021</c:v>
                </c:pt>
                <c:pt idx="154">
                  <c:v>2021</c:v>
                </c:pt>
                <c:pt idx="155">
                  <c:v>2021</c:v>
                </c:pt>
                <c:pt idx="156">
                  <c:v>2022</c:v>
                </c:pt>
                <c:pt idx="157">
                  <c:v>2022</c:v>
                </c:pt>
                <c:pt idx="158">
                  <c:v>2022</c:v>
                </c:pt>
                <c:pt idx="159">
                  <c:v>2022</c:v>
                </c:pt>
                <c:pt idx="160">
                  <c:v>2022</c:v>
                </c:pt>
                <c:pt idx="161">
                  <c:v>2022</c:v>
                </c:pt>
                <c:pt idx="162">
                  <c:v>2022</c:v>
                </c:pt>
                <c:pt idx="163">
                  <c:v>2022</c:v>
                </c:pt>
                <c:pt idx="164">
                  <c:v>2022</c:v>
                </c:pt>
                <c:pt idx="165">
                  <c:v>2022</c:v>
                </c:pt>
                <c:pt idx="166">
                  <c:v>2022</c:v>
                </c:pt>
                <c:pt idx="167">
                  <c:v>2022</c:v>
                </c:pt>
                <c:pt idx="168">
                  <c:v>2022</c:v>
                </c:pt>
                <c:pt idx="169">
                  <c:v>2022</c:v>
                </c:pt>
                <c:pt idx="170">
                  <c:v>2022</c:v>
                </c:pt>
                <c:pt idx="171">
                  <c:v>2022</c:v>
                </c:pt>
                <c:pt idx="172">
                  <c:v>2023</c:v>
                </c:pt>
                <c:pt idx="173">
                  <c:v>2023</c:v>
                </c:pt>
                <c:pt idx="174">
                  <c:v>2023</c:v>
                </c:pt>
                <c:pt idx="175">
                  <c:v>2023</c:v>
                </c:pt>
                <c:pt idx="176">
                  <c:v>2023</c:v>
                </c:pt>
                <c:pt idx="177">
                  <c:v>2023</c:v>
                </c:pt>
                <c:pt idx="178">
                  <c:v>2023</c:v>
                </c:pt>
                <c:pt idx="179">
                  <c:v>2023</c:v>
                </c:pt>
                <c:pt idx="180">
                  <c:v>2023</c:v>
                </c:pt>
                <c:pt idx="181">
                  <c:v>2023</c:v>
                </c:pt>
                <c:pt idx="182">
                  <c:v>2023</c:v>
                </c:pt>
                <c:pt idx="183">
                  <c:v>2023</c:v>
                </c:pt>
                <c:pt idx="184">
                  <c:v>2023</c:v>
                </c:pt>
                <c:pt idx="185">
                  <c:v>2023</c:v>
                </c:pt>
                <c:pt idx="186">
                  <c:v>2023</c:v>
                </c:pt>
                <c:pt idx="187">
                  <c:v>2023</c:v>
                </c:pt>
                <c:pt idx="188">
                  <c:v>2024</c:v>
                </c:pt>
                <c:pt idx="189">
                  <c:v>2024</c:v>
                </c:pt>
                <c:pt idx="190">
                  <c:v>2024</c:v>
                </c:pt>
                <c:pt idx="191">
                  <c:v>2024</c:v>
                </c:pt>
                <c:pt idx="192">
                  <c:v>2024</c:v>
                </c:pt>
                <c:pt idx="193">
                  <c:v>2024</c:v>
                </c:pt>
                <c:pt idx="194">
                  <c:v>2024</c:v>
                </c:pt>
                <c:pt idx="195">
                  <c:v>2024</c:v>
                </c:pt>
                <c:pt idx="196">
                  <c:v>2024</c:v>
                </c:pt>
                <c:pt idx="197">
                  <c:v>2024</c:v>
                </c:pt>
                <c:pt idx="198">
                  <c:v>2024</c:v>
                </c:pt>
                <c:pt idx="199">
                  <c:v>2024</c:v>
                </c:pt>
                <c:pt idx="200">
                  <c:v>2024</c:v>
                </c:pt>
                <c:pt idx="201">
                  <c:v>2024</c:v>
                </c:pt>
                <c:pt idx="202">
                  <c:v>2024</c:v>
                </c:pt>
                <c:pt idx="203">
                  <c:v>2024</c:v>
                </c:pt>
                <c:pt idx="204">
                  <c:v>2025</c:v>
                </c:pt>
                <c:pt idx="205">
                  <c:v>2025</c:v>
                </c:pt>
                <c:pt idx="206">
                  <c:v>2025</c:v>
                </c:pt>
                <c:pt idx="207">
                  <c:v>2025</c:v>
                </c:pt>
                <c:pt idx="208">
                  <c:v>2025</c:v>
                </c:pt>
                <c:pt idx="209">
                  <c:v>2025</c:v>
                </c:pt>
                <c:pt idx="210">
                  <c:v>2025</c:v>
                </c:pt>
                <c:pt idx="211">
                  <c:v>2025</c:v>
                </c:pt>
                <c:pt idx="212">
                  <c:v>2025</c:v>
                </c:pt>
                <c:pt idx="213">
                  <c:v>2025</c:v>
                </c:pt>
                <c:pt idx="214">
                  <c:v>2025</c:v>
                </c:pt>
                <c:pt idx="215">
                  <c:v>2025</c:v>
                </c:pt>
                <c:pt idx="216">
                  <c:v>2025</c:v>
                </c:pt>
                <c:pt idx="217">
                  <c:v>2025</c:v>
                </c:pt>
                <c:pt idx="218">
                  <c:v>2025</c:v>
                </c:pt>
                <c:pt idx="219">
                  <c:v>2025</c:v>
                </c:pt>
              </c:numCache>
            </c:numRef>
          </c:xVal>
          <c:yVal>
            <c:numRef>
              <c:f>data_cluster_ai_inv_share!$G$2:$G$221</c:f>
              <c:numCache>
                <c:formatCode>General</c:formatCode>
                <c:ptCount val="220"/>
                <c:pt idx="0">
                  <c:v>2.1335424718526896E-2</c:v>
                </c:pt>
                <c:pt idx="1">
                  <c:v>-0.59414044609208405</c:v>
                </c:pt>
                <c:pt idx="2">
                  <c:v>0.65778403978474742</c:v>
                </c:pt>
                <c:pt idx="3">
                  <c:v>0.45566821907582167</c:v>
                </c:pt>
                <c:pt idx="4">
                  <c:v>0.60184371182729057</c:v>
                </c:pt>
                <c:pt idx="5">
                  <c:v>-9.5872444645270116E-2</c:v>
                </c:pt>
                <c:pt idx="6">
                  <c:v>0.20095810349653198</c:v>
                </c:pt>
                <c:pt idx="7">
                  <c:v>0.37602266897304393</c:v>
                </c:pt>
                <c:pt idx="8">
                  <c:v>2.2507531290568341</c:v>
                </c:pt>
                <c:pt idx="9">
                  <c:v>1.9227190146805588</c:v>
                </c:pt>
                <c:pt idx="10">
                  <c:v>0.84755226971891684</c:v>
                </c:pt>
                <c:pt idx="11">
                  <c:v>1.1642716744238411</c:v>
                </c:pt>
                <c:pt idx="12">
                  <c:v>18.328578063419037</c:v>
                </c:pt>
                <c:pt idx="13">
                  <c:v>18.955022320797561</c:v>
                </c:pt>
                <c:pt idx="14">
                  <c:v>15.905810160190644</c:v>
                </c:pt>
                <c:pt idx="15">
                  <c:v>18.343702761513786</c:v>
                </c:pt>
                <c:pt idx="16">
                  <c:v>0.11412179495312647</c:v>
                </c:pt>
                <c:pt idx="17">
                  <c:v>-0.48713604095095231</c:v>
                </c:pt>
                <c:pt idx="18">
                  <c:v>-0.12380197599240972</c:v>
                </c:pt>
                <c:pt idx="19">
                  <c:v>0.13599178752260521</c:v>
                </c:pt>
                <c:pt idx="20">
                  <c:v>0.27908288694357686</c:v>
                </c:pt>
                <c:pt idx="21">
                  <c:v>8.4088127918840794E-2</c:v>
                </c:pt>
                <c:pt idx="22">
                  <c:v>-0.16405386466369909</c:v>
                </c:pt>
                <c:pt idx="23">
                  <c:v>-6.4609841282320168E-2</c:v>
                </c:pt>
                <c:pt idx="24">
                  <c:v>0.69243770785740977</c:v>
                </c:pt>
                <c:pt idx="25">
                  <c:v>0.69667255164343178</c:v>
                </c:pt>
                <c:pt idx="26">
                  <c:v>0.65648168579866284</c:v>
                </c:pt>
                <c:pt idx="27">
                  <c:v>0.67387131071388295</c:v>
                </c:pt>
                <c:pt idx="28">
                  <c:v>-0.11861033767558893</c:v>
                </c:pt>
                <c:pt idx="29">
                  <c:v>-0.28042817709720791</c:v>
                </c:pt>
                <c:pt idx="30">
                  <c:v>-4.7304590003143909E-2</c:v>
                </c:pt>
                <c:pt idx="31">
                  <c:v>-1.0856298219501959E-2</c:v>
                </c:pt>
                <c:pt idx="32">
                  <c:v>0.20691362640356292</c:v>
                </c:pt>
                <c:pt idx="33">
                  <c:v>0.29294469454354299</c:v>
                </c:pt>
                <c:pt idx="34">
                  <c:v>-0.32437575106588312</c:v>
                </c:pt>
                <c:pt idx="35">
                  <c:v>0.27990361283777565</c:v>
                </c:pt>
                <c:pt idx="36">
                  <c:v>1.8786753011990158</c:v>
                </c:pt>
                <c:pt idx="37">
                  <c:v>1.510323809035472</c:v>
                </c:pt>
                <c:pt idx="38">
                  <c:v>1.7183218536184302</c:v>
                </c:pt>
                <c:pt idx="39">
                  <c:v>1.8590512359207483</c:v>
                </c:pt>
                <c:pt idx="40">
                  <c:v>-3.3115780556468373</c:v>
                </c:pt>
                <c:pt idx="41">
                  <c:v>-2.3039111882363645</c:v>
                </c:pt>
                <c:pt idx="42">
                  <c:v>-2.9158948376772491</c:v>
                </c:pt>
                <c:pt idx="43">
                  <c:v>-3.6961635285906365</c:v>
                </c:pt>
                <c:pt idx="44">
                  <c:v>-0.1058406653404671</c:v>
                </c:pt>
                <c:pt idx="45">
                  <c:v>-6.5542328540008077E-2</c:v>
                </c:pt>
                <c:pt idx="46">
                  <c:v>0.63759268194228436</c:v>
                </c:pt>
                <c:pt idx="47">
                  <c:v>0.25497274041926299</c:v>
                </c:pt>
                <c:pt idx="48">
                  <c:v>0.32534337819466397</c:v>
                </c:pt>
                <c:pt idx="49">
                  <c:v>0.14602905922159692</c:v>
                </c:pt>
                <c:pt idx="50">
                  <c:v>1.0550904016198952</c:v>
                </c:pt>
                <c:pt idx="51">
                  <c:v>0.5261694887334849</c:v>
                </c:pt>
                <c:pt idx="52">
                  <c:v>0.78616412906575106</c:v>
                </c:pt>
                <c:pt idx="53">
                  <c:v>0.74103491771630314</c:v>
                </c:pt>
                <c:pt idx="54">
                  <c:v>-0.20364537794406878</c:v>
                </c:pt>
                <c:pt idx="55">
                  <c:v>0.63932081158630116</c:v>
                </c:pt>
                <c:pt idx="56">
                  <c:v>0.59955818573028896</c:v>
                </c:pt>
                <c:pt idx="57">
                  <c:v>0.35000728826492189</c:v>
                </c:pt>
                <c:pt idx="58">
                  <c:v>-0.21335805850076506</c:v>
                </c:pt>
                <c:pt idx="59">
                  <c:v>9.1706447057128937E-2</c:v>
                </c:pt>
                <c:pt idx="60">
                  <c:v>6.0228740309448732</c:v>
                </c:pt>
                <c:pt idx="61">
                  <c:v>5.9524962396982399</c:v>
                </c:pt>
                <c:pt idx="62">
                  <c:v>4.7979924738822781</c:v>
                </c:pt>
                <c:pt idx="63">
                  <c:v>5.6733497511086632</c:v>
                </c:pt>
                <c:pt idx="64">
                  <c:v>0.77488781643401738</c:v>
                </c:pt>
                <c:pt idx="65">
                  <c:v>0.34231121806944209</c:v>
                </c:pt>
                <c:pt idx="66">
                  <c:v>0.22303711004873605</c:v>
                </c:pt>
                <c:pt idx="67">
                  <c:v>0.74890781392368888</c:v>
                </c:pt>
                <c:pt idx="68">
                  <c:v>2.0165120904442619</c:v>
                </c:pt>
                <c:pt idx="69">
                  <c:v>1.5169148839265081</c:v>
                </c:pt>
                <c:pt idx="70">
                  <c:v>0.63151210674854008</c:v>
                </c:pt>
                <c:pt idx="71">
                  <c:v>1.4222126188508</c:v>
                </c:pt>
                <c:pt idx="72">
                  <c:v>-3.0890495413360419E-2</c:v>
                </c:pt>
                <c:pt idx="73">
                  <c:v>0.70436184472490981</c:v>
                </c:pt>
                <c:pt idx="74">
                  <c:v>-0.37845503404507719</c:v>
                </c:pt>
                <c:pt idx="75">
                  <c:v>-0.44071774143137299</c:v>
                </c:pt>
                <c:pt idx="76">
                  <c:v>5.8211280770205098E-2</c:v>
                </c:pt>
                <c:pt idx="77">
                  <c:v>0.17749745265910399</c:v>
                </c:pt>
                <c:pt idx="78">
                  <c:v>0.32816631924187512</c:v>
                </c:pt>
                <c:pt idx="79">
                  <c:v>5.2215939373469133E-2</c:v>
                </c:pt>
                <c:pt idx="80">
                  <c:v>-0.17009025968066194</c:v>
                </c:pt>
                <c:pt idx="81">
                  <c:v>2.9647560491548042E-3</c:v>
                </c:pt>
                <c:pt idx="82">
                  <c:v>-0.19081445099353322</c:v>
                </c:pt>
                <c:pt idx="83">
                  <c:v>-0.48414216228142726</c:v>
                </c:pt>
                <c:pt idx="84">
                  <c:v>3.5391422005323694</c:v>
                </c:pt>
                <c:pt idx="85">
                  <c:v>3.8014603254516723</c:v>
                </c:pt>
                <c:pt idx="86">
                  <c:v>-0.36708855616052638</c:v>
                </c:pt>
                <c:pt idx="87">
                  <c:v>1.7637946495625059</c:v>
                </c:pt>
                <c:pt idx="88">
                  <c:v>-0.62187743480216839</c:v>
                </c:pt>
                <c:pt idx="89">
                  <c:v>-0.45306326954054732</c:v>
                </c:pt>
                <c:pt idx="90">
                  <c:v>-0.46981863171250737</c:v>
                </c:pt>
                <c:pt idx="91">
                  <c:v>-0.77439182435587239</c:v>
                </c:pt>
                <c:pt idx="92">
                  <c:v>0.84121405179820208</c:v>
                </c:pt>
                <c:pt idx="93">
                  <c:v>1.3359790738157751</c:v>
                </c:pt>
                <c:pt idx="94">
                  <c:v>0.73645045202355286</c:v>
                </c:pt>
                <c:pt idx="95">
                  <c:v>0.56998726219637108</c:v>
                </c:pt>
                <c:pt idx="96">
                  <c:v>-0.27128455696010012</c:v>
                </c:pt>
                <c:pt idx="97">
                  <c:v>-0.47297799177851707</c:v>
                </c:pt>
                <c:pt idx="98">
                  <c:v>0.1374653705052129</c:v>
                </c:pt>
                <c:pt idx="99">
                  <c:v>0.162437419674061</c:v>
                </c:pt>
                <c:pt idx="100">
                  <c:v>0.8982846201541661</c:v>
                </c:pt>
                <c:pt idx="101">
                  <c:v>0.68058495597650426</c:v>
                </c:pt>
                <c:pt idx="102">
                  <c:v>1.2770204459163441</c:v>
                </c:pt>
                <c:pt idx="103">
                  <c:v>1.1871434535654872</c:v>
                </c:pt>
                <c:pt idx="104">
                  <c:v>-0.21306976831362023</c:v>
                </c:pt>
                <c:pt idx="105">
                  <c:v>-0.41366958696250311</c:v>
                </c:pt>
                <c:pt idx="106">
                  <c:v>7.2237730363746921E-2</c:v>
                </c:pt>
                <c:pt idx="107">
                  <c:v>-0.15364893942900526</c:v>
                </c:pt>
                <c:pt idx="108">
                  <c:v>0.2937881326285563</c:v>
                </c:pt>
                <c:pt idx="109">
                  <c:v>0.76508940488487553</c:v>
                </c:pt>
                <c:pt idx="110">
                  <c:v>-0.81182975289263659</c:v>
                </c:pt>
                <c:pt idx="111">
                  <c:v>1.0641944495974975</c:v>
                </c:pt>
                <c:pt idx="112">
                  <c:v>-0.73330529565166769</c:v>
                </c:pt>
                <c:pt idx="113">
                  <c:v>-0.79138299663360767</c:v>
                </c:pt>
                <c:pt idx="114">
                  <c:v>0.31282812569793611</c:v>
                </c:pt>
                <c:pt idx="115">
                  <c:v>0.31688392304130802</c:v>
                </c:pt>
                <c:pt idx="116">
                  <c:v>0.86923730155660284</c:v>
                </c:pt>
                <c:pt idx="117">
                  <c:v>0.67142489045585174</c:v>
                </c:pt>
                <c:pt idx="118">
                  <c:v>0.75821702215020981</c:v>
                </c:pt>
                <c:pt idx="119">
                  <c:v>1.0362404008479218</c:v>
                </c:pt>
                <c:pt idx="120">
                  <c:v>-7.9847948866310681</c:v>
                </c:pt>
                <c:pt idx="121">
                  <c:v>-8.2206600102329226</c:v>
                </c:pt>
                <c:pt idx="122">
                  <c:v>0.46118188805930949</c:v>
                </c:pt>
                <c:pt idx="123">
                  <c:v>-1.0768855115855178</c:v>
                </c:pt>
                <c:pt idx="124">
                  <c:v>-13.076741440445701</c:v>
                </c:pt>
                <c:pt idx="125">
                  <c:v>-13.449524977065238</c:v>
                </c:pt>
                <c:pt idx="126">
                  <c:v>0.82436876065597886</c:v>
                </c:pt>
                <c:pt idx="127">
                  <c:v>-2.2018192403305132</c:v>
                </c:pt>
                <c:pt idx="128">
                  <c:v>3.4578095605905887</c:v>
                </c:pt>
                <c:pt idx="129">
                  <c:v>3.6187658069427835</c:v>
                </c:pt>
                <c:pt idx="130">
                  <c:v>9.3237810475628535</c:v>
                </c:pt>
                <c:pt idx="131">
                  <c:v>14.933429444226089</c:v>
                </c:pt>
                <c:pt idx="132">
                  <c:v>-9.8107396813353134</c:v>
                </c:pt>
                <c:pt idx="133">
                  <c:v>-10.090165875589653</c:v>
                </c:pt>
                <c:pt idx="134">
                  <c:v>0.47316871767660729</c:v>
                </c:pt>
                <c:pt idx="135">
                  <c:v>0.13961409785200196</c:v>
                </c:pt>
                <c:pt idx="136">
                  <c:v>-10.260788720529403</c:v>
                </c:pt>
                <c:pt idx="137">
                  <c:v>-10.276302834282514</c:v>
                </c:pt>
                <c:pt idx="138">
                  <c:v>0.72965359060849089</c:v>
                </c:pt>
                <c:pt idx="139">
                  <c:v>-1.7957222419949357</c:v>
                </c:pt>
                <c:pt idx="140">
                  <c:v>0.76893286752627699</c:v>
                </c:pt>
                <c:pt idx="141">
                  <c:v>-0.12040772358579854</c:v>
                </c:pt>
                <c:pt idx="142">
                  <c:v>0.48171699050076189</c:v>
                </c:pt>
                <c:pt idx="143">
                  <c:v>1.4769560816494312</c:v>
                </c:pt>
                <c:pt idx="144">
                  <c:v>12.176886461707223</c:v>
                </c:pt>
                <c:pt idx="145">
                  <c:v>9.0402581837302627</c:v>
                </c:pt>
                <c:pt idx="146">
                  <c:v>0.5617185951764796</c:v>
                </c:pt>
                <c:pt idx="147">
                  <c:v>10.52537395238202</c:v>
                </c:pt>
                <c:pt idx="148">
                  <c:v>4.3860333621503482</c:v>
                </c:pt>
                <c:pt idx="149">
                  <c:v>1.8874102730208113</c:v>
                </c:pt>
                <c:pt idx="150">
                  <c:v>2.2077938630119469</c:v>
                </c:pt>
                <c:pt idx="151">
                  <c:v>4.2301947873575489</c:v>
                </c:pt>
                <c:pt idx="152">
                  <c:v>4.9176366349780842E-2</c:v>
                </c:pt>
                <c:pt idx="153">
                  <c:v>-0.40807185936133461</c:v>
                </c:pt>
                <c:pt idx="154">
                  <c:v>0.86703084261086261</c:v>
                </c:pt>
                <c:pt idx="155">
                  <c:v>1.46572942535055</c:v>
                </c:pt>
                <c:pt idx="156">
                  <c:v>0.40154250941074832</c:v>
                </c:pt>
                <c:pt idx="157">
                  <c:v>1.0084359083347181</c:v>
                </c:pt>
                <c:pt idx="158">
                  <c:v>0.64298889545450244</c:v>
                </c:pt>
                <c:pt idx="159">
                  <c:v>1.3702545552891778</c:v>
                </c:pt>
                <c:pt idx="160">
                  <c:v>2.8975720388514441</c:v>
                </c:pt>
                <c:pt idx="161">
                  <c:v>3.0134574969968924</c:v>
                </c:pt>
                <c:pt idx="162">
                  <c:v>0.11836057066008809</c:v>
                </c:pt>
                <c:pt idx="163">
                  <c:v>2.607758140674961</c:v>
                </c:pt>
                <c:pt idx="164">
                  <c:v>0.58569431791028492</c:v>
                </c:pt>
                <c:pt idx="165">
                  <c:v>0.46115485843316062</c:v>
                </c:pt>
                <c:pt idx="166">
                  <c:v>1.0277214587440522</c:v>
                </c:pt>
                <c:pt idx="167">
                  <c:v>2.428959206215525</c:v>
                </c:pt>
                <c:pt idx="168">
                  <c:v>1.4313467273622811</c:v>
                </c:pt>
                <c:pt idx="169">
                  <c:v>1.65373321511687</c:v>
                </c:pt>
                <c:pt idx="170">
                  <c:v>0.16648728936240431</c:v>
                </c:pt>
                <c:pt idx="171">
                  <c:v>0.94714374205589991</c:v>
                </c:pt>
                <c:pt idx="172">
                  <c:v>-0.98019515889366993</c:v>
                </c:pt>
                <c:pt idx="173">
                  <c:v>-2.5508576021803226</c:v>
                </c:pt>
                <c:pt idx="174">
                  <c:v>-0.13027453123457455</c:v>
                </c:pt>
                <c:pt idx="175">
                  <c:v>-1.0702367914746427</c:v>
                </c:pt>
                <c:pt idx="176">
                  <c:v>-6.6927658082332888</c:v>
                </c:pt>
                <c:pt idx="177">
                  <c:v>-7.955341703093274</c:v>
                </c:pt>
                <c:pt idx="178">
                  <c:v>-2.5855542962976177</c:v>
                </c:pt>
                <c:pt idx="179">
                  <c:v>-9.0375833468898072</c:v>
                </c:pt>
                <c:pt idx="180">
                  <c:v>0.69953692902983344</c:v>
                </c:pt>
                <c:pt idx="181">
                  <c:v>-0.83701733507933507</c:v>
                </c:pt>
                <c:pt idx="182">
                  <c:v>0.3227009071263518</c:v>
                </c:pt>
                <c:pt idx="183">
                  <c:v>-0.19232404471208708</c:v>
                </c:pt>
                <c:pt idx="184">
                  <c:v>2.3359588026966547</c:v>
                </c:pt>
                <c:pt idx="185">
                  <c:v>0.39242832347734202</c:v>
                </c:pt>
                <c:pt idx="186">
                  <c:v>0.82603710498769489</c:v>
                </c:pt>
                <c:pt idx="187">
                  <c:v>0.61415875922665375</c:v>
                </c:pt>
                <c:pt idx="188">
                  <c:v>-1.8366159871647127</c:v>
                </c:pt>
                <c:pt idx="189">
                  <c:v>-2.4463356446785758</c:v>
                </c:pt>
                <c:pt idx="190">
                  <c:v>-0.21195285203919834</c:v>
                </c:pt>
                <c:pt idx="191">
                  <c:v>-1.1247210626404764</c:v>
                </c:pt>
                <c:pt idx="192">
                  <c:v>0.57631554946716701</c:v>
                </c:pt>
                <c:pt idx="193">
                  <c:v>-1.3475656933011551</c:v>
                </c:pt>
                <c:pt idx="194">
                  <c:v>4.1610059157908612</c:v>
                </c:pt>
                <c:pt idx="195">
                  <c:v>2.3766670965922447</c:v>
                </c:pt>
                <c:pt idx="196">
                  <c:v>-0.26756306953106568</c:v>
                </c:pt>
                <c:pt idx="197">
                  <c:v>-0.50358721299028975</c:v>
                </c:pt>
                <c:pt idx="198">
                  <c:v>-8.4118151145665343E-2</c:v>
                </c:pt>
                <c:pt idx="199">
                  <c:v>-0.35185080229070154</c:v>
                </c:pt>
                <c:pt idx="200">
                  <c:v>0.877059487557313</c:v>
                </c:pt>
                <c:pt idx="201">
                  <c:v>0.43349115215204903</c:v>
                </c:pt>
                <c:pt idx="202">
                  <c:v>0.53893400861308405</c:v>
                </c:pt>
                <c:pt idx="203">
                  <c:v>0.45622753459714716</c:v>
                </c:pt>
                <c:pt idx="204">
                  <c:v>-4.0626120301336499E-2</c:v>
                </c:pt>
                <c:pt idx="205">
                  <c:v>-0.64960653009995739</c:v>
                </c:pt>
                <c:pt idx="206">
                  <c:v>0.6380507018262298</c:v>
                </c:pt>
                <c:pt idx="207">
                  <c:v>1.235120832270407</c:v>
                </c:pt>
                <c:pt idx="208">
                  <c:v>3.7555055239175816</c:v>
                </c:pt>
                <c:pt idx="209">
                  <c:v>4.186398837203722</c:v>
                </c:pt>
                <c:pt idx="210">
                  <c:v>-2.8716445193852991</c:v>
                </c:pt>
                <c:pt idx="211">
                  <c:v>4.4019772197251861</c:v>
                </c:pt>
                <c:pt idx="212">
                  <c:v>-0.37629081703927114</c:v>
                </c:pt>
                <c:pt idx="213">
                  <c:v>-0.43658647742987933</c:v>
                </c:pt>
                <c:pt idx="214">
                  <c:v>0.30154220637721435</c:v>
                </c:pt>
                <c:pt idx="215">
                  <c:v>-3.1208783804359541E-3</c:v>
                </c:pt>
                <c:pt idx="216">
                  <c:v>-6.8744074650670672E-3</c:v>
                </c:pt>
                <c:pt idx="217">
                  <c:v>-3.1093439656520117E-2</c:v>
                </c:pt>
                <c:pt idx="218">
                  <c:v>-5.4520243395466128E-2</c:v>
                </c:pt>
                <c:pt idx="219">
                  <c:v>9.3612324681175973E-2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8E5-46D2-990D-3B138137D241}"/>
            </c:ext>
          </c:extLst>
        </c:ser>
        <c:ser>
          <c:idx val="1"/>
          <c:order val="1"/>
          <c:tx>
            <c:v>Above median (AI incoming investment share (per avg. quarterly GDP) &gt; 0.6046)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E377C2"/>
              </a:solidFill>
              <a:ln>
                <a:solidFill>
                  <a:srgbClr val="E377C2"/>
                </a:solidFill>
                <a:prstDash val="solid"/>
              </a:ln>
            </c:spPr>
          </c:marker>
          <c:xVal>
            <c:numRef>
              <c:f>data_cluster_ai_inv_share!$D$222:$D$441</c:f>
              <c:numCache>
                <c:formatCode>General</c:formatCode>
                <c:ptCount val="220"/>
                <c:pt idx="0">
                  <c:v>2015</c:v>
                </c:pt>
                <c:pt idx="1">
                  <c:v>2015</c:v>
                </c:pt>
                <c:pt idx="2">
                  <c:v>2015</c:v>
                </c:pt>
                <c:pt idx="3">
                  <c:v>2015</c:v>
                </c:pt>
                <c:pt idx="4">
                  <c:v>2015</c:v>
                </c:pt>
                <c:pt idx="5">
                  <c:v>2015</c:v>
                </c:pt>
                <c:pt idx="6">
                  <c:v>2015</c:v>
                </c:pt>
                <c:pt idx="7">
                  <c:v>2015</c:v>
                </c:pt>
                <c:pt idx="8">
                  <c:v>2015</c:v>
                </c:pt>
                <c:pt idx="9">
                  <c:v>2015</c:v>
                </c:pt>
                <c:pt idx="10">
                  <c:v>2015</c:v>
                </c:pt>
                <c:pt idx="11">
                  <c:v>2015</c:v>
                </c:pt>
                <c:pt idx="12">
                  <c:v>2015</c:v>
                </c:pt>
                <c:pt idx="13">
                  <c:v>2015</c:v>
                </c:pt>
                <c:pt idx="14">
                  <c:v>2015</c:v>
                </c:pt>
                <c:pt idx="15">
                  <c:v>2015</c:v>
                </c:pt>
                <c:pt idx="16">
                  <c:v>2016</c:v>
                </c:pt>
                <c:pt idx="17">
                  <c:v>2016</c:v>
                </c:pt>
                <c:pt idx="18">
                  <c:v>2016</c:v>
                </c:pt>
                <c:pt idx="19">
                  <c:v>2016</c:v>
                </c:pt>
                <c:pt idx="20">
                  <c:v>2016</c:v>
                </c:pt>
                <c:pt idx="21">
                  <c:v>2016</c:v>
                </c:pt>
                <c:pt idx="22">
                  <c:v>2016</c:v>
                </c:pt>
                <c:pt idx="23">
                  <c:v>2016</c:v>
                </c:pt>
                <c:pt idx="24">
                  <c:v>2016</c:v>
                </c:pt>
                <c:pt idx="25">
                  <c:v>2016</c:v>
                </c:pt>
                <c:pt idx="26">
                  <c:v>2016</c:v>
                </c:pt>
                <c:pt idx="27">
                  <c:v>2016</c:v>
                </c:pt>
                <c:pt idx="28">
                  <c:v>2017</c:v>
                </c:pt>
                <c:pt idx="29">
                  <c:v>2017</c:v>
                </c:pt>
                <c:pt idx="30">
                  <c:v>2017</c:v>
                </c:pt>
                <c:pt idx="31">
                  <c:v>2017</c:v>
                </c:pt>
                <c:pt idx="32">
                  <c:v>2017</c:v>
                </c:pt>
                <c:pt idx="33">
                  <c:v>2017</c:v>
                </c:pt>
                <c:pt idx="34">
                  <c:v>2017</c:v>
                </c:pt>
                <c:pt idx="35">
                  <c:v>2017</c:v>
                </c:pt>
                <c:pt idx="36">
                  <c:v>2017</c:v>
                </c:pt>
                <c:pt idx="37">
                  <c:v>2017</c:v>
                </c:pt>
                <c:pt idx="38">
                  <c:v>2017</c:v>
                </c:pt>
                <c:pt idx="39">
                  <c:v>2017</c:v>
                </c:pt>
                <c:pt idx="40">
                  <c:v>2017</c:v>
                </c:pt>
                <c:pt idx="41">
                  <c:v>2017</c:v>
                </c:pt>
                <c:pt idx="42">
                  <c:v>2017</c:v>
                </c:pt>
                <c:pt idx="43">
                  <c:v>2017</c:v>
                </c:pt>
                <c:pt idx="44">
                  <c:v>2017</c:v>
                </c:pt>
                <c:pt idx="45">
                  <c:v>2017</c:v>
                </c:pt>
                <c:pt idx="46">
                  <c:v>2017</c:v>
                </c:pt>
                <c:pt idx="47">
                  <c:v>2017</c:v>
                </c:pt>
                <c:pt idx="48">
                  <c:v>2018</c:v>
                </c:pt>
                <c:pt idx="49">
                  <c:v>2018</c:v>
                </c:pt>
                <c:pt idx="50">
                  <c:v>2018</c:v>
                </c:pt>
                <c:pt idx="51">
                  <c:v>2018</c:v>
                </c:pt>
                <c:pt idx="52">
                  <c:v>2018</c:v>
                </c:pt>
                <c:pt idx="53">
                  <c:v>2018</c:v>
                </c:pt>
                <c:pt idx="54">
                  <c:v>2018</c:v>
                </c:pt>
                <c:pt idx="55">
                  <c:v>2018</c:v>
                </c:pt>
                <c:pt idx="56">
                  <c:v>2018</c:v>
                </c:pt>
                <c:pt idx="57">
                  <c:v>2018</c:v>
                </c:pt>
                <c:pt idx="58">
                  <c:v>2018</c:v>
                </c:pt>
                <c:pt idx="59">
                  <c:v>2018</c:v>
                </c:pt>
                <c:pt idx="60">
                  <c:v>2018</c:v>
                </c:pt>
                <c:pt idx="61">
                  <c:v>2018</c:v>
                </c:pt>
                <c:pt idx="62">
                  <c:v>2018</c:v>
                </c:pt>
                <c:pt idx="63">
                  <c:v>2018</c:v>
                </c:pt>
                <c:pt idx="64">
                  <c:v>2019</c:v>
                </c:pt>
                <c:pt idx="65">
                  <c:v>2019</c:v>
                </c:pt>
                <c:pt idx="66">
                  <c:v>2019</c:v>
                </c:pt>
                <c:pt idx="67">
                  <c:v>2019</c:v>
                </c:pt>
                <c:pt idx="68">
                  <c:v>2019</c:v>
                </c:pt>
                <c:pt idx="69">
                  <c:v>2019</c:v>
                </c:pt>
                <c:pt idx="70">
                  <c:v>2019</c:v>
                </c:pt>
                <c:pt idx="71">
                  <c:v>2019</c:v>
                </c:pt>
                <c:pt idx="72">
                  <c:v>2019</c:v>
                </c:pt>
                <c:pt idx="73">
                  <c:v>2019</c:v>
                </c:pt>
                <c:pt idx="74">
                  <c:v>2019</c:v>
                </c:pt>
                <c:pt idx="75">
                  <c:v>2019</c:v>
                </c:pt>
                <c:pt idx="76">
                  <c:v>2019</c:v>
                </c:pt>
                <c:pt idx="77">
                  <c:v>2019</c:v>
                </c:pt>
                <c:pt idx="78">
                  <c:v>2019</c:v>
                </c:pt>
                <c:pt idx="79">
                  <c:v>2019</c:v>
                </c:pt>
                <c:pt idx="80">
                  <c:v>2020</c:v>
                </c:pt>
                <c:pt idx="81">
                  <c:v>2020</c:v>
                </c:pt>
                <c:pt idx="82">
                  <c:v>2020</c:v>
                </c:pt>
                <c:pt idx="83">
                  <c:v>2020</c:v>
                </c:pt>
                <c:pt idx="84">
                  <c:v>2020</c:v>
                </c:pt>
                <c:pt idx="85">
                  <c:v>2020</c:v>
                </c:pt>
                <c:pt idx="86">
                  <c:v>2020</c:v>
                </c:pt>
                <c:pt idx="87">
                  <c:v>2020</c:v>
                </c:pt>
                <c:pt idx="88">
                  <c:v>2020</c:v>
                </c:pt>
                <c:pt idx="89">
                  <c:v>2020</c:v>
                </c:pt>
                <c:pt idx="90">
                  <c:v>2020</c:v>
                </c:pt>
                <c:pt idx="91">
                  <c:v>2020</c:v>
                </c:pt>
                <c:pt idx="92">
                  <c:v>2020</c:v>
                </c:pt>
                <c:pt idx="93">
                  <c:v>2020</c:v>
                </c:pt>
                <c:pt idx="94">
                  <c:v>2020</c:v>
                </c:pt>
                <c:pt idx="95">
                  <c:v>2020</c:v>
                </c:pt>
                <c:pt idx="96">
                  <c:v>2020</c:v>
                </c:pt>
                <c:pt idx="97">
                  <c:v>2020</c:v>
                </c:pt>
                <c:pt idx="98">
                  <c:v>2020</c:v>
                </c:pt>
                <c:pt idx="99">
                  <c:v>2020</c:v>
                </c:pt>
                <c:pt idx="100">
                  <c:v>2021</c:v>
                </c:pt>
                <c:pt idx="101">
                  <c:v>2021</c:v>
                </c:pt>
                <c:pt idx="102">
                  <c:v>2021</c:v>
                </c:pt>
                <c:pt idx="103">
                  <c:v>2021</c:v>
                </c:pt>
                <c:pt idx="104">
                  <c:v>2021</c:v>
                </c:pt>
                <c:pt idx="105">
                  <c:v>2021</c:v>
                </c:pt>
                <c:pt idx="106">
                  <c:v>2021</c:v>
                </c:pt>
                <c:pt idx="107">
                  <c:v>2021</c:v>
                </c:pt>
                <c:pt idx="108">
                  <c:v>2021</c:v>
                </c:pt>
                <c:pt idx="109">
                  <c:v>2021</c:v>
                </c:pt>
                <c:pt idx="110">
                  <c:v>2021</c:v>
                </c:pt>
                <c:pt idx="111">
                  <c:v>2021</c:v>
                </c:pt>
                <c:pt idx="112">
                  <c:v>2021</c:v>
                </c:pt>
                <c:pt idx="113">
                  <c:v>2021</c:v>
                </c:pt>
                <c:pt idx="114">
                  <c:v>2021</c:v>
                </c:pt>
                <c:pt idx="115">
                  <c:v>2021</c:v>
                </c:pt>
                <c:pt idx="116">
                  <c:v>2021</c:v>
                </c:pt>
                <c:pt idx="117">
                  <c:v>2021</c:v>
                </c:pt>
                <c:pt idx="118">
                  <c:v>2021</c:v>
                </c:pt>
                <c:pt idx="119">
                  <c:v>2021</c:v>
                </c:pt>
                <c:pt idx="120">
                  <c:v>2021</c:v>
                </c:pt>
                <c:pt idx="121">
                  <c:v>2021</c:v>
                </c:pt>
                <c:pt idx="122">
                  <c:v>2021</c:v>
                </c:pt>
                <c:pt idx="123">
                  <c:v>2021</c:v>
                </c:pt>
                <c:pt idx="124">
                  <c:v>2022</c:v>
                </c:pt>
                <c:pt idx="125">
                  <c:v>2022</c:v>
                </c:pt>
                <c:pt idx="126">
                  <c:v>2022</c:v>
                </c:pt>
                <c:pt idx="127">
                  <c:v>2022</c:v>
                </c:pt>
                <c:pt idx="128">
                  <c:v>2022</c:v>
                </c:pt>
                <c:pt idx="129">
                  <c:v>2022</c:v>
                </c:pt>
                <c:pt idx="130">
                  <c:v>2022</c:v>
                </c:pt>
                <c:pt idx="131">
                  <c:v>2022</c:v>
                </c:pt>
                <c:pt idx="132">
                  <c:v>2022</c:v>
                </c:pt>
                <c:pt idx="133">
                  <c:v>2022</c:v>
                </c:pt>
                <c:pt idx="134">
                  <c:v>2022</c:v>
                </c:pt>
                <c:pt idx="135">
                  <c:v>2022</c:v>
                </c:pt>
                <c:pt idx="136">
                  <c:v>2022</c:v>
                </c:pt>
                <c:pt idx="137">
                  <c:v>2022</c:v>
                </c:pt>
                <c:pt idx="138">
                  <c:v>2022</c:v>
                </c:pt>
                <c:pt idx="139">
                  <c:v>2022</c:v>
                </c:pt>
                <c:pt idx="140">
                  <c:v>2022</c:v>
                </c:pt>
                <c:pt idx="141">
                  <c:v>2022</c:v>
                </c:pt>
                <c:pt idx="142">
                  <c:v>2022</c:v>
                </c:pt>
                <c:pt idx="143">
                  <c:v>2022</c:v>
                </c:pt>
                <c:pt idx="144">
                  <c:v>2022</c:v>
                </c:pt>
                <c:pt idx="145">
                  <c:v>2022</c:v>
                </c:pt>
                <c:pt idx="146">
                  <c:v>2022</c:v>
                </c:pt>
                <c:pt idx="147">
                  <c:v>2022</c:v>
                </c:pt>
                <c:pt idx="148">
                  <c:v>2023</c:v>
                </c:pt>
                <c:pt idx="149">
                  <c:v>2023</c:v>
                </c:pt>
                <c:pt idx="150">
                  <c:v>2023</c:v>
                </c:pt>
                <c:pt idx="151">
                  <c:v>2023</c:v>
                </c:pt>
                <c:pt idx="152">
                  <c:v>2023</c:v>
                </c:pt>
                <c:pt idx="153">
                  <c:v>2023</c:v>
                </c:pt>
                <c:pt idx="154">
                  <c:v>2023</c:v>
                </c:pt>
                <c:pt idx="155">
                  <c:v>2023</c:v>
                </c:pt>
                <c:pt idx="156">
                  <c:v>2023</c:v>
                </c:pt>
                <c:pt idx="157">
                  <c:v>2023</c:v>
                </c:pt>
                <c:pt idx="158">
                  <c:v>2023</c:v>
                </c:pt>
                <c:pt idx="159">
                  <c:v>2023</c:v>
                </c:pt>
                <c:pt idx="160">
                  <c:v>2023</c:v>
                </c:pt>
                <c:pt idx="161">
                  <c:v>2023</c:v>
                </c:pt>
                <c:pt idx="162">
                  <c:v>2023</c:v>
                </c:pt>
                <c:pt idx="163">
                  <c:v>2023</c:v>
                </c:pt>
                <c:pt idx="164">
                  <c:v>2023</c:v>
                </c:pt>
                <c:pt idx="165">
                  <c:v>2023</c:v>
                </c:pt>
                <c:pt idx="166">
                  <c:v>2023</c:v>
                </c:pt>
                <c:pt idx="167">
                  <c:v>2023</c:v>
                </c:pt>
                <c:pt idx="168">
                  <c:v>2023</c:v>
                </c:pt>
                <c:pt idx="169">
                  <c:v>2023</c:v>
                </c:pt>
                <c:pt idx="170">
                  <c:v>2023</c:v>
                </c:pt>
                <c:pt idx="171">
                  <c:v>2023</c:v>
                </c:pt>
                <c:pt idx="172">
                  <c:v>2024</c:v>
                </c:pt>
                <c:pt idx="173">
                  <c:v>2024</c:v>
                </c:pt>
                <c:pt idx="174">
                  <c:v>2024</c:v>
                </c:pt>
                <c:pt idx="175">
                  <c:v>2024</c:v>
                </c:pt>
                <c:pt idx="176">
                  <c:v>2024</c:v>
                </c:pt>
                <c:pt idx="177">
                  <c:v>2024</c:v>
                </c:pt>
                <c:pt idx="178">
                  <c:v>2024</c:v>
                </c:pt>
                <c:pt idx="179">
                  <c:v>2024</c:v>
                </c:pt>
                <c:pt idx="180">
                  <c:v>2024</c:v>
                </c:pt>
                <c:pt idx="181">
                  <c:v>2024</c:v>
                </c:pt>
                <c:pt idx="182">
                  <c:v>2024</c:v>
                </c:pt>
                <c:pt idx="183">
                  <c:v>2024</c:v>
                </c:pt>
                <c:pt idx="184">
                  <c:v>2024</c:v>
                </c:pt>
                <c:pt idx="185">
                  <c:v>2024</c:v>
                </c:pt>
                <c:pt idx="186">
                  <c:v>2024</c:v>
                </c:pt>
                <c:pt idx="187">
                  <c:v>2024</c:v>
                </c:pt>
                <c:pt idx="188">
                  <c:v>2024</c:v>
                </c:pt>
                <c:pt idx="189">
                  <c:v>2024</c:v>
                </c:pt>
                <c:pt idx="190">
                  <c:v>2024</c:v>
                </c:pt>
                <c:pt idx="191">
                  <c:v>2024</c:v>
                </c:pt>
                <c:pt idx="192">
                  <c:v>2024</c:v>
                </c:pt>
                <c:pt idx="193">
                  <c:v>2024</c:v>
                </c:pt>
                <c:pt idx="194">
                  <c:v>2024</c:v>
                </c:pt>
                <c:pt idx="195">
                  <c:v>2024</c:v>
                </c:pt>
                <c:pt idx="196">
                  <c:v>2025</c:v>
                </c:pt>
                <c:pt idx="197">
                  <c:v>2025</c:v>
                </c:pt>
                <c:pt idx="198">
                  <c:v>2025</c:v>
                </c:pt>
                <c:pt idx="199">
                  <c:v>2025</c:v>
                </c:pt>
                <c:pt idx="200">
                  <c:v>2025</c:v>
                </c:pt>
                <c:pt idx="201">
                  <c:v>2025</c:v>
                </c:pt>
                <c:pt idx="202">
                  <c:v>2025</c:v>
                </c:pt>
                <c:pt idx="203">
                  <c:v>2025</c:v>
                </c:pt>
                <c:pt idx="204">
                  <c:v>2025</c:v>
                </c:pt>
                <c:pt idx="205">
                  <c:v>2025</c:v>
                </c:pt>
                <c:pt idx="206">
                  <c:v>2025</c:v>
                </c:pt>
                <c:pt idx="207">
                  <c:v>2025</c:v>
                </c:pt>
                <c:pt idx="208">
                  <c:v>2025</c:v>
                </c:pt>
                <c:pt idx="209">
                  <c:v>2025</c:v>
                </c:pt>
                <c:pt idx="210">
                  <c:v>2025</c:v>
                </c:pt>
                <c:pt idx="211">
                  <c:v>2025</c:v>
                </c:pt>
                <c:pt idx="212">
                  <c:v>2025</c:v>
                </c:pt>
                <c:pt idx="213">
                  <c:v>2025</c:v>
                </c:pt>
                <c:pt idx="214">
                  <c:v>2025</c:v>
                </c:pt>
                <c:pt idx="215">
                  <c:v>2025</c:v>
                </c:pt>
                <c:pt idx="216">
                  <c:v>2025</c:v>
                </c:pt>
                <c:pt idx="217">
                  <c:v>2025</c:v>
                </c:pt>
                <c:pt idx="218">
                  <c:v>2025</c:v>
                </c:pt>
                <c:pt idx="219">
                  <c:v>2025</c:v>
                </c:pt>
              </c:numCache>
            </c:numRef>
          </c:xVal>
          <c:yVal>
            <c:numRef>
              <c:f>data_cluster_ai_inv_share!$G$222:$G$441</c:f>
              <c:numCache>
                <c:formatCode>General</c:formatCode>
                <c:ptCount val="220"/>
                <c:pt idx="0">
                  <c:v>0.41668627246598899</c:v>
                </c:pt>
                <c:pt idx="1">
                  <c:v>-0.47235285542918604</c:v>
                </c:pt>
                <c:pt idx="2">
                  <c:v>-0.19885935702409907</c:v>
                </c:pt>
                <c:pt idx="3">
                  <c:v>-0.3600890531802059</c:v>
                </c:pt>
                <c:pt idx="4">
                  <c:v>-0.14620954323508523</c:v>
                </c:pt>
                <c:pt idx="5">
                  <c:v>-0.57280300136018747</c:v>
                </c:pt>
                <c:pt idx="6">
                  <c:v>0.1253373978109007</c:v>
                </c:pt>
                <c:pt idx="7">
                  <c:v>0.12311761734483889</c:v>
                </c:pt>
                <c:pt idx="8">
                  <c:v>0.29855354285163038</c:v>
                </c:pt>
                <c:pt idx="9">
                  <c:v>-0.47972768132192978</c:v>
                </c:pt>
                <c:pt idx="10">
                  <c:v>-8.9414898423502587E-2</c:v>
                </c:pt>
                <c:pt idx="11">
                  <c:v>-8.8439121019513678E-2</c:v>
                </c:pt>
                <c:pt idx="12">
                  <c:v>0.66075179047467292</c:v>
                </c:pt>
                <c:pt idx="13">
                  <c:v>0.71728036681706908</c:v>
                </c:pt>
                <c:pt idx="14">
                  <c:v>2.7912869879358926E-2</c:v>
                </c:pt>
                <c:pt idx="15">
                  <c:v>0.44124858238985798</c:v>
                </c:pt>
                <c:pt idx="16">
                  <c:v>0.27860513231977801</c:v>
                </c:pt>
                <c:pt idx="17">
                  <c:v>0.16032115441809891</c:v>
                </c:pt>
                <c:pt idx="18">
                  <c:v>0.24619510094493702</c:v>
                </c:pt>
                <c:pt idx="19">
                  <c:v>0.56021580938968807</c:v>
                </c:pt>
                <c:pt idx="20">
                  <c:v>-0.6951946375147382</c:v>
                </c:pt>
                <c:pt idx="21">
                  <c:v>-0.9474050098037794</c:v>
                </c:pt>
                <c:pt idx="22">
                  <c:v>-0.52027408063893632</c:v>
                </c:pt>
                <c:pt idx="23">
                  <c:v>-0.59721808051947733</c:v>
                </c:pt>
                <c:pt idx="24">
                  <c:v>0.25837958787036319</c:v>
                </c:pt>
                <c:pt idx="25">
                  <c:v>0.65826627678273919</c:v>
                </c:pt>
                <c:pt idx="26">
                  <c:v>0.73200384369860516</c:v>
                </c:pt>
                <c:pt idx="27">
                  <c:v>0.71349901011999117</c:v>
                </c:pt>
                <c:pt idx="28">
                  <c:v>0.1507797162184652</c:v>
                </c:pt>
                <c:pt idx="29">
                  <c:v>-0.10249939779924788</c:v>
                </c:pt>
                <c:pt idx="30">
                  <c:v>-0.26884506369373296</c:v>
                </c:pt>
                <c:pt idx="31">
                  <c:v>-7.9783867035730927E-2</c:v>
                </c:pt>
                <c:pt idx="32">
                  <c:v>1.6647192282288961</c:v>
                </c:pt>
                <c:pt idx="33">
                  <c:v>1.5726056100512928</c:v>
                </c:pt>
                <c:pt idx="34">
                  <c:v>0.98726553765954383</c:v>
                </c:pt>
                <c:pt idx="35">
                  <c:v>1.4979471361736059</c:v>
                </c:pt>
                <c:pt idx="36">
                  <c:v>2.4720940007392684</c:v>
                </c:pt>
                <c:pt idx="37">
                  <c:v>2.5243960048727772</c:v>
                </c:pt>
                <c:pt idx="38">
                  <c:v>-4.9051166356071096E-2</c:v>
                </c:pt>
                <c:pt idx="39">
                  <c:v>1.9527316757675739</c:v>
                </c:pt>
                <c:pt idx="40">
                  <c:v>0.88730828907390391</c:v>
                </c:pt>
                <c:pt idx="41">
                  <c:v>0.55799583927453589</c:v>
                </c:pt>
                <c:pt idx="42">
                  <c:v>0.63331091710201193</c:v>
                </c:pt>
                <c:pt idx="43">
                  <c:v>0.89053149409434584</c:v>
                </c:pt>
                <c:pt idx="44">
                  <c:v>1.0914375503477329</c:v>
                </c:pt>
                <c:pt idx="45">
                  <c:v>0.77378648218358492</c:v>
                </c:pt>
                <c:pt idx="46">
                  <c:v>-0.46496850488224206</c:v>
                </c:pt>
                <c:pt idx="47">
                  <c:v>0.63236498765517979</c:v>
                </c:pt>
                <c:pt idx="48">
                  <c:v>-0.85346390397992189</c:v>
                </c:pt>
                <c:pt idx="49">
                  <c:v>-0.58665416924442604</c:v>
                </c:pt>
                <c:pt idx="50">
                  <c:v>-0.45083812998151118</c:v>
                </c:pt>
                <c:pt idx="51">
                  <c:v>-1.0388815708978532</c:v>
                </c:pt>
                <c:pt idx="52">
                  <c:v>-1.4684876877358761</c:v>
                </c:pt>
                <c:pt idx="53">
                  <c:v>-0.55948823596464492</c:v>
                </c:pt>
                <c:pt idx="54">
                  <c:v>-1.7034961062862728</c:v>
                </c:pt>
                <c:pt idx="55">
                  <c:v>-1.3340082792667409</c:v>
                </c:pt>
                <c:pt idx="56">
                  <c:v>-0.17374369252594701</c:v>
                </c:pt>
                <c:pt idx="57">
                  <c:v>-0.15383585632429808</c:v>
                </c:pt>
                <c:pt idx="58">
                  <c:v>-9.4418697622485004E-2</c:v>
                </c:pt>
                <c:pt idx="59">
                  <c:v>-0.41758951411248901</c:v>
                </c:pt>
                <c:pt idx="60">
                  <c:v>-0.49220694854774294</c:v>
                </c:pt>
                <c:pt idx="61">
                  <c:v>0.41068430201465511</c:v>
                </c:pt>
                <c:pt idx="62">
                  <c:v>-0.60915575871749095</c:v>
                </c:pt>
                <c:pt idx="63">
                  <c:v>-0.72275559772991471</c:v>
                </c:pt>
                <c:pt idx="64">
                  <c:v>-0.72683828897076608</c:v>
                </c:pt>
                <c:pt idx="65">
                  <c:v>-0.93999679709258999</c:v>
                </c:pt>
                <c:pt idx="66">
                  <c:v>0.67371743677701046</c:v>
                </c:pt>
                <c:pt idx="67">
                  <c:v>0.56661972983481634</c:v>
                </c:pt>
                <c:pt idx="68">
                  <c:v>-0.8335748506428422</c:v>
                </c:pt>
                <c:pt idx="69">
                  <c:v>-0.9295559719103379</c:v>
                </c:pt>
                <c:pt idx="70">
                  <c:v>-1.4110869060006026E-2</c:v>
                </c:pt>
                <c:pt idx="71">
                  <c:v>-0.29784066310397006</c:v>
                </c:pt>
                <c:pt idx="72">
                  <c:v>0.4384166790122872</c:v>
                </c:pt>
                <c:pt idx="73">
                  <c:v>0.24168578243425221</c:v>
                </c:pt>
                <c:pt idx="74">
                  <c:v>0.79261069491608427</c:v>
                </c:pt>
                <c:pt idx="75">
                  <c:v>0.74602981041785821</c:v>
                </c:pt>
                <c:pt idx="76">
                  <c:v>-0.12859335988762766</c:v>
                </c:pt>
                <c:pt idx="77">
                  <c:v>-0.32154765833279697</c:v>
                </c:pt>
                <c:pt idx="78">
                  <c:v>0.56885798608977911</c:v>
                </c:pt>
                <c:pt idx="79">
                  <c:v>0.6408810234895721</c:v>
                </c:pt>
                <c:pt idx="80">
                  <c:v>-5.8720213186906536</c:v>
                </c:pt>
                <c:pt idx="81">
                  <c:v>-6.1107535820139915</c:v>
                </c:pt>
                <c:pt idx="82">
                  <c:v>3.5084821711300487</c:v>
                </c:pt>
                <c:pt idx="83">
                  <c:v>2.2459230282070131</c:v>
                </c:pt>
                <c:pt idx="84">
                  <c:v>-5.5117432414984107</c:v>
                </c:pt>
                <c:pt idx="85">
                  <c:v>-6.0477828073613109</c:v>
                </c:pt>
                <c:pt idx="86">
                  <c:v>1.0663028045156304</c:v>
                </c:pt>
                <c:pt idx="87">
                  <c:v>1.9676759169072984</c:v>
                </c:pt>
                <c:pt idx="88">
                  <c:v>-3.6230506117637438</c:v>
                </c:pt>
                <c:pt idx="89">
                  <c:v>-3.6875295267387962</c:v>
                </c:pt>
                <c:pt idx="90">
                  <c:v>1.7496128021536563</c:v>
                </c:pt>
                <c:pt idx="91">
                  <c:v>3.812344683053138</c:v>
                </c:pt>
                <c:pt idx="92">
                  <c:v>-9.1974015560336042</c:v>
                </c:pt>
                <c:pt idx="93">
                  <c:v>-9.4157638701608679</c:v>
                </c:pt>
                <c:pt idx="94">
                  <c:v>1.4391287067798215</c:v>
                </c:pt>
                <c:pt idx="95">
                  <c:v>0.33628419121901221</c:v>
                </c:pt>
                <c:pt idx="96">
                  <c:v>-5.1870723493020137</c:v>
                </c:pt>
                <c:pt idx="97">
                  <c:v>-5.5233877578965265</c:v>
                </c:pt>
                <c:pt idx="98">
                  <c:v>1.4182708153157462</c:v>
                </c:pt>
                <c:pt idx="99">
                  <c:v>2.9439454385808403</c:v>
                </c:pt>
                <c:pt idx="100">
                  <c:v>1.9428126002794937</c:v>
                </c:pt>
                <c:pt idx="101">
                  <c:v>-0.62319540430046239</c:v>
                </c:pt>
                <c:pt idx="102">
                  <c:v>8.311464590272255E-2</c:v>
                </c:pt>
                <c:pt idx="103">
                  <c:v>1.5244104334755164</c:v>
                </c:pt>
                <c:pt idx="104">
                  <c:v>0.31461082759038206</c:v>
                </c:pt>
                <c:pt idx="105">
                  <c:v>-2.0409268972643462</c:v>
                </c:pt>
                <c:pt idx="106">
                  <c:v>1.097113718613111</c:v>
                </c:pt>
                <c:pt idx="107">
                  <c:v>0.42604586480458417</c:v>
                </c:pt>
                <c:pt idx="108">
                  <c:v>1.1184606927194407</c:v>
                </c:pt>
                <c:pt idx="109">
                  <c:v>-0.50686163990971256</c:v>
                </c:pt>
                <c:pt idx="110">
                  <c:v>1.8458632295773425</c:v>
                </c:pt>
                <c:pt idx="111">
                  <c:v>0.58806104979523433</c:v>
                </c:pt>
                <c:pt idx="112">
                  <c:v>-0.25859743194969287</c:v>
                </c:pt>
                <c:pt idx="113">
                  <c:v>-1.0319888097993339</c:v>
                </c:pt>
                <c:pt idx="114">
                  <c:v>-0.76255561777172076</c:v>
                </c:pt>
                <c:pt idx="115">
                  <c:v>-9.7992979043315831E-2</c:v>
                </c:pt>
                <c:pt idx="116">
                  <c:v>0.77492257463683512</c:v>
                </c:pt>
                <c:pt idx="117">
                  <c:v>-0.83094601408312574</c:v>
                </c:pt>
                <c:pt idx="118">
                  <c:v>2.7609048047935403E-2</c:v>
                </c:pt>
                <c:pt idx="119">
                  <c:v>0.85548580385178141</c:v>
                </c:pt>
                <c:pt idx="120">
                  <c:v>3.8584405374490256</c:v>
                </c:pt>
                <c:pt idx="121">
                  <c:v>1.0561243309838426</c:v>
                </c:pt>
                <c:pt idx="122">
                  <c:v>2.0469395382772038</c:v>
                </c:pt>
                <c:pt idx="123">
                  <c:v>3.6815274398948827</c:v>
                </c:pt>
                <c:pt idx="124">
                  <c:v>1.2985802285253398</c:v>
                </c:pt>
                <c:pt idx="125">
                  <c:v>0.27459955625362209</c:v>
                </c:pt>
                <c:pt idx="126">
                  <c:v>1.1286019302321901</c:v>
                </c:pt>
                <c:pt idx="127">
                  <c:v>1.9291371195943738</c:v>
                </c:pt>
                <c:pt idx="128">
                  <c:v>-2.6609443169839953</c:v>
                </c:pt>
                <c:pt idx="129">
                  <c:v>-2.1229358469342294</c:v>
                </c:pt>
                <c:pt idx="130">
                  <c:v>0.37338056935970299</c:v>
                </c:pt>
                <c:pt idx="131">
                  <c:v>0.37386578423211692</c:v>
                </c:pt>
                <c:pt idx="132">
                  <c:v>0.64788894209388648</c:v>
                </c:pt>
                <c:pt idx="133">
                  <c:v>-0.60227924273788158</c:v>
                </c:pt>
                <c:pt idx="134">
                  <c:v>1.6280433106379038</c:v>
                </c:pt>
                <c:pt idx="135">
                  <c:v>2.149623075816363</c:v>
                </c:pt>
                <c:pt idx="136">
                  <c:v>-2.0671616710759921</c:v>
                </c:pt>
                <c:pt idx="137">
                  <c:v>-1.9916383255658392</c:v>
                </c:pt>
                <c:pt idx="138">
                  <c:v>-1.5677906220824354</c:v>
                </c:pt>
                <c:pt idx="139">
                  <c:v>-0.84304938846227129</c:v>
                </c:pt>
                <c:pt idx="140">
                  <c:v>-1.0044763978131481</c:v>
                </c:pt>
                <c:pt idx="141">
                  <c:v>-1.4498059135976793</c:v>
                </c:pt>
                <c:pt idx="142">
                  <c:v>0.13221272000764106</c:v>
                </c:pt>
                <c:pt idx="143">
                  <c:v>-0.33728125818969223</c:v>
                </c:pt>
                <c:pt idx="144">
                  <c:v>1.5403141268462113</c:v>
                </c:pt>
                <c:pt idx="145">
                  <c:v>1.3102425391146273</c:v>
                </c:pt>
                <c:pt idx="146">
                  <c:v>0.24027154732824307</c:v>
                </c:pt>
                <c:pt idx="147">
                  <c:v>1.6179605359437201</c:v>
                </c:pt>
                <c:pt idx="148">
                  <c:v>1.3883640898298362</c:v>
                </c:pt>
                <c:pt idx="149">
                  <c:v>-0.22744129975502081</c:v>
                </c:pt>
                <c:pt idx="150">
                  <c:v>0.10822182527690605</c:v>
                </c:pt>
                <c:pt idx="151">
                  <c:v>0.3161099745136402</c:v>
                </c:pt>
                <c:pt idx="152">
                  <c:v>-0.19093583944082815</c:v>
                </c:pt>
                <c:pt idx="153">
                  <c:v>-3.2259227434105444</c:v>
                </c:pt>
                <c:pt idx="154">
                  <c:v>-0.54354189717324675</c:v>
                </c:pt>
                <c:pt idx="155">
                  <c:v>-1.0064641370532392</c:v>
                </c:pt>
                <c:pt idx="156">
                  <c:v>1.4759385035830395</c:v>
                </c:pt>
                <c:pt idx="157">
                  <c:v>-0.94199003346141597</c:v>
                </c:pt>
                <c:pt idx="158">
                  <c:v>6.5493966740925114E-2</c:v>
                </c:pt>
                <c:pt idx="159">
                  <c:v>0.49429728762396685</c:v>
                </c:pt>
                <c:pt idx="160">
                  <c:v>-1.5379932664356266</c:v>
                </c:pt>
                <c:pt idx="161">
                  <c:v>-2.96232576895608</c:v>
                </c:pt>
                <c:pt idx="162">
                  <c:v>-1.4350651524638591</c:v>
                </c:pt>
                <c:pt idx="163">
                  <c:v>-1.4958963214910126</c:v>
                </c:pt>
                <c:pt idx="164">
                  <c:v>1.362740568589244</c:v>
                </c:pt>
                <c:pt idx="165">
                  <c:v>3.3137959113811011E-2</c:v>
                </c:pt>
                <c:pt idx="166">
                  <c:v>0.799970788141108</c:v>
                </c:pt>
                <c:pt idx="167">
                  <c:v>1.0779868195341884</c:v>
                </c:pt>
                <c:pt idx="168">
                  <c:v>-1.2332667915025379</c:v>
                </c:pt>
                <c:pt idx="169">
                  <c:v>-2.1529435732412807</c:v>
                </c:pt>
                <c:pt idx="170">
                  <c:v>-1.1646182848044611</c:v>
                </c:pt>
                <c:pt idx="171">
                  <c:v>-2.3856877313900817</c:v>
                </c:pt>
                <c:pt idx="172">
                  <c:v>-0.27505597868087905</c:v>
                </c:pt>
                <c:pt idx="173">
                  <c:v>-0.26942607773384397</c:v>
                </c:pt>
                <c:pt idx="174">
                  <c:v>-5.2551522415263063E-2</c:v>
                </c:pt>
                <c:pt idx="175">
                  <c:v>-0.18241471680150112</c:v>
                </c:pt>
                <c:pt idx="176">
                  <c:v>-0.76398245054191438</c:v>
                </c:pt>
                <c:pt idx="177">
                  <c:v>-1.3181654375038181</c:v>
                </c:pt>
                <c:pt idx="178">
                  <c:v>0.15197449145164205</c:v>
                </c:pt>
                <c:pt idx="179">
                  <c:v>-8.7013171124686664E-2</c:v>
                </c:pt>
                <c:pt idx="180">
                  <c:v>1.7363603942146351</c:v>
                </c:pt>
                <c:pt idx="181">
                  <c:v>1.432026290013092</c:v>
                </c:pt>
                <c:pt idx="182">
                  <c:v>0.42996620634170712</c:v>
                </c:pt>
                <c:pt idx="183">
                  <c:v>1.2521726761369569</c:v>
                </c:pt>
                <c:pt idx="184">
                  <c:v>5.5454419377964248E-2</c:v>
                </c:pt>
                <c:pt idx="185">
                  <c:v>-0.49398677856419337</c:v>
                </c:pt>
                <c:pt idx="186">
                  <c:v>1.1596069734324581</c:v>
                </c:pt>
                <c:pt idx="187">
                  <c:v>0.84187322906342721</c:v>
                </c:pt>
                <c:pt idx="188">
                  <c:v>0.16738745154850099</c:v>
                </c:pt>
                <c:pt idx="189">
                  <c:v>-4.1217278471559204E-3</c:v>
                </c:pt>
                <c:pt idx="190">
                  <c:v>0.27545247469052403</c:v>
                </c:pt>
                <c:pt idx="191">
                  <c:v>0.68596377940700104</c:v>
                </c:pt>
                <c:pt idx="192">
                  <c:v>-3.2333375546518051E-2</c:v>
                </c:pt>
                <c:pt idx="193">
                  <c:v>-0.12243536174728198</c:v>
                </c:pt>
                <c:pt idx="194">
                  <c:v>0.21729749415612565</c:v>
                </c:pt>
                <c:pt idx="195">
                  <c:v>0.2982196320767394</c:v>
                </c:pt>
                <c:pt idx="196">
                  <c:v>-0.26624808616432227</c:v>
                </c:pt>
                <c:pt idx="197">
                  <c:v>-0.3989585451423473</c:v>
                </c:pt>
                <c:pt idx="198">
                  <c:v>-1.9512226852114511E-2</c:v>
                </c:pt>
                <c:pt idx="199">
                  <c:v>0.20939697133562885</c:v>
                </c:pt>
                <c:pt idx="200">
                  <c:v>-0.35308220120580563</c:v>
                </c:pt>
                <c:pt idx="201">
                  <c:v>-0.67387334670426191</c:v>
                </c:pt>
                <c:pt idx="202">
                  <c:v>0.16956839292984849</c:v>
                </c:pt>
                <c:pt idx="203">
                  <c:v>0.37008740234464971</c:v>
                </c:pt>
                <c:pt idx="204">
                  <c:v>0.4397199192889798</c:v>
                </c:pt>
                <c:pt idx="205">
                  <c:v>0.83836493177998594</c:v>
                </c:pt>
                <c:pt idx="206">
                  <c:v>-8.2255734956584892E-2</c:v>
                </c:pt>
                <c:pt idx="207">
                  <c:v>0.23477837424939674</c:v>
                </c:pt>
                <c:pt idx="208">
                  <c:v>-0.74460636681637882</c:v>
                </c:pt>
                <c:pt idx="209">
                  <c:v>-0.5607547780382397</c:v>
                </c:pt>
                <c:pt idx="210">
                  <c:v>0.72418125285179868</c:v>
                </c:pt>
                <c:pt idx="211">
                  <c:v>-0.17606213387669556</c:v>
                </c:pt>
                <c:pt idx="212">
                  <c:v>6.3031178006735966E-2</c:v>
                </c:pt>
                <c:pt idx="213">
                  <c:v>-0.37378753748365889</c:v>
                </c:pt>
                <c:pt idx="214">
                  <c:v>0.18847413300152815</c:v>
                </c:pt>
                <c:pt idx="215">
                  <c:v>0.31295676387087734</c:v>
                </c:pt>
                <c:pt idx="216">
                  <c:v>1.1664057740270906E-2</c:v>
                </c:pt>
                <c:pt idx="217">
                  <c:v>9.6561946396513942E-2</c:v>
                </c:pt>
                <c:pt idx="218">
                  <c:v>-0.13369066632513404</c:v>
                </c:pt>
                <c:pt idx="21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8E5-46D2-990D-3B138137D2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Target year (time)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3"/>
  <c:chart>
    <c:title>
      <c:tx>
        <c:rich>
          <a:bodyPr/>
          <a:lstStyle/>
          <a:p>
            <a:pPr>
              <a:defRPr/>
            </a:pPr>
            <a:r>
              <a:t>Growth surprise (Spring &amp; Autumn forecast) vs. AI incoming investment share (per avg. quarterly GDP) -- 2020/2022/2025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Country-year observations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7BECF"/>
              </a:solidFill>
              <a:ln>
                <a:solidFill>
                  <a:srgbClr val="17BECF"/>
                </a:solidFill>
                <a:prstDash val="solid"/>
              </a:ln>
            </c:spPr>
          </c:marker>
          <c:xVal>
            <c:numRef>
              <c:f>data_ai_inv_share_yrs!$H$2:$H$61</c:f>
              <c:numCache>
                <c:formatCode>General</c:formatCode>
                <c:ptCount val="60"/>
                <c:pt idx="0">
                  <c:v>0.12677194132347211</c:v>
                </c:pt>
                <c:pt idx="1">
                  <c:v>0.12677194132347211</c:v>
                </c:pt>
                <c:pt idx="2">
                  <c:v>0.8845732944795045</c:v>
                </c:pt>
                <c:pt idx="3">
                  <c:v>0.8845732944795045</c:v>
                </c:pt>
                <c:pt idx="4">
                  <c:v>0.60415892118981396</c:v>
                </c:pt>
                <c:pt idx="5">
                  <c:v>0.60415892118981396</c:v>
                </c:pt>
                <c:pt idx="6">
                  <c:v>8.2963646418187362E-2</c:v>
                </c:pt>
                <c:pt idx="7">
                  <c:v>8.2963646418187362E-2</c:v>
                </c:pt>
                <c:pt idx="8">
                  <c:v>0.10567749457490171</c:v>
                </c:pt>
                <c:pt idx="9">
                  <c:v>0.10567749457490171</c:v>
                </c:pt>
                <c:pt idx="10">
                  <c:v>0.25858418693050872</c:v>
                </c:pt>
                <c:pt idx="11">
                  <c:v>0.25858418693050872</c:v>
                </c:pt>
                <c:pt idx="12">
                  <c:v>0.16058654708636669</c:v>
                </c:pt>
                <c:pt idx="13">
                  <c:v>0.16058654708636669</c:v>
                </c:pt>
                <c:pt idx="14">
                  <c:v>0.7506448684246857</c:v>
                </c:pt>
                <c:pt idx="15">
                  <c:v>0.7506448684246857</c:v>
                </c:pt>
                <c:pt idx="16">
                  <c:v>0.12710526929016649</c:v>
                </c:pt>
                <c:pt idx="17">
                  <c:v>0.12710526929016649</c:v>
                </c:pt>
                <c:pt idx="18">
                  <c:v>0.18202263906573379</c:v>
                </c:pt>
                <c:pt idx="19">
                  <c:v>0.18202263906573379</c:v>
                </c:pt>
                <c:pt idx="20">
                  <c:v>0.42339525951042151</c:v>
                </c:pt>
                <c:pt idx="21">
                  <c:v>0.42339525951042151</c:v>
                </c:pt>
                <c:pt idx="22">
                  <c:v>0.17315909372686161</c:v>
                </c:pt>
                <c:pt idx="23">
                  <c:v>0.17315909372686161</c:v>
                </c:pt>
                <c:pt idx="24">
                  <c:v>0.1147657704770987</c:v>
                </c:pt>
                <c:pt idx="25">
                  <c:v>0.1147657704770987</c:v>
                </c:pt>
                <c:pt idx="26">
                  <c:v>0.40820851895901789</c:v>
                </c:pt>
                <c:pt idx="27">
                  <c:v>0.40820851895901789</c:v>
                </c:pt>
                <c:pt idx="28">
                  <c:v>0.1926127574837464</c:v>
                </c:pt>
                <c:pt idx="29">
                  <c:v>0.1926127574837464</c:v>
                </c:pt>
                <c:pt idx="30">
                  <c:v>4.1207891005128294</c:v>
                </c:pt>
                <c:pt idx="31">
                  <c:v>4.1207891005128294</c:v>
                </c:pt>
                <c:pt idx="32">
                  <c:v>1.637512686458964</c:v>
                </c:pt>
                <c:pt idx="33">
                  <c:v>1.637512686458964</c:v>
                </c:pt>
                <c:pt idx="34">
                  <c:v>6.3305576015426448</c:v>
                </c:pt>
                <c:pt idx="35">
                  <c:v>6.3305576015426448</c:v>
                </c:pt>
                <c:pt idx="36">
                  <c:v>1.670735682705939</c:v>
                </c:pt>
                <c:pt idx="37">
                  <c:v>1.670735682705939</c:v>
                </c:pt>
                <c:pt idx="38">
                  <c:v>0.90172560603950691</c:v>
                </c:pt>
                <c:pt idx="39">
                  <c:v>0.90172560603950691</c:v>
                </c:pt>
                <c:pt idx="40">
                  <c:v>8.1761583775401121</c:v>
                </c:pt>
                <c:pt idx="41">
                  <c:v>8.1761583775401121</c:v>
                </c:pt>
                <c:pt idx="42">
                  <c:v>1.409708663565979</c:v>
                </c:pt>
                <c:pt idx="43">
                  <c:v>1.409708663565979</c:v>
                </c:pt>
                <c:pt idx="44">
                  <c:v>9.6347394516842577</c:v>
                </c:pt>
                <c:pt idx="45">
                  <c:v>9.6347394516842577</c:v>
                </c:pt>
                <c:pt idx="46">
                  <c:v>1.8443544310864439</c:v>
                </c:pt>
                <c:pt idx="47">
                  <c:v>1.8443544310864439</c:v>
                </c:pt>
                <c:pt idx="48">
                  <c:v>1.388852621215412</c:v>
                </c:pt>
                <c:pt idx="49">
                  <c:v>1.388852621215412</c:v>
                </c:pt>
                <c:pt idx="50">
                  <c:v>7.280321526767084</c:v>
                </c:pt>
                <c:pt idx="51">
                  <c:v>7.280321526767084</c:v>
                </c:pt>
                <c:pt idx="52">
                  <c:v>0.90409953771843354</c:v>
                </c:pt>
                <c:pt idx="53">
                  <c:v>0.90409953771843354</c:v>
                </c:pt>
                <c:pt idx="54">
                  <c:v>1.3132536844973679</c:v>
                </c:pt>
                <c:pt idx="55">
                  <c:v>1.3132536844973679</c:v>
                </c:pt>
                <c:pt idx="56">
                  <c:v>10.19774333808712</c:v>
                </c:pt>
                <c:pt idx="57">
                  <c:v>10.19774333808712</c:v>
                </c:pt>
                <c:pt idx="58">
                  <c:v>2.036323027173855</c:v>
                </c:pt>
                <c:pt idx="59">
                  <c:v>2.036323027173855</c:v>
                </c:pt>
              </c:numCache>
            </c:numRef>
          </c:xVal>
          <c:yVal>
            <c:numRef>
              <c:f>data_ai_inv_share_yrs!$G$2:$G$61</c:f>
              <c:numCache>
                <c:formatCode>General</c:formatCode>
                <c:ptCount val="60"/>
                <c:pt idx="0">
                  <c:v>0.46118188805930949</c:v>
                </c:pt>
                <c:pt idx="1">
                  <c:v>-1.0768855115855178</c:v>
                </c:pt>
                <c:pt idx="2">
                  <c:v>3.5084821711300487</c:v>
                </c:pt>
                <c:pt idx="3">
                  <c:v>2.2459230282070131</c:v>
                </c:pt>
                <c:pt idx="4">
                  <c:v>0.82436876065597886</c:v>
                </c:pt>
                <c:pt idx="5">
                  <c:v>-2.2018192403305132</c:v>
                </c:pt>
                <c:pt idx="6">
                  <c:v>9.3237810475628535</c:v>
                </c:pt>
                <c:pt idx="7">
                  <c:v>14.933429444226089</c:v>
                </c:pt>
                <c:pt idx="8">
                  <c:v>0.47316871767660729</c:v>
                </c:pt>
                <c:pt idx="9">
                  <c:v>0.13961409785200196</c:v>
                </c:pt>
                <c:pt idx="10">
                  <c:v>0.72965359060849089</c:v>
                </c:pt>
                <c:pt idx="11">
                  <c:v>-1.7957222419949357</c:v>
                </c:pt>
                <c:pt idx="12">
                  <c:v>0.64298889545450244</c:v>
                </c:pt>
                <c:pt idx="13">
                  <c:v>1.3702545552891778</c:v>
                </c:pt>
                <c:pt idx="14">
                  <c:v>1.6280433106379038</c:v>
                </c:pt>
                <c:pt idx="15">
                  <c:v>2.149623075816363</c:v>
                </c:pt>
                <c:pt idx="16">
                  <c:v>0.11836057066008809</c:v>
                </c:pt>
                <c:pt idx="17">
                  <c:v>2.607758140674961</c:v>
                </c:pt>
                <c:pt idx="18">
                  <c:v>1.0277214587440522</c:v>
                </c:pt>
                <c:pt idx="19">
                  <c:v>2.428959206215525</c:v>
                </c:pt>
                <c:pt idx="20">
                  <c:v>0.16648728936240431</c:v>
                </c:pt>
                <c:pt idx="21">
                  <c:v>0.94714374205589991</c:v>
                </c:pt>
                <c:pt idx="22">
                  <c:v>0.6380507018262298</c:v>
                </c:pt>
                <c:pt idx="23">
                  <c:v>1.235120832270407</c:v>
                </c:pt>
                <c:pt idx="24">
                  <c:v>-2.8716445193852991</c:v>
                </c:pt>
                <c:pt idx="25">
                  <c:v>4.4019772197251861</c:v>
                </c:pt>
                <c:pt idx="26">
                  <c:v>0.30154220637721435</c:v>
                </c:pt>
                <c:pt idx="27">
                  <c:v>-3.1208783804359541E-3</c:v>
                </c:pt>
                <c:pt idx="28">
                  <c:v>-5.4520243395466128E-2</c:v>
                </c:pt>
                <c:pt idx="29">
                  <c:v>9.3612324681175973E-2</c:v>
                </c:pt>
                <c:pt idx="30">
                  <c:v>1.0663028045156304</c:v>
                </c:pt>
                <c:pt idx="31">
                  <c:v>1.9676759169072984</c:v>
                </c:pt>
                <c:pt idx="32">
                  <c:v>1.7496128021536563</c:v>
                </c:pt>
                <c:pt idx="33">
                  <c:v>3.812344683053138</c:v>
                </c:pt>
                <c:pt idx="34">
                  <c:v>1.4391287067798215</c:v>
                </c:pt>
                <c:pt idx="35">
                  <c:v>0.33628419121901221</c:v>
                </c:pt>
                <c:pt idx="36">
                  <c:v>1.4182708153157462</c:v>
                </c:pt>
                <c:pt idx="37">
                  <c:v>2.9439454385808403</c:v>
                </c:pt>
                <c:pt idx="38">
                  <c:v>1.1286019302321901</c:v>
                </c:pt>
                <c:pt idx="39">
                  <c:v>1.9291371195943738</c:v>
                </c:pt>
                <c:pt idx="40">
                  <c:v>0.37338056935970299</c:v>
                </c:pt>
                <c:pt idx="41">
                  <c:v>0.37386578423211692</c:v>
                </c:pt>
                <c:pt idx="42">
                  <c:v>-1.5677906220824354</c:v>
                </c:pt>
                <c:pt idx="43">
                  <c:v>-0.84304938846227129</c:v>
                </c:pt>
                <c:pt idx="44">
                  <c:v>0.13221272000764106</c:v>
                </c:pt>
                <c:pt idx="45">
                  <c:v>-0.33728125818969223</c:v>
                </c:pt>
                <c:pt idx="46">
                  <c:v>0.24027154732824307</c:v>
                </c:pt>
                <c:pt idx="47">
                  <c:v>1.6179605359437201</c:v>
                </c:pt>
                <c:pt idx="48">
                  <c:v>-1.9512226852114511E-2</c:v>
                </c:pt>
                <c:pt idx="49">
                  <c:v>0.20939697133562885</c:v>
                </c:pt>
                <c:pt idx="50">
                  <c:v>0.16956839292984849</c:v>
                </c:pt>
                <c:pt idx="51">
                  <c:v>0.37008740234464971</c:v>
                </c:pt>
                <c:pt idx="52">
                  <c:v>-8.2255734956584892E-2</c:v>
                </c:pt>
                <c:pt idx="53">
                  <c:v>0.23477837424939674</c:v>
                </c:pt>
                <c:pt idx="54">
                  <c:v>0.72418125285179868</c:v>
                </c:pt>
                <c:pt idx="55">
                  <c:v>-0.17606213387669556</c:v>
                </c:pt>
                <c:pt idx="56">
                  <c:v>0.18847413300152815</c:v>
                </c:pt>
                <c:pt idx="57">
                  <c:v>0.31295676387087734</c:v>
                </c:pt>
                <c:pt idx="58">
                  <c:v>-0.13369066632513404</c:v>
                </c:pt>
                <c:pt idx="59">
                  <c:v>0.28046899053471286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07-4134-B39D-C181471507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AI incoming investment share (per avg. quarterly GDP)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Growth surprise (realized - forecast, pp)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123825</xdr:colOff>
      <xdr:row>37</xdr:row>
      <xdr:rowOff>95250</xdr:rowOff>
    </xdr:from>
    <xdr:to>
      <xdr:col>2</xdr:col>
      <xdr:colOff>412750</xdr:colOff>
      <xdr:row>47</xdr:row>
      <xdr:rowOff>174624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FCD254E-AEAD-0468-7771-7B348C5EE3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511175</xdr:colOff>
      <xdr:row>37</xdr:row>
      <xdr:rowOff>50799</xdr:rowOff>
    </xdr:from>
    <xdr:to>
      <xdr:col>6</xdr:col>
      <xdr:colOff>273050</xdr:colOff>
      <xdr:row>48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9BE1771-EC03-5049-D66C-ADA6ED44E9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342900</xdr:colOff>
      <xdr:row>37</xdr:row>
      <xdr:rowOff>88900</xdr:rowOff>
    </xdr:from>
    <xdr:to>
      <xdr:col>10</xdr:col>
      <xdr:colOff>473075</xdr:colOff>
      <xdr:row>48</xdr:row>
      <xdr:rowOff>114301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CBE8183-7807-40D8-A061-78A8DC3509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527050</xdr:colOff>
      <xdr:row>37</xdr:row>
      <xdr:rowOff>127000</xdr:rowOff>
    </xdr:from>
    <xdr:to>
      <xdr:col>16</xdr:col>
      <xdr:colOff>174625</xdr:colOff>
      <xdr:row>48</xdr:row>
      <xdr:rowOff>152401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009221B-48D6-44F8-B358-5199676FC4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5"/>
  <sheetViews>
    <sheetView tabSelected="1" topLeftCell="A35" workbookViewId="0">
      <selection activeCell="D50" sqref="D50"/>
    </sheetView>
  </sheetViews>
  <sheetFormatPr defaultRowHeight="14.5" x14ac:dyDescent="0.35"/>
  <cols>
    <col min="1" max="1" width="30" customWidth="1"/>
    <col min="2" max="4" width="14" customWidth="1"/>
    <col min="6" max="8" width="14" customWidth="1"/>
  </cols>
  <sheetData>
    <row r="1" spans="1:8" ht="18.5" x14ac:dyDescent="0.45">
      <c r="B1" s="1" t="s">
        <v>0</v>
      </c>
    </row>
    <row r="3" spans="1:8" x14ac:dyDescent="0.35">
      <c r="A3" s="2" t="s">
        <v>1</v>
      </c>
      <c r="B3" s="2" t="s">
        <v>2</v>
      </c>
      <c r="C3" s="2" t="s">
        <v>3</v>
      </c>
      <c r="D3" s="2" t="s">
        <v>4</v>
      </c>
    </row>
    <row r="4" spans="1:8" x14ac:dyDescent="0.35">
      <c r="A4" s="2" t="s">
        <v>5</v>
      </c>
      <c r="B4" s="3">
        <f>CORREL(data_ict_share_full!$G$2:$G$549,data_ict_share_full!$H$2:$H$549)</f>
        <v>0.2853494373563461</v>
      </c>
      <c r="C4" s="3">
        <f>CORREL(data_ict_share_since2020!$G$2:$G$209,data_ict_share_since2020!$H$2:$H$209)</f>
        <v>0.25813464953338233</v>
      </c>
      <c r="D4" s="3">
        <f>CORREL(data_ict_share_till2019!$G$2:$G$341,data_ict_share_till2019!$H$2:$H$341)</f>
        <v>0.32193678318455154</v>
      </c>
    </row>
    <row r="5" spans="1:8" x14ac:dyDescent="0.35">
      <c r="A5" s="2" t="s">
        <v>6</v>
      </c>
      <c r="B5" s="3">
        <f>CORREL(data_hs_export_share_full!$G$2:$G$581,data_hs_export_share_full!$H$2:$H$581)</f>
        <v>6.8076529337797911E-2</v>
      </c>
      <c r="C5" s="3">
        <f>CORREL(data_hs_export_share_since2020!$G$2:$G$241,data_hs_export_share_since2020!$H$2:$H$241)</f>
        <v>3.877029099468051E-2</v>
      </c>
      <c r="D5" s="3">
        <f>CORREL(data_hs_export_share_till2019!$G$2:$G$341,data_hs_export_share_till2019!$H$2:$H$341)</f>
        <v>0.12288624000628938</v>
      </c>
    </row>
    <row r="6" spans="1:8" x14ac:dyDescent="0.35">
      <c r="A6" s="2" t="s">
        <v>7</v>
      </c>
      <c r="B6" s="3">
        <f>CORREL(data_stock_corr_full!$G$2:$G$573,data_stock_corr_full!$H$2:$H$573)</f>
        <v>-0.13119181298685148</v>
      </c>
      <c r="C6" s="3">
        <f>CORREL(data_stock_corr_since2020!$G$2:$G$261,data_stock_corr_since2020!$H$2:$H$261)</f>
        <v>-7.2901220585922813E-2</v>
      </c>
      <c r="D6" s="3">
        <f>CORREL(data_stock_corr_till2019!$G$2:$G$313,data_stock_corr_till2019!$H$2:$H$313)</f>
        <v>-0.16308456206586633</v>
      </c>
    </row>
    <row r="7" spans="1:8" x14ac:dyDescent="0.35">
      <c r="A7" s="2" t="s">
        <v>8</v>
      </c>
      <c r="B7" s="3">
        <f>CORREL(data_ai_inv_share_full!$G$2:$G$441,data_ai_inv_share_full!$H$2:$H$441)</f>
        <v>-0.10543511070133098</v>
      </c>
      <c r="C7" s="3">
        <f>CORREL(data_ai_inv_share_since2020!$G$2:$G$241,data_ai_inv_share_since2020!$H$2:$H$241)</f>
        <v>-6.3147746655883366E-2</v>
      </c>
      <c r="D7" s="3">
        <f>CORREL(data_ai_inv_share_till2019!$G$2:$G$201,data_ai_inv_share_till2019!$H$2:$H$201)</f>
        <v>-0.12766171807615739</v>
      </c>
    </row>
    <row r="9" spans="1:8" ht="15.5" x14ac:dyDescent="0.35">
      <c r="B9" s="4" t="s">
        <v>9</v>
      </c>
      <c r="F9" s="4" t="s">
        <v>10</v>
      </c>
    </row>
    <row r="11" spans="1:8" x14ac:dyDescent="0.35">
      <c r="B11" s="5" t="s">
        <v>11</v>
      </c>
      <c r="F11" s="5" t="s">
        <v>12</v>
      </c>
    </row>
    <row r="12" spans="1:8" x14ac:dyDescent="0.35">
      <c r="B12" s="2" t="s">
        <v>2</v>
      </c>
      <c r="C12" s="2" t="s">
        <v>13</v>
      </c>
      <c r="D12" s="2" t="s">
        <v>14</v>
      </c>
      <c r="F12" s="2" t="s">
        <v>2</v>
      </c>
      <c r="G12" s="2" t="s">
        <v>13</v>
      </c>
      <c r="H12" s="2" t="s">
        <v>14</v>
      </c>
    </row>
    <row r="13" spans="1:8" x14ac:dyDescent="0.35">
      <c r="A13" s="2" t="s">
        <v>15</v>
      </c>
      <c r="B13" s="6">
        <f>COUNTIF(data_cluster_ict_share!$G$2:$G$549,"&gt;0")/COUNT(data_cluster_ict_share!$G$2:$G$549)</f>
        <v>0.54379562043795615</v>
      </c>
      <c r="C13" s="6">
        <f>COUNTIF(data_cluster_ict_share!$G$2:$G$275,"&gt;0")/COUNT(data_cluster_ict_share!$G$2:$G$275)</f>
        <v>0.48540145985401462</v>
      </c>
      <c r="D13" s="6">
        <f>COUNTIF(data_cluster_ict_share!$G$276:$G$549,"&gt;0")/COUNT(data_cluster_ict_share!$G$276:$G$549)</f>
        <v>0.6021897810218978</v>
      </c>
      <c r="F13" s="6">
        <f>COUNTIF(data_ict_share_yrs!$G$2:$G$61,"&gt;0")/COUNT(data_ict_share_yrs!$G$2:$G$61)</f>
        <v>0.78333333333333333</v>
      </c>
      <c r="G13" s="6">
        <f>COUNTIF(data_ict_share_yrs!$G$2:$G$31,"&gt;0")/COUNT(data_ict_share_yrs!$G$2:$G$31)</f>
        <v>0.76666666666666672</v>
      </c>
      <c r="H13" s="6">
        <f>COUNTIF(data_ict_share_yrs!$G$32:$G$61,"&gt;0")/COUNT(data_ict_share_yrs!$G$32:$G$61)</f>
        <v>0.8</v>
      </c>
    </row>
    <row r="14" spans="1:8" x14ac:dyDescent="0.35">
      <c r="A14" s="2" t="s">
        <v>16</v>
      </c>
      <c r="B14" s="6">
        <f>IFERROR(COUNTIFS(data_cluster_ict_share!$A$2:$A$549,"NL",data_cluster_ict_share!$G$2:$G$549,"&gt;0")/COUNTIFS(data_cluster_ict_share!$A$2:$A$549,"NL"),"n/a")</f>
        <v>0.59259259259259256</v>
      </c>
      <c r="C14" s="6" t="str">
        <f>IFERROR(COUNTIFS(data_cluster_ict_share!$A$2:$A$275,"NL",data_cluster_ict_share!$G$2:$G$275,"&gt;0")/COUNTIFS(data_cluster_ict_share!$A$2:$A$275,"NL"),"n/a")</f>
        <v>n/a</v>
      </c>
      <c r="D14" s="6">
        <f>IFERROR(COUNTIFS(data_cluster_ict_share!$A$276:$A$549,"NL",data_cluster_ict_share!$G$276:$G$549,"&gt;0")/COUNTIFS(data_cluster_ict_share!$A$276:$A$549,"NL"),"n/a")</f>
        <v>0.59259259259259256</v>
      </c>
      <c r="F14" s="6">
        <f>IFERROR(COUNTIFS(data_ict_share_yrs!$A$2:$A$61,"NL",data_ict_share_yrs!$G$2:$G$61,"&gt;0")/COUNTIFS(data_ict_share_yrs!$A$2:$A$61,"NL"),"n/a")</f>
        <v>0.83333333333333337</v>
      </c>
      <c r="G14" s="6" t="str">
        <f>IFERROR(COUNTIFS(data_ict_share_yrs!$A$2:$A$31,"NL",data_ict_share_yrs!$G$2:$G$31,"&gt;0")/COUNTIFS(data_ict_share_yrs!$A$2:$A$31,"NL"),"n/a")</f>
        <v>n/a</v>
      </c>
      <c r="H14" s="6">
        <f>IFERROR(COUNTIFS(data_ict_share_yrs!$A$32:$A$61,"NL",data_ict_share_yrs!$G$32:$G$61,"&gt;0")/COUNTIFS(data_ict_share_yrs!$A$32:$A$61,"NL"),"n/a")</f>
        <v>0.83333333333333337</v>
      </c>
    </row>
    <row r="15" spans="1:8" x14ac:dyDescent="0.35">
      <c r="B15" s="5" t="s">
        <v>17</v>
      </c>
      <c r="F15" s="5" t="s">
        <v>18</v>
      </c>
    </row>
    <row r="16" spans="1:8" x14ac:dyDescent="0.35">
      <c r="B16" s="2" t="s">
        <v>2</v>
      </c>
      <c r="C16" s="2" t="s">
        <v>13</v>
      </c>
      <c r="D16" s="2" t="s">
        <v>14</v>
      </c>
      <c r="F16" s="2" t="s">
        <v>2</v>
      </c>
      <c r="G16" s="2" t="s">
        <v>13</v>
      </c>
      <c r="H16" s="2" t="s">
        <v>14</v>
      </c>
    </row>
    <row r="17" spans="1:15" x14ac:dyDescent="0.35">
      <c r="A17" s="2" t="s">
        <v>15</v>
      </c>
      <c r="B17" s="6">
        <f>COUNTIF(data_cluster_hs_export!$G$2:$G$581,"&gt;0")/COUNT(data_cluster_hs_export!$G$2:$G$581)</f>
        <v>0.54482758620689653</v>
      </c>
      <c r="C17" s="6">
        <f>COUNTIF(data_cluster_hs_export!$G$2:$G$293,"&gt;0")/COUNT(data_cluster_hs_export!$G$2:$G$293)</f>
        <v>0.5273972602739726</v>
      </c>
      <c r="D17" s="6">
        <f>COUNTIF(data_cluster_hs_export!$G$294:$G$581,"&gt;0")/COUNT(data_cluster_hs_export!$G$294:$G$581)</f>
        <v>0.5625</v>
      </c>
      <c r="F17" s="6">
        <f>COUNTIF(data_hs_export_share_yrs!$G$2:$G$61,"&gt;0")/COUNT(data_hs_export_share_yrs!$G$2:$G$61)</f>
        <v>0.78333333333333333</v>
      </c>
      <c r="G17" s="6">
        <f>COUNTIF(data_hs_export_share_yrs!$G$2:$G$31,"&gt;0")/COUNT(data_hs_export_share_yrs!$G$2:$G$31)</f>
        <v>0.7</v>
      </c>
      <c r="H17" s="6">
        <f>COUNTIF(data_hs_export_share_yrs!$G$32:$G$61,"&gt;0")/COUNT(data_hs_export_share_yrs!$G$32:$G$61)</f>
        <v>0.8666666666666667</v>
      </c>
    </row>
    <row r="18" spans="1:15" x14ac:dyDescent="0.35">
      <c r="A18" s="2" t="s">
        <v>16</v>
      </c>
      <c r="B18" s="6">
        <f>IFERROR(COUNTIFS(data_cluster_hs_export!$A$2:$A$581,"NL",data_cluster_hs_export!$G$2:$G$581,"&gt;0")/COUNTIFS(data_cluster_hs_export!$A$2:$A$581,"NL"),"n/a")</f>
        <v>0.60344827586206895</v>
      </c>
      <c r="C18" s="6" t="str">
        <f>IFERROR(COUNTIFS(data_cluster_hs_export!$A$2:$A$293,"NL",data_cluster_hs_export!$G$2:$G$293,"&gt;0")/COUNTIFS(data_cluster_hs_export!$A$2:$A$293,"NL"),"n/a")</f>
        <v>n/a</v>
      </c>
      <c r="D18" s="6">
        <f>IFERROR(COUNTIFS(data_cluster_hs_export!$A$294:$A$581,"NL",data_cluster_hs_export!$G$294:$G$581,"&gt;0")/COUNTIFS(data_cluster_hs_export!$A$294:$A$581,"NL"),"n/a")</f>
        <v>0.60344827586206895</v>
      </c>
      <c r="F18" s="6">
        <f>IFERROR(COUNTIFS(data_hs_export_share_yrs!$A$2:$A$61,"NL",data_hs_export_share_yrs!$G$2:$G$61,"&gt;0")/COUNTIFS(data_hs_export_share_yrs!$A$2:$A$61,"NL"),"n/a")</f>
        <v>0.83333333333333337</v>
      </c>
      <c r="G18" s="6" t="str">
        <f>IFERROR(COUNTIFS(data_hs_export_share_yrs!$A$2:$A$31,"NL",data_hs_export_share_yrs!$G$2:$G$31,"&gt;0")/COUNTIFS(data_hs_export_share_yrs!$A$2:$A$31,"NL"),"n/a")</f>
        <v>n/a</v>
      </c>
      <c r="H18" s="6">
        <f>IFERROR(COUNTIFS(data_hs_export_share_yrs!$A$32:$A$61,"NL",data_hs_export_share_yrs!$G$32:$G$61,"&gt;0")/COUNTIFS(data_hs_export_share_yrs!$A$32:$A$61,"NL"),"n/a")</f>
        <v>0.83333333333333337</v>
      </c>
    </row>
    <row r="19" spans="1:15" x14ac:dyDescent="0.35">
      <c r="B19" s="5" t="s">
        <v>19</v>
      </c>
      <c r="F19" s="5" t="s">
        <v>20</v>
      </c>
    </row>
    <row r="20" spans="1:15" x14ac:dyDescent="0.35">
      <c r="B20" s="2" t="s">
        <v>2</v>
      </c>
      <c r="C20" s="2" t="s">
        <v>13</v>
      </c>
      <c r="D20" s="2" t="s">
        <v>14</v>
      </c>
      <c r="F20" s="2" t="s">
        <v>2</v>
      </c>
      <c r="G20" s="2" t="s">
        <v>13</v>
      </c>
      <c r="H20" s="2" t="s">
        <v>14</v>
      </c>
    </row>
    <row r="21" spans="1:15" x14ac:dyDescent="0.35">
      <c r="A21" s="2" t="s">
        <v>15</v>
      </c>
      <c r="B21" s="6">
        <f>COUNTIF(data_cluster_stock_corr!$G$2:$G$573,"&gt;0")/COUNT(data_cluster_stock_corr!$G$2:$G$573)</f>
        <v>0.56159420289855078</v>
      </c>
      <c r="C21" s="6">
        <f>COUNTIF(data_cluster_stock_corr!$G$2:$G$289,"&gt;0")/COUNT(data_cluster_stock_corr!$G$2:$G$289)</f>
        <v>0.56343283582089554</v>
      </c>
      <c r="D21" s="6">
        <f>COUNTIF(data_cluster_stock_corr!$G$290:$G$573,"&gt;0")/COUNT(data_cluster_stock_corr!$G$290:$G$573)</f>
        <v>0.5598591549295775</v>
      </c>
      <c r="F21" s="6">
        <f>COUNTIF(data_stock_corr_yrs!$G$2:$G$61,"&gt;0")/COUNT(data_stock_corr_yrs!$G$2:$G$61)</f>
        <v>0.78333333333333333</v>
      </c>
      <c r="G21" s="6">
        <f>COUNTIF(data_stock_corr_yrs!$G$2:$G$31,"&gt;0")/COUNT(data_stock_corr_yrs!$G$2:$G$31)</f>
        <v>0.76666666666666672</v>
      </c>
      <c r="H21" s="6">
        <f>COUNTIF(data_stock_corr_yrs!$G$32:$G$61,"&gt;0")/COUNT(data_stock_corr_yrs!$G$32:$G$61)</f>
        <v>0.8</v>
      </c>
    </row>
    <row r="22" spans="1:15" x14ac:dyDescent="0.35">
      <c r="A22" s="2" t="s">
        <v>16</v>
      </c>
      <c r="B22" s="6">
        <f>IFERROR(COUNTIFS(data_cluster_stock_corr!$A$2:$A$573,"NL",data_cluster_stock_corr!$G$2:$G$573,"&gt;0")/COUNTIFS(data_cluster_stock_corr!$A$2:$A$573,"NL"),"n/a")</f>
        <v>0.58333333333333337</v>
      </c>
      <c r="C22" s="6">
        <f>IFERROR(COUNTIFS(data_cluster_stock_corr!$A$2:$A$289,"NL",data_cluster_stock_corr!$G$2:$G$289,"&gt;0")/COUNTIFS(data_cluster_stock_corr!$A$2:$A$289,"NL"),"n/a")</f>
        <v>0.69230769230769229</v>
      </c>
      <c r="D22" s="6">
        <f>IFERROR(COUNTIFS(data_cluster_stock_corr!$A$290:$A$573,"NL",data_cluster_stock_corr!$G$290:$G$573,"&gt;0")/COUNTIFS(data_cluster_stock_corr!$A$290:$A$573,"NL"),"n/a")</f>
        <v>0.5</v>
      </c>
      <c r="F22" s="6">
        <f>IFERROR(COUNTIFS(data_stock_corr_yrs!$A$2:$A$61,"NL",data_stock_corr_yrs!$G$2:$G$61,"&gt;0")/COUNTIFS(data_stock_corr_yrs!$A$2:$A$61,"NL"),"n/a")</f>
        <v>0.83333333333333337</v>
      </c>
      <c r="G22" s="6">
        <f>IFERROR(COUNTIFS(data_stock_corr_yrs!$A$2:$A$31,"NL",data_stock_corr_yrs!$G$2:$G$31,"&gt;0")/COUNTIFS(data_stock_corr_yrs!$A$2:$A$31,"NL"),"n/a")</f>
        <v>0.75</v>
      </c>
      <c r="H22" s="6">
        <f>IFERROR(COUNTIFS(data_stock_corr_yrs!$A$32:$A$61,"NL",data_stock_corr_yrs!$G$32:$G$61,"&gt;0")/COUNTIFS(data_stock_corr_yrs!$A$32:$A$61,"NL"),"n/a")</f>
        <v>1</v>
      </c>
    </row>
    <row r="23" spans="1:15" x14ac:dyDescent="0.35">
      <c r="B23" s="5" t="s">
        <v>21</v>
      </c>
      <c r="F23" s="5" t="s">
        <v>22</v>
      </c>
    </row>
    <row r="24" spans="1:15" x14ac:dyDescent="0.35">
      <c r="B24" s="2" t="s">
        <v>2</v>
      </c>
      <c r="C24" s="2" t="s">
        <v>13</v>
      </c>
      <c r="D24" s="2" t="s">
        <v>14</v>
      </c>
      <c r="F24" s="2" t="s">
        <v>2</v>
      </c>
      <c r="G24" s="2" t="s">
        <v>13</v>
      </c>
      <c r="H24" s="2" t="s">
        <v>14</v>
      </c>
    </row>
    <row r="25" spans="1:15" x14ac:dyDescent="0.35">
      <c r="A25" s="2" t="s">
        <v>15</v>
      </c>
      <c r="B25" s="6">
        <f>COUNTIF(data_cluster_ai_inv_share!$G$2:$G$441,"&gt;0")/COUNT(data_cluster_ai_inv_share!$G$2:$G$441)</f>
        <v>0.58409090909090911</v>
      </c>
      <c r="C25" s="6">
        <f>COUNTIF(data_cluster_ai_inv_share!$G$2:$G$221,"&gt;0")/COUNT(data_cluster_ai_inv_share!$G$2:$G$221)</f>
        <v>0.64090909090909087</v>
      </c>
      <c r="D25" s="6">
        <f>COUNTIF(data_cluster_ai_inv_share!$G$222:$G$441,"&gt;0")/COUNT(data_cluster_ai_inv_share!$G$222:$G$441)</f>
        <v>0.52727272727272723</v>
      </c>
      <c r="F25" s="6">
        <f>COUNTIF(data_ai_inv_share_yrs!$G$2:$G$61,"&gt;0")/COUNT(data_ai_inv_share_yrs!$G$2:$G$61)</f>
        <v>0.78333333333333333</v>
      </c>
      <c r="G25" s="6">
        <f>COUNTIF(data_ai_inv_share_yrs!$G$2:$G$31,"&gt;0")/COUNT(data_ai_inv_share_yrs!$G$2:$G$31)</f>
        <v>0.8</v>
      </c>
      <c r="H25" s="6">
        <f>COUNTIF(data_ai_inv_share_yrs!$G$32:$G$61,"&gt;0")/COUNT(data_ai_inv_share_yrs!$G$32:$G$61)</f>
        <v>0.76666666666666672</v>
      </c>
    </row>
    <row r="26" spans="1:15" x14ac:dyDescent="0.35">
      <c r="A26" s="2" t="s">
        <v>16</v>
      </c>
      <c r="B26" s="6">
        <f>IFERROR(COUNTIFS(data_cluster_ai_inv_share!$A$2:$A$441,"NL",data_cluster_ai_inv_share!$G$2:$G$441,"&gt;0")/COUNTIFS(data_cluster_ai_inv_share!$A$2:$A$441,"NL"),"n/a")</f>
        <v>0.65909090909090906</v>
      </c>
      <c r="C26" s="6" t="str">
        <f>IFERROR(COUNTIFS(data_cluster_ai_inv_share!$A$2:$A$221,"NL",data_cluster_ai_inv_share!$G$2:$G$221,"&gt;0")/COUNTIFS(data_cluster_ai_inv_share!$A$2:$A$221,"NL"),"n/a")</f>
        <v>n/a</v>
      </c>
      <c r="D26" s="6">
        <f>IFERROR(COUNTIFS(data_cluster_ai_inv_share!$A$222:$A$441,"NL",data_cluster_ai_inv_share!$G$222:$G$441,"&gt;0")/COUNTIFS(data_cluster_ai_inv_share!$A$222:$A$441,"NL"),"n/a")</f>
        <v>0.65909090909090906</v>
      </c>
      <c r="F26" s="6">
        <f>IFERROR(COUNTIFS(data_ai_inv_share_yrs!$A$2:$A$61,"NL",data_ai_inv_share_yrs!$G$2:$G$61,"&gt;0")/COUNTIFS(data_ai_inv_share_yrs!$A$2:$A$61,"NL"),"n/a")</f>
        <v>0.83333333333333337</v>
      </c>
      <c r="G26" s="6" t="str">
        <f>IFERROR(COUNTIFS(data_ai_inv_share_yrs!$A$2:$A$31,"NL",data_ai_inv_share_yrs!$G$2:$G$31,"&gt;0")/COUNTIFS(data_ai_inv_share_yrs!$A$2:$A$31,"NL"),"n/a")</f>
        <v>n/a</v>
      </c>
      <c r="H26" s="6">
        <f>IFERROR(COUNTIFS(data_ai_inv_share_yrs!$A$32:$A$61,"NL",data_ai_inv_share_yrs!$G$32:$G$61,"&gt;0")/COUNTIFS(data_ai_inv_share_yrs!$A$32:$A$61,"NL"),"n/a")</f>
        <v>0.83333333333333337</v>
      </c>
    </row>
    <row r="27" spans="1:15" x14ac:dyDescent="0.35">
      <c r="E27" t="s">
        <v>82</v>
      </c>
      <c r="F27" t="s">
        <v>83</v>
      </c>
    </row>
    <row r="30" spans="1:15" x14ac:dyDescent="0.35">
      <c r="A30" s="7" t="s">
        <v>23</v>
      </c>
    </row>
    <row r="31" spans="1:15" x14ac:dyDescent="0.35">
      <c r="A31" s="2" t="s">
        <v>24</v>
      </c>
      <c r="B31" s="2" t="s">
        <v>25</v>
      </c>
      <c r="C31" s="2" t="s">
        <v>26</v>
      </c>
      <c r="E31" s="9" t="s">
        <v>9</v>
      </c>
      <c r="F31" s="9" t="s">
        <v>10</v>
      </c>
      <c r="I31" s="9" t="s">
        <v>9</v>
      </c>
      <c r="J31" s="9" t="s">
        <v>10</v>
      </c>
      <c r="N31" s="9" t="s">
        <v>9</v>
      </c>
      <c r="O31" s="9" t="s">
        <v>10</v>
      </c>
    </row>
    <row r="32" spans="1:15" x14ac:dyDescent="0.35">
      <c r="A32" t="s">
        <v>5</v>
      </c>
      <c r="B32" s="6">
        <f>B13</f>
        <v>0.54379562043795615</v>
      </c>
      <c r="C32" s="6">
        <f>F13</f>
        <v>0.78333333333333333</v>
      </c>
      <c r="D32" s="8" t="s">
        <v>87</v>
      </c>
      <c r="E32" s="10">
        <f>C13</f>
        <v>0.48540145985401462</v>
      </c>
      <c r="F32" s="10">
        <f>G13</f>
        <v>0.76666666666666672</v>
      </c>
      <c r="H32" s="8" t="s">
        <v>88</v>
      </c>
      <c r="I32" s="10">
        <f>C17</f>
        <v>0.5273972602739726</v>
      </c>
      <c r="J32" s="10">
        <f>G17</f>
        <v>0.7</v>
      </c>
      <c r="M32" s="8" t="s">
        <v>84</v>
      </c>
      <c r="N32" s="6">
        <f>C21</f>
        <v>0.56343283582089554</v>
      </c>
      <c r="O32" s="6">
        <f>G21</f>
        <v>0.76666666666666672</v>
      </c>
    </row>
    <row r="33" spans="1:15" x14ac:dyDescent="0.35">
      <c r="A33" t="s">
        <v>6</v>
      </c>
      <c r="B33" s="6">
        <f>B17</f>
        <v>0.54482758620689653</v>
      </c>
      <c r="C33" s="6">
        <f>F17</f>
        <v>0.78333333333333333</v>
      </c>
      <c r="D33" s="8" t="s">
        <v>86</v>
      </c>
      <c r="E33" s="10">
        <f>D13</f>
        <v>0.6021897810218978</v>
      </c>
      <c r="F33" s="10">
        <f>H13</f>
        <v>0.8</v>
      </c>
      <c r="H33" s="8" t="s">
        <v>89</v>
      </c>
      <c r="I33" s="10">
        <f>D17</f>
        <v>0.5625</v>
      </c>
      <c r="J33" s="10">
        <f>H17</f>
        <v>0.8666666666666667</v>
      </c>
      <c r="M33" s="8" t="s">
        <v>85</v>
      </c>
      <c r="N33" s="6">
        <f>D21</f>
        <v>0.5598591549295775</v>
      </c>
      <c r="O33" s="6">
        <f>H21</f>
        <v>0.8</v>
      </c>
    </row>
    <row r="34" spans="1:15" x14ac:dyDescent="0.35">
      <c r="A34" t="s">
        <v>27</v>
      </c>
      <c r="B34" s="6">
        <f>B21</f>
        <v>0.56159420289855078</v>
      </c>
      <c r="C34" s="6">
        <f>F21</f>
        <v>0.78333333333333333</v>
      </c>
      <c r="E34" s="6"/>
      <c r="F34" s="6"/>
      <c r="G34" s="6"/>
      <c r="H34" s="6"/>
    </row>
    <row r="35" spans="1:15" x14ac:dyDescent="0.35">
      <c r="A35" t="s">
        <v>28</v>
      </c>
      <c r="B35" s="6">
        <f>B25</f>
        <v>0.58409090909090911</v>
      </c>
      <c r="C35" s="6">
        <f>F25</f>
        <v>0.78333333333333333</v>
      </c>
      <c r="E35" s="6"/>
      <c r="F35" s="6"/>
      <c r="G35" s="6"/>
      <c r="H35" s="6"/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49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5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0.1467147589337007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0.1467147589337007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0.14263754713345991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0.14263754713345991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0.14263754713345991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0.14263754713345991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0.14779517232352959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0.14779517232352959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0.14779517232352959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0.14779517232352959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0.1428833334652285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0.1428833334652285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0.1428833334652285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0.1428833334652285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0.1551594480824991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0.1551594480824991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0.1551594480824991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0.1551594480824991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0.15546366398225389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0.15546366398225389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0.15546366398225389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0.15546366398225389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0.1514119442963342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0.1514119442963342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0.1514119442963342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0.1514119442963342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0.15970830024254651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0.15970830024254651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0.15970830024254651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0.15970830024254651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0.16885807361071789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0.16885807361071789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0.16885807361071789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0.16885807361071789</v>
      </c>
    </row>
    <row r="36" spans="1:8" x14ac:dyDescent="0.35">
      <c r="A36" t="s">
        <v>36</v>
      </c>
      <c r="B36" t="s">
        <v>55</v>
      </c>
      <c r="C36" t="s">
        <v>38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0.17076349956742379</v>
      </c>
    </row>
    <row r="37" spans="1:8" x14ac:dyDescent="0.35">
      <c r="A37" t="s">
        <v>36</v>
      </c>
      <c r="B37" t="s">
        <v>57</v>
      </c>
      <c r="C37" t="s">
        <v>38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0.17076349956742379</v>
      </c>
    </row>
    <row r="38" spans="1:8" x14ac:dyDescent="0.35">
      <c r="A38" t="s">
        <v>36</v>
      </c>
      <c r="B38" t="s">
        <v>56</v>
      </c>
      <c r="C38" t="s">
        <v>40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0.17076349956742379</v>
      </c>
    </row>
    <row r="39" spans="1:8" x14ac:dyDescent="0.35">
      <c r="A39" t="s">
        <v>36</v>
      </c>
      <c r="B39" t="s">
        <v>58</v>
      </c>
      <c r="C39" t="s">
        <v>40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0.17076349956742379</v>
      </c>
    </row>
    <row r="40" spans="1:8" x14ac:dyDescent="0.35">
      <c r="A40" t="s">
        <v>36</v>
      </c>
      <c r="B40" t="s">
        <v>57</v>
      </c>
      <c r="C40" t="s">
        <v>38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0.1559916018212551</v>
      </c>
    </row>
    <row r="41" spans="1:8" x14ac:dyDescent="0.35">
      <c r="A41" t="s">
        <v>36</v>
      </c>
      <c r="B41" t="s">
        <v>59</v>
      </c>
      <c r="C41" t="s">
        <v>38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0.1559916018212551</v>
      </c>
    </row>
    <row r="42" spans="1:8" x14ac:dyDescent="0.35">
      <c r="A42" t="s">
        <v>36</v>
      </c>
      <c r="B42" t="s">
        <v>58</v>
      </c>
      <c r="C42" t="s">
        <v>40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0.1559916018212551</v>
      </c>
    </row>
    <row r="43" spans="1:8" x14ac:dyDescent="0.35">
      <c r="A43" t="s">
        <v>36</v>
      </c>
      <c r="B43" t="s">
        <v>60</v>
      </c>
      <c r="C43" t="s">
        <v>40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0.1559916018212551</v>
      </c>
    </row>
    <row r="44" spans="1:8" x14ac:dyDescent="0.35">
      <c r="A44" t="s">
        <v>36</v>
      </c>
      <c r="B44" t="s">
        <v>59</v>
      </c>
      <c r="C44" t="s">
        <v>38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0.15603500394963879</v>
      </c>
    </row>
    <row r="45" spans="1:8" x14ac:dyDescent="0.35">
      <c r="A45" t="s">
        <v>36</v>
      </c>
      <c r="B45" t="s">
        <v>61</v>
      </c>
      <c r="C45" t="s">
        <v>38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0.15603500394963879</v>
      </c>
    </row>
    <row r="46" spans="1:8" x14ac:dyDescent="0.35">
      <c r="A46" t="s">
        <v>36</v>
      </c>
      <c r="B46" t="s">
        <v>60</v>
      </c>
      <c r="C46" t="s">
        <v>40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0.15603500394963879</v>
      </c>
    </row>
    <row r="47" spans="1:8" x14ac:dyDescent="0.35">
      <c r="A47" t="s">
        <v>36</v>
      </c>
      <c r="B47" t="s">
        <v>62</v>
      </c>
      <c r="C47" t="s">
        <v>40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0.15603500394963879</v>
      </c>
    </row>
    <row r="48" spans="1:8" x14ac:dyDescent="0.35">
      <c r="A48" t="s">
        <v>36</v>
      </c>
      <c r="B48" t="s">
        <v>61</v>
      </c>
      <c r="C48" t="s">
        <v>38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0.1673103527784183</v>
      </c>
    </row>
    <row r="49" spans="1:8" x14ac:dyDescent="0.35">
      <c r="A49" t="s">
        <v>36</v>
      </c>
      <c r="B49" t="s">
        <v>63</v>
      </c>
      <c r="C49" t="s">
        <v>38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0.1673103527784183</v>
      </c>
    </row>
    <row r="50" spans="1:8" x14ac:dyDescent="0.35">
      <c r="A50" t="s">
        <v>36</v>
      </c>
      <c r="B50" t="s">
        <v>62</v>
      </c>
      <c r="C50" t="s">
        <v>40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0.1673103527784183</v>
      </c>
    </row>
    <row r="51" spans="1:8" x14ac:dyDescent="0.35">
      <c r="A51" t="s">
        <v>36</v>
      </c>
      <c r="B51" t="s">
        <v>64</v>
      </c>
      <c r="C51" t="s">
        <v>40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0.1673103527784183</v>
      </c>
    </row>
    <row r="52" spans="1:8" x14ac:dyDescent="0.35">
      <c r="A52" t="s">
        <v>36</v>
      </c>
      <c r="B52" t="s">
        <v>63</v>
      </c>
      <c r="C52" t="s">
        <v>38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0.17496495406425419</v>
      </c>
    </row>
    <row r="53" spans="1:8" x14ac:dyDescent="0.35">
      <c r="A53" t="s">
        <v>36</v>
      </c>
      <c r="B53" t="s">
        <v>65</v>
      </c>
      <c r="C53" t="s">
        <v>38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0.17496495406425419</v>
      </c>
    </row>
    <row r="54" spans="1:8" x14ac:dyDescent="0.35">
      <c r="A54" t="s">
        <v>36</v>
      </c>
      <c r="B54" t="s">
        <v>64</v>
      </c>
      <c r="C54" t="s">
        <v>40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0.17496495406425419</v>
      </c>
    </row>
    <row r="55" spans="1:8" x14ac:dyDescent="0.35">
      <c r="A55" t="s">
        <v>36</v>
      </c>
      <c r="B55" t="s">
        <v>66</v>
      </c>
      <c r="C55" t="s">
        <v>40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0.17496495406425419</v>
      </c>
    </row>
    <row r="56" spans="1:8" x14ac:dyDescent="0.35">
      <c r="A56" t="s">
        <v>67</v>
      </c>
      <c r="B56" t="s">
        <v>37</v>
      </c>
      <c r="C56" t="s">
        <v>38</v>
      </c>
      <c r="D56">
        <v>2011</v>
      </c>
      <c r="E56">
        <v>2.1783942373023502</v>
      </c>
      <c r="F56">
        <v>1.9127519277234819</v>
      </c>
      <c r="G56">
        <f t="shared" si="0"/>
        <v>-0.26564230957886825</v>
      </c>
      <c r="H56">
        <v>0.1338718964364701</v>
      </c>
    </row>
    <row r="57" spans="1:8" x14ac:dyDescent="0.35">
      <c r="A57" t="s">
        <v>67</v>
      </c>
      <c r="B57" t="s">
        <v>39</v>
      </c>
      <c r="C57" t="s">
        <v>40</v>
      </c>
      <c r="D57">
        <v>2011</v>
      </c>
      <c r="E57">
        <v>2.356686907237338</v>
      </c>
      <c r="F57">
        <v>1.9127519277234819</v>
      </c>
      <c r="G57">
        <f t="shared" si="0"/>
        <v>-0.44393497951385608</v>
      </c>
      <c r="H57">
        <v>0.1338718964364701</v>
      </c>
    </row>
    <row r="58" spans="1:8" x14ac:dyDescent="0.35">
      <c r="A58" t="s">
        <v>67</v>
      </c>
      <c r="B58" t="s">
        <v>37</v>
      </c>
      <c r="C58" t="s">
        <v>38</v>
      </c>
      <c r="D58">
        <v>2012</v>
      </c>
      <c r="E58">
        <v>0.94750037204316406</v>
      </c>
      <c r="F58">
        <v>0.2155903836940283</v>
      </c>
      <c r="G58">
        <f t="shared" si="0"/>
        <v>-0.73190998834913579</v>
      </c>
      <c r="H58">
        <v>0.1344566572698688</v>
      </c>
    </row>
    <row r="59" spans="1:8" x14ac:dyDescent="0.35">
      <c r="A59" t="s">
        <v>67</v>
      </c>
      <c r="B59" t="s">
        <v>41</v>
      </c>
      <c r="C59" t="s">
        <v>38</v>
      </c>
      <c r="D59">
        <v>2012</v>
      </c>
      <c r="E59">
        <v>-0.20103838842507879</v>
      </c>
      <c r="F59">
        <v>0.2155903836940283</v>
      </c>
      <c r="G59">
        <f t="shared" si="0"/>
        <v>0.41662877211910709</v>
      </c>
      <c r="H59">
        <v>0.1344566572698688</v>
      </c>
    </row>
    <row r="60" spans="1:8" x14ac:dyDescent="0.35">
      <c r="A60" t="s">
        <v>67</v>
      </c>
      <c r="B60" t="s">
        <v>39</v>
      </c>
      <c r="C60" t="s">
        <v>40</v>
      </c>
      <c r="D60">
        <v>2012</v>
      </c>
      <c r="E60">
        <v>2.2102235249893849</v>
      </c>
      <c r="F60">
        <v>0.2155903836940283</v>
      </c>
      <c r="G60">
        <f t="shared" si="0"/>
        <v>-1.9946331412953566</v>
      </c>
      <c r="H60">
        <v>0.1344566572698688</v>
      </c>
    </row>
    <row r="61" spans="1:8" x14ac:dyDescent="0.35">
      <c r="A61" t="s">
        <v>67</v>
      </c>
      <c r="B61" t="s">
        <v>42</v>
      </c>
      <c r="C61" t="s">
        <v>40</v>
      </c>
      <c r="D61">
        <v>2012</v>
      </c>
      <c r="E61">
        <v>-1.8249929426483739E-2</v>
      </c>
      <c r="F61">
        <v>0.2155903836940283</v>
      </c>
      <c r="G61">
        <f t="shared" si="0"/>
        <v>0.23384031312051204</v>
      </c>
      <c r="H61">
        <v>0.1344566572698688</v>
      </c>
    </row>
    <row r="62" spans="1:8" x14ac:dyDescent="0.35">
      <c r="A62" t="s">
        <v>67</v>
      </c>
      <c r="B62" t="s">
        <v>41</v>
      </c>
      <c r="C62" t="s">
        <v>38</v>
      </c>
      <c r="D62">
        <v>2013</v>
      </c>
      <c r="E62">
        <v>0.74022419318038324</v>
      </c>
      <c r="F62">
        <v>0.30504047757239749</v>
      </c>
      <c r="G62">
        <f t="shared" si="0"/>
        <v>-0.43518371560798574</v>
      </c>
      <c r="H62">
        <v>0.14066013500993929</v>
      </c>
    </row>
    <row r="63" spans="1:8" x14ac:dyDescent="0.35">
      <c r="A63" t="s">
        <v>67</v>
      </c>
      <c r="B63" t="s">
        <v>43</v>
      </c>
      <c r="C63" t="s">
        <v>38</v>
      </c>
      <c r="D63">
        <v>2013</v>
      </c>
      <c r="E63">
        <v>0.1418580624652277</v>
      </c>
      <c r="F63">
        <v>0.30504047757239749</v>
      </c>
      <c r="G63">
        <f t="shared" si="0"/>
        <v>0.1631824151071698</v>
      </c>
      <c r="H63">
        <v>0.14066013500993929</v>
      </c>
    </row>
    <row r="64" spans="1:8" x14ac:dyDescent="0.35">
      <c r="A64" t="s">
        <v>67</v>
      </c>
      <c r="B64" t="s">
        <v>42</v>
      </c>
      <c r="C64" t="s">
        <v>40</v>
      </c>
      <c r="D64">
        <v>2013</v>
      </c>
      <c r="E64">
        <v>1.243358392394422</v>
      </c>
      <c r="F64">
        <v>0.30504047757239749</v>
      </c>
      <c r="G64">
        <f t="shared" si="0"/>
        <v>-0.93831791482202453</v>
      </c>
      <c r="H64">
        <v>0.14066013500993929</v>
      </c>
    </row>
    <row r="65" spans="1:8" x14ac:dyDescent="0.35">
      <c r="A65" t="s">
        <v>67</v>
      </c>
      <c r="B65" t="s">
        <v>44</v>
      </c>
      <c r="C65" t="s">
        <v>40</v>
      </c>
      <c r="D65">
        <v>2013</v>
      </c>
      <c r="E65">
        <v>4.2242834906547337E-2</v>
      </c>
      <c r="F65">
        <v>0.30504047757239749</v>
      </c>
      <c r="G65">
        <f t="shared" si="0"/>
        <v>0.26279764266585015</v>
      </c>
      <c r="H65">
        <v>0.14066013500993929</v>
      </c>
    </row>
    <row r="66" spans="1:8" x14ac:dyDescent="0.35">
      <c r="A66" t="s">
        <v>67</v>
      </c>
      <c r="B66" t="s">
        <v>43</v>
      </c>
      <c r="C66" t="s">
        <v>38</v>
      </c>
      <c r="D66">
        <v>2014</v>
      </c>
      <c r="E66">
        <v>1.142047499237697</v>
      </c>
      <c r="F66">
        <v>1.750092739581359</v>
      </c>
      <c r="G66">
        <f t="shared" ref="G66:G129" si="1">IF(OR(F66="",E66=""),"",F66-E66)</f>
        <v>0.60804524034366203</v>
      </c>
      <c r="H66">
        <v>0.13813216110499679</v>
      </c>
    </row>
    <row r="67" spans="1:8" x14ac:dyDescent="0.35">
      <c r="A67" t="s">
        <v>67</v>
      </c>
      <c r="B67" t="s">
        <v>45</v>
      </c>
      <c r="C67" t="s">
        <v>38</v>
      </c>
      <c r="D67">
        <v>2014</v>
      </c>
      <c r="E67">
        <v>0.92282985431766384</v>
      </c>
      <c r="F67">
        <v>1.750092739581359</v>
      </c>
      <c r="G67">
        <f t="shared" si="1"/>
        <v>0.82726288526369518</v>
      </c>
      <c r="H67">
        <v>0.13813216110499679</v>
      </c>
    </row>
    <row r="68" spans="1:8" x14ac:dyDescent="0.35">
      <c r="A68" t="s">
        <v>67</v>
      </c>
      <c r="B68" t="s">
        <v>44</v>
      </c>
      <c r="C68" t="s">
        <v>40</v>
      </c>
      <c r="D68">
        <v>2014</v>
      </c>
      <c r="E68">
        <v>1.19023811784591</v>
      </c>
      <c r="F68">
        <v>1.750092739581359</v>
      </c>
      <c r="G68">
        <f t="shared" si="1"/>
        <v>0.55985462173544898</v>
      </c>
      <c r="H68">
        <v>0.13813216110499679</v>
      </c>
    </row>
    <row r="69" spans="1:8" x14ac:dyDescent="0.35">
      <c r="A69" t="s">
        <v>67</v>
      </c>
      <c r="B69" t="s">
        <v>46</v>
      </c>
      <c r="C69" t="s">
        <v>40</v>
      </c>
      <c r="D69">
        <v>2014</v>
      </c>
      <c r="E69">
        <v>1.443053096414237</v>
      </c>
      <c r="F69">
        <v>1.750092739581359</v>
      </c>
      <c r="G69">
        <f t="shared" si="1"/>
        <v>0.30703964316712207</v>
      </c>
      <c r="H69">
        <v>0.13813216110499679</v>
      </c>
    </row>
    <row r="70" spans="1:8" x14ac:dyDescent="0.35">
      <c r="A70" t="s">
        <v>67</v>
      </c>
      <c r="B70" t="s">
        <v>45</v>
      </c>
      <c r="C70" t="s">
        <v>38</v>
      </c>
      <c r="D70">
        <v>2015</v>
      </c>
      <c r="E70">
        <v>0.86159735965183337</v>
      </c>
      <c r="F70">
        <v>1.4634410714791239</v>
      </c>
      <c r="G70">
        <f t="shared" si="1"/>
        <v>0.60184371182729057</v>
      </c>
      <c r="H70">
        <v>0.13227337787003421</v>
      </c>
    </row>
    <row r="71" spans="1:8" x14ac:dyDescent="0.35">
      <c r="A71" t="s">
        <v>67</v>
      </c>
      <c r="B71" t="s">
        <v>47</v>
      </c>
      <c r="C71" t="s">
        <v>38</v>
      </c>
      <c r="D71">
        <v>2015</v>
      </c>
      <c r="E71">
        <v>1.262482967982592</v>
      </c>
      <c r="F71">
        <v>1.4634410714791239</v>
      </c>
      <c r="G71">
        <f t="shared" si="1"/>
        <v>0.20095810349653198</v>
      </c>
      <c r="H71">
        <v>0.13227337787003421</v>
      </c>
    </row>
    <row r="72" spans="1:8" x14ac:dyDescent="0.35">
      <c r="A72" t="s">
        <v>67</v>
      </c>
      <c r="B72" t="s">
        <v>46</v>
      </c>
      <c r="C72" t="s">
        <v>40</v>
      </c>
      <c r="D72">
        <v>2015</v>
      </c>
      <c r="E72">
        <v>1.5593135161243941</v>
      </c>
      <c r="F72">
        <v>1.4634410714791239</v>
      </c>
      <c r="G72">
        <f t="shared" si="1"/>
        <v>-9.5872444645270116E-2</v>
      </c>
      <c r="H72">
        <v>0.13227337787003421</v>
      </c>
    </row>
    <row r="73" spans="1:8" x14ac:dyDescent="0.35">
      <c r="A73" t="s">
        <v>67</v>
      </c>
      <c r="B73" t="s">
        <v>48</v>
      </c>
      <c r="C73" t="s">
        <v>40</v>
      </c>
      <c r="D73">
        <v>2015</v>
      </c>
      <c r="E73">
        <v>1.08741840250608</v>
      </c>
      <c r="F73">
        <v>1.4634410714791239</v>
      </c>
      <c r="G73">
        <f t="shared" si="1"/>
        <v>0.37602266897304393</v>
      </c>
      <c r="H73">
        <v>0.13227337787003421</v>
      </c>
    </row>
    <row r="74" spans="1:8" x14ac:dyDescent="0.35">
      <c r="A74" t="s">
        <v>67</v>
      </c>
      <c r="B74" t="s">
        <v>47</v>
      </c>
      <c r="C74" t="s">
        <v>38</v>
      </c>
      <c r="D74">
        <v>2016</v>
      </c>
      <c r="E74">
        <v>1.305005005659998</v>
      </c>
      <c r="F74">
        <v>1.1863946679844091</v>
      </c>
      <c r="G74">
        <f t="shared" si="1"/>
        <v>-0.11861033767558893</v>
      </c>
      <c r="H74">
        <v>0.13260173436388301</v>
      </c>
    </row>
    <row r="75" spans="1:8" x14ac:dyDescent="0.35">
      <c r="A75" t="s">
        <v>67</v>
      </c>
      <c r="B75" t="s">
        <v>49</v>
      </c>
      <c r="C75" t="s">
        <v>38</v>
      </c>
      <c r="D75">
        <v>2016</v>
      </c>
      <c r="E75">
        <v>1.233699257987553</v>
      </c>
      <c r="F75">
        <v>1.1863946679844091</v>
      </c>
      <c r="G75">
        <f t="shared" si="1"/>
        <v>-4.7304590003143909E-2</v>
      </c>
      <c r="H75">
        <v>0.13260173436388301</v>
      </c>
    </row>
    <row r="76" spans="1:8" x14ac:dyDescent="0.35">
      <c r="A76" t="s">
        <v>67</v>
      </c>
      <c r="B76" t="s">
        <v>48</v>
      </c>
      <c r="C76" t="s">
        <v>40</v>
      </c>
      <c r="D76">
        <v>2016</v>
      </c>
      <c r="E76">
        <v>1.466822845081617</v>
      </c>
      <c r="F76">
        <v>1.1863946679844091</v>
      </c>
      <c r="G76">
        <f t="shared" si="1"/>
        <v>-0.28042817709720791</v>
      </c>
      <c r="H76">
        <v>0.13260173436388301</v>
      </c>
    </row>
    <row r="77" spans="1:8" x14ac:dyDescent="0.35">
      <c r="A77" t="s">
        <v>67</v>
      </c>
      <c r="B77" t="s">
        <v>50</v>
      </c>
      <c r="C77" t="s">
        <v>40</v>
      </c>
      <c r="D77">
        <v>2016</v>
      </c>
      <c r="E77">
        <v>1.197250966203911</v>
      </c>
      <c r="F77">
        <v>1.1863946679844091</v>
      </c>
      <c r="G77">
        <f t="shared" si="1"/>
        <v>-1.0856298219501959E-2</v>
      </c>
      <c r="H77">
        <v>0.13260173436388301</v>
      </c>
    </row>
    <row r="78" spans="1:8" x14ac:dyDescent="0.35">
      <c r="A78" t="s">
        <v>67</v>
      </c>
      <c r="B78" t="s">
        <v>49</v>
      </c>
      <c r="C78" t="s">
        <v>38</v>
      </c>
      <c r="D78">
        <v>2017</v>
      </c>
      <c r="E78">
        <v>1.3129307877172809</v>
      </c>
      <c r="F78">
        <v>1.4637105039357461</v>
      </c>
      <c r="G78">
        <f t="shared" si="1"/>
        <v>0.1507797162184652</v>
      </c>
      <c r="H78">
        <v>0.1392873283304116</v>
      </c>
    </row>
    <row r="79" spans="1:8" x14ac:dyDescent="0.35">
      <c r="A79" t="s">
        <v>67</v>
      </c>
      <c r="B79" t="s">
        <v>51</v>
      </c>
      <c r="C79" t="s">
        <v>38</v>
      </c>
      <c r="D79">
        <v>2017</v>
      </c>
      <c r="E79">
        <v>1.732555567629479</v>
      </c>
      <c r="F79">
        <v>1.4637105039357461</v>
      </c>
      <c r="G79">
        <f t="shared" si="1"/>
        <v>-0.26884506369373296</v>
      </c>
      <c r="H79">
        <v>0.1392873283304116</v>
      </c>
    </row>
    <row r="80" spans="1:8" x14ac:dyDescent="0.35">
      <c r="A80" t="s">
        <v>67</v>
      </c>
      <c r="B80" t="s">
        <v>50</v>
      </c>
      <c r="C80" t="s">
        <v>40</v>
      </c>
      <c r="D80">
        <v>2017</v>
      </c>
      <c r="E80">
        <v>1.566209901734994</v>
      </c>
      <c r="F80">
        <v>1.4637105039357461</v>
      </c>
      <c r="G80">
        <f t="shared" si="1"/>
        <v>-0.10249939779924788</v>
      </c>
      <c r="H80">
        <v>0.1392873283304116</v>
      </c>
    </row>
    <row r="81" spans="1:8" x14ac:dyDescent="0.35">
      <c r="A81" t="s">
        <v>67</v>
      </c>
      <c r="B81" t="s">
        <v>52</v>
      </c>
      <c r="C81" t="s">
        <v>40</v>
      </c>
      <c r="D81">
        <v>2017</v>
      </c>
      <c r="E81">
        <v>1.543494370971477</v>
      </c>
      <c r="F81">
        <v>1.4637105039357461</v>
      </c>
      <c r="G81">
        <f t="shared" si="1"/>
        <v>-7.9783867035730927E-2</v>
      </c>
      <c r="H81">
        <v>0.1392873283304116</v>
      </c>
    </row>
    <row r="82" spans="1:8" x14ac:dyDescent="0.35">
      <c r="A82" t="s">
        <v>67</v>
      </c>
      <c r="B82" t="s">
        <v>51</v>
      </c>
      <c r="C82" t="s">
        <v>38</v>
      </c>
      <c r="D82">
        <v>2018</v>
      </c>
      <c r="E82">
        <v>1.802338911935264</v>
      </c>
      <c r="F82">
        <v>1.8605501927054691</v>
      </c>
      <c r="G82">
        <f t="shared" si="1"/>
        <v>5.8211280770205098E-2</v>
      </c>
      <c r="H82">
        <v>0.13952240899050841</v>
      </c>
    </row>
    <row r="83" spans="1:8" x14ac:dyDescent="0.35">
      <c r="A83" t="s">
        <v>67</v>
      </c>
      <c r="B83" t="s">
        <v>53</v>
      </c>
      <c r="C83" t="s">
        <v>38</v>
      </c>
      <c r="D83">
        <v>2018</v>
      </c>
      <c r="E83">
        <v>1.5323838734635939</v>
      </c>
      <c r="F83">
        <v>1.8605501927054691</v>
      </c>
      <c r="G83">
        <f t="shared" si="1"/>
        <v>0.32816631924187512</v>
      </c>
      <c r="H83">
        <v>0.13952240899050841</v>
      </c>
    </row>
    <row r="84" spans="1:8" x14ac:dyDescent="0.35">
      <c r="A84" t="s">
        <v>67</v>
      </c>
      <c r="B84" t="s">
        <v>52</v>
      </c>
      <c r="C84" t="s">
        <v>40</v>
      </c>
      <c r="D84">
        <v>2018</v>
      </c>
      <c r="E84">
        <v>1.6830527400463651</v>
      </c>
      <c r="F84">
        <v>1.8605501927054691</v>
      </c>
      <c r="G84">
        <f t="shared" si="1"/>
        <v>0.17749745265910399</v>
      </c>
      <c r="H84">
        <v>0.13952240899050841</v>
      </c>
    </row>
    <row r="85" spans="1:8" x14ac:dyDescent="0.35">
      <c r="A85" t="s">
        <v>67</v>
      </c>
      <c r="B85" t="s">
        <v>54</v>
      </c>
      <c r="C85" t="s">
        <v>40</v>
      </c>
      <c r="D85">
        <v>2018</v>
      </c>
      <c r="E85">
        <v>1.8083342533319999</v>
      </c>
      <c r="F85">
        <v>1.8605501927054691</v>
      </c>
      <c r="G85">
        <f t="shared" si="1"/>
        <v>5.2215939373469133E-2</v>
      </c>
      <c r="H85">
        <v>0.13952240899050841</v>
      </c>
    </row>
    <row r="86" spans="1:8" x14ac:dyDescent="0.35">
      <c r="A86" t="s">
        <v>67</v>
      </c>
      <c r="B86" t="s">
        <v>53</v>
      </c>
      <c r="C86" t="s">
        <v>38</v>
      </c>
      <c r="D86">
        <v>2019</v>
      </c>
      <c r="E86">
        <v>1.5152383923937141</v>
      </c>
      <c r="F86">
        <v>2.4135230125478802</v>
      </c>
      <c r="G86">
        <f t="shared" si="1"/>
        <v>0.8982846201541661</v>
      </c>
      <c r="H86">
        <v>0.14138633599396769</v>
      </c>
    </row>
    <row r="87" spans="1:8" x14ac:dyDescent="0.35">
      <c r="A87" t="s">
        <v>67</v>
      </c>
      <c r="B87" t="s">
        <v>55</v>
      </c>
      <c r="C87" t="s">
        <v>38</v>
      </c>
      <c r="D87">
        <v>2019</v>
      </c>
      <c r="E87">
        <v>1.136502566631536</v>
      </c>
      <c r="F87">
        <v>2.4135230125478802</v>
      </c>
      <c r="G87">
        <f t="shared" si="1"/>
        <v>1.2770204459163441</v>
      </c>
      <c r="H87">
        <v>0.14138633599396769</v>
      </c>
    </row>
    <row r="88" spans="1:8" x14ac:dyDescent="0.35">
      <c r="A88" t="s">
        <v>67</v>
      </c>
      <c r="B88" t="s">
        <v>54</v>
      </c>
      <c r="C88" t="s">
        <v>40</v>
      </c>
      <c r="D88">
        <v>2019</v>
      </c>
      <c r="E88">
        <v>1.7329380565713759</v>
      </c>
      <c r="F88">
        <v>2.4135230125478802</v>
      </c>
      <c r="G88">
        <f t="shared" si="1"/>
        <v>0.68058495597650426</v>
      </c>
      <c r="H88">
        <v>0.14138633599396769</v>
      </c>
    </row>
    <row r="89" spans="1:8" x14ac:dyDescent="0.35">
      <c r="A89" t="s">
        <v>67</v>
      </c>
      <c r="B89" t="s">
        <v>56</v>
      </c>
      <c r="C89" t="s">
        <v>40</v>
      </c>
      <c r="D89">
        <v>2019</v>
      </c>
      <c r="E89">
        <v>1.2263795589823929</v>
      </c>
      <c r="F89">
        <v>2.4135230125478802</v>
      </c>
      <c r="G89">
        <f t="shared" si="1"/>
        <v>1.1871434535654872</v>
      </c>
      <c r="H89">
        <v>0.14138633599396769</v>
      </c>
    </row>
    <row r="90" spans="1:8" x14ac:dyDescent="0.35">
      <c r="A90" t="s">
        <v>67</v>
      </c>
      <c r="B90" t="s">
        <v>55</v>
      </c>
      <c r="C90" t="s">
        <v>38</v>
      </c>
      <c r="D90">
        <v>2020</v>
      </c>
      <c r="E90">
        <v>0.96034482213216421</v>
      </c>
      <c r="F90">
        <v>-4.9116764965584894</v>
      </c>
      <c r="G90">
        <f t="shared" si="1"/>
        <v>-5.8720213186906536</v>
      </c>
      <c r="H90">
        <v>0.14451633046915729</v>
      </c>
    </row>
    <row r="91" spans="1:8" x14ac:dyDescent="0.35">
      <c r="A91" t="s">
        <v>67</v>
      </c>
      <c r="B91" t="s">
        <v>57</v>
      </c>
      <c r="C91" t="s">
        <v>38</v>
      </c>
      <c r="D91">
        <v>2020</v>
      </c>
      <c r="E91">
        <v>-8.420158667688538</v>
      </c>
      <c r="F91">
        <v>-4.9116764965584894</v>
      </c>
      <c r="G91">
        <f t="shared" si="1"/>
        <v>3.5084821711300487</v>
      </c>
      <c r="H91">
        <v>0.14451633046915729</v>
      </c>
    </row>
    <row r="92" spans="1:8" x14ac:dyDescent="0.35">
      <c r="A92" t="s">
        <v>67</v>
      </c>
      <c r="B92" t="s">
        <v>56</v>
      </c>
      <c r="C92" t="s">
        <v>40</v>
      </c>
      <c r="D92">
        <v>2020</v>
      </c>
      <c r="E92">
        <v>1.199077085455502</v>
      </c>
      <c r="F92">
        <v>-4.9116764965584894</v>
      </c>
      <c r="G92">
        <f t="shared" si="1"/>
        <v>-6.1107535820139915</v>
      </c>
      <c r="H92">
        <v>0.14451633046915729</v>
      </c>
    </row>
    <row r="93" spans="1:8" x14ac:dyDescent="0.35">
      <c r="A93" t="s">
        <v>67</v>
      </c>
      <c r="B93" t="s">
        <v>58</v>
      </c>
      <c r="C93" t="s">
        <v>40</v>
      </c>
      <c r="D93">
        <v>2020</v>
      </c>
      <c r="E93">
        <v>-7.1575995247655024</v>
      </c>
      <c r="F93">
        <v>-4.9116764965584894</v>
      </c>
      <c r="G93">
        <f t="shared" si="1"/>
        <v>2.2459230282070131</v>
      </c>
      <c r="H93">
        <v>0.14451633046915729</v>
      </c>
    </row>
    <row r="94" spans="1:8" x14ac:dyDescent="0.35">
      <c r="A94" t="s">
        <v>67</v>
      </c>
      <c r="B94" t="s">
        <v>57</v>
      </c>
      <c r="C94" t="s">
        <v>38</v>
      </c>
      <c r="D94">
        <v>2021</v>
      </c>
      <c r="E94">
        <v>4.1239049795648741</v>
      </c>
      <c r="F94">
        <v>6.0667175798443678</v>
      </c>
      <c r="G94">
        <f t="shared" si="1"/>
        <v>1.9428126002794937</v>
      </c>
      <c r="H94">
        <v>0.14637497707145941</v>
      </c>
    </row>
    <row r="95" spans="1:8" x14ac:dyDescent="0.35">
      <c r="A95" t="s">
        <v>67</v>
      </c>
      <c r="B95" t="s">
        <v>59</v>
      </c>
      <c r="C95" t="s">
        <v>38</v>
      </c>
      <c r="D95">
        <v>2021</v>
      </c>
      <c r="E95">
        <v>5.9836029339416452</v>
      </c>
      <c r="F95">
        <v>6.0667175798443678</v>
      </c>
      <c r="G95">
        <f t="shared" si="1"/>
        <v>8.311464590272255E-2</v>
      </c>
      <c r="H95">
        <v>0.14637497707145941</v>
      </c>
    </row>
    <row r="96" spans="1:8" x14ac:dyDescent="0.35">
      <c r="A96" t="s">
        <v>67</v>
      </c>
      <c r="B96" t="s">
        <v>58</v>
      </c>
      <c r="C96" t="s">
        <v>40</v>
      </c>
      <c r="D96">
        <v>2021</v>
      </c>
      <c r="E96">
        <v>6.6899129841448302</v>
      </c>
      <c r="F96">
        <v>6.0667175798443678</v>
      </c>
      <c r="G96">
        <f t="shared" si="1"/>
        <v>-0.62319540430046239</v>
      </c>
      <c r="H96">
        <v>0.14637497707145941</v>
      </c>
    </row>
    <row r="97" spans="1:8" x14ac:dyDescent="0.35">
      <c r="A97" t="s">
        <v>67</v>
      </c>
      <c r="B97" t="s">
        <v>60</v>
      </c>
      <c r="C97" t="s">
        <v>40</v>
      </c>
      <c r="D97">
        <v>2021</v>
      </c>
      <c r="E97">
        <v>4.5423071463688514</v>
      </c>
      <c r="F97">
        <v>6.0667175798443678</v>
      </c>
      <c r="G97">
        <f t="shared" si="1"/>
        <v>1.5244104334755164</v>
      </c>
      <c r="H97">
        <v>0.14637497707145941</v>
      </c>
    </row>
    <row r="98" spans="1:8" x14ac:dyDescent="0.35">
      <c r="A98" t="s">
        <v>67</v>
      </c>
      <c r="B98" t="s">
        <v>59</v>
      </c>
      <c r="C98" t="s">
        <v>38</v>
      </c>
      <c r="D98">
        <v>2022</v>
      </c>
      <c r="E98">
        <v>2.6471364529380592</v>
      </c>
      <c r="F98">
        <v>3.945716681463399</v>
      </c>
      <c r="G98">
        <f t="shared" si="1"/>
        <v>1.2985802285253398</v>
      </c>
      <c r="H98">
        <v>0.14806210436677841</v>
      </c>
    </row>
    <row r="99" spans="1:8" x14ac:dyDescent="0.35">
      <c r="A99" t="s">
        <v>67</v>
      </c>
      <c r="B99" t="s">
        <v>61</v>
      </c>
      <c r="C99" t="s">
        <v>38</v>
      </c>
      <c r="D99">
        <v>2022</v>
      </c>
      <c r="E99">
        <v>2.8171147512312089</v>
      </c>
      <c r="F99">
        <v>3.945716681463399</v>
      </c>
      <c r="G99">
        <f t="shared" si="1"/>
        <v>1.1286019302321901</v>
      </c>
      <c r="H99">
        <v>0.14806210436677841</v>
      </c>
    </row>
    <row r="100" spans="1:8" x14ac:dyDescent="0.35">
      <c r="A100" t="s">
        <v>67</v>
      </c>
      <c r="B100" t="s">
        <v>60</v>
      </c>
      <c r="C100" t="s">
        <v>40</v>
      </c>
      <c r="D100">
        <v>2022</v>
      </c>
      <c r="E100">
        <v>3.671117125209777</v>
      </c>
      <c r="F100">
        <v>3.945716681463399</v>
      </c>
      <c r="G100">
        <f t="shared" si="1"/>
        <v>0.27459955625362209</v>
      </c>
      <c r="H100">
        <v>0.14806210436677841</v>
      </c>
    </row>
    <row r="101" spans="1:8" x14ac:dyDescent="0.35">
      <c r="A101" t="s">
        <v>67</v>
      </c>
      <c r="B101" t="s">
        <v>62</v>
      </c>
      <c r="C101" t="s">
        <v>40</v>
      </c>
      <c r="D101">
        <v>2022</v>
      </c>
      <c r="E101">
        <v>2.0165795618690252</v>
      </c>
      <c r="F101">
        <v>3.945716681463399</v>
      </c>
      <c r="G101">
        <f t="shared" si="1"/>
        <v>1.9291371195943738</v>
      </c>
      <c r="H101">
        <v>0.14806210436677841</v>
      </c>
    </row>
    <row r="102" spans="1:8" x14ac:dyDescent="0.35">
      <c r="A102" t="s">
        <v>67</v>
      </c>
      <c r="B102" t="s">
        <v>61</v>
      </c>
      <c r="C102" t="s">
        <v>38</v>
      </c>
      <c r="D102">
        <v>2023</v>
      </c>
      <c r="E102">
        <v>0.1608186912456899</v>
      </c>
      <c r="F102">
        <v>1.5491827810755261</v>
      </c>
      <c r="G102">
        <f t="shared" si="1"/>
        <v>1.3883640898298362</v>
      </c>
      <c r="H102">
        <v>0.14690436069296811</v>
      </c>
    </row>
    <row r="103" spans="1:8" x14ac:dyDescent="0.35">
      <c r="A103" t="s">
        <v>67</v>
      </c>
      <c r="B103" t="s">
        <v>63</v>
      </c>
      <c r="C103" t="s">
        <v>38</v>
      </c>
      <c r="D103">
        <v>2023</v>
      </c>
      <c r="E103">
        <v>1.44096095579862</v>
      </c>
      <c r="F103">
        <v>1.5491827810755261</v>
      </c>
      <c r="G103">
        <f t="shared" si="1"/>
        <v>0.10822182527690605</v>
      </c>
      <c r="H103">
        <v>0.14690436069296811</v>
      </c>
    </row>
    <row r="104" spans="1:8" x14ac:dyDescent="0.35">
      <c r="A104" t="s">
        <v>67</v>
      </c>
      <c r="B104" t="s">
        <v>62</v>
      </c>
      <c r="C104" t="s">
        <v>40</v>
      </c>
      <c r="D104">
        <v>2023</v>
      </c>
      <c r="E104">
        <v>1.7766240808305469</v>
      </c>
      <c r="F104">
        <v>1.5491827810755261</v>
      </c>
      <c r="G104">
        <f t="shared" si="1"/>
        <v>-0.22744129975502081</v>
      </c>
      <c r="H104">
        <v>0.14690436069296811</v>
      </c>
    </row>
    <row r="105" spans="1:8" x14ac:dyDescent="0.35">
      <c r="A105" t="s">
        <v>67</v>
      </c>
      <c r="B105" t="s">
        <v>64</v>
      </c>
      <c r="C105" t="s">
        <v>40</v>
      </c>
      <c r="D105">
        <v>2023</v>
      </c>
      <c r="E105">
        <v>1.2330728065618859</v>
      </c>
      <c r="F105">
        <v>1.5491827810755261</v>
      </c>
      <c r="G105">
        <f t="shared" si="1"/>
        <v>0.3161099745136402</v>
      </c>
      <c r="H105">
        <v>0.14690436069296811</v>
      </c>
    </row>
    <row r="106" spans="1:8" x14ac:dyDescent="0.35">
      <c r="A106" t="s">
        <v>67</v>
      </c>
      <c r="B106" t="s">
        <v>63</v>
      </c>
      <c r="C106" t="s">
        <v>38</v>
      </c>
      <c r="D106">
        <v>2024</v>
      </c>
      <c r="E106">
        <v>1.366814397179428</v>
      </c>
      <c r="F106">
        <v>1.0917584184985489</v>
      </c>
      <c r="G106">
        <f t="shared" si="1"/>
        <v>-0.27505597868087905</v>
      </c>
      <c r="H106">
        <v>0.16444982264139649</v>
      </c>
    </row>
    <row r="107" spans="1:8" x14ac:dyDescent="0.35">
      <c r="A107" t="s">
        <v>67</v>
      </c>
      <c r="B107" t="s">
        <v>65</v>
      </c>
      <c r="C107" t="s">
        <v>38</v>
      </c>
      <c r="D107">
        <v>2024</v>
      </c>
      <c r="E107">
        <v>1.144309940913812</v>
      </c>
      <c r="F107">
        <v>1.0917584184985489</v>
      </c>
      <c r="G107">
        <f t="shared" si="1"/>
        <v>-5.2551522415263063E-2</v>
      </c>
      <c r="H107">
        <v>0.16444982264139649</v>
      </c>
    </row>
    <row r="108" spans="1:8" x14ac:dyDescent="0.35">
      <c r="A108" t="s">
        <v>67</v>
      </c>
      <c r="B108" t="s">
        <v>64</v>
      </c>
      <c r="C108" t="s">
        <v>40</v>
      </c>
      <c r="D108">
        <v>2024</v>
      </c>
      <c r="E108">
        <v>1.3611844962323929</v>
      </c>
      <c r="F108">
        <v>1.0917584184985489</v>
      </c>
      <c r="G108">
        <f t="shared" si="1"/>
        <v>-0.26942607773384397</v>
      </c>
      <c r="H108">
        <v>0.16444982264139649</v>
      </c>
    </row>
    <row r="109" spans="1:8" x14ac:dyDescent="0.35">
      <c r="A109" t="s">
        <v>67</v>
      </c>
      <c r="B109" t="s">
        <v>66</v>
      </c>
      <c r="C109" t="s">
        <v>40</v>
      </c>
      <c r="D109">
        <v>2024</v>
      </c>
      <c r="E109">
        <v>1.2741731353000501</v>
      </c>
      <c r="F109">
        <v>1.0917584184985489</v>
      </c>
      <c r="G109">
        <f t="shared" si="1"/>
        <v>-0.18241471680150112</v>
      </c>
      <c r="H109">
        <v>0.16444982264139649</v>
      </c>
    </row>
    <row r="110" spans="1:8" x14ac:dyDescent="0.35">
      <c r="A110" t="s">
        <v>68</v>
      </c>
      <c r="B110" t="s">
        <v>37</v>
      </c>
      <c r="C110" t="s">
        <v>38</v>
      </c>
      <c r="D110">
        <v>2011</v>
      </c>
      <c r="E110">
        <v>2.871708621036118</v>
      </c>
      <c r="F110">
        <v>3.7711034609926739</v>
      </c>
      <c r="G110">
        <f t="shared" si="1"/>
        <v>0.89939483995655589</v>
      </c>
      <c r="H110">
        <v>8.5987208995551345E-2</v>
      </c>
    </row>
    <row r="111" spans="1:8" x14ac:dyDescent="0.35">
      <c r="A111" t="s">
        <v>68</v>
      </c>
      <c r="B111" t="s">
        <v>39</v>
      </c>
      <c r="C111" t="s">
        <v>40</v>
      </c>
      <c r="D111">
        <v>2011</v>
      </c>
      <c r="E111">
        <v>2.5902474284125621</v>
      </c>
      <c r="F111">
        <v>3.7711034609926739</v>
      </c>
      <c r="G111">
        <f t="shared" si="1"/>
        <v>1.1808560325801118</v>
      </c>
      <c r="H111">
        <v>8.5987208995551345E-2</v>
      </c>
    </row>
    <row r="112" spans="1:8" x14ac:dyDescent="0.35">
      <c r="A112" t="s">
        <v>68</v>
      </c>
      <c r="B112" t="s">
        <v>37</v>
      </c>
      <c r="C112" t="s">
        <v>38</v>
      </c>
      <c r="D112">
        <v>2012</v>
      </c>
      <c r="E112">
        <v>0.75853952005673353</v>
      </c>
      <c r="F112">
        <v>0.70451026571915831</v>
      </c>
      <c r="G112">
        <f t="shared" si="1"/>
        <v>-5.4029254337575217E-2</v>
      </c>
      <c r="H112">
        <v>7.9699344978556588E-2</v>
      </c>
    </row>
    <row r="113" spans="1:8" x14ac:dyDescent="0.35">
      <c r="A113" t="s">
        <v>68</v>
      </c>
      <c r="B113" t="s">
        <v>41</v>
      </c>
      <c r="C113" t="s">
        <v>38</v>
      </c>
      <c r="D113">
        <v>2012</v>
      </c>
      <c r="E113">
        <v>0.8314871930005685</v>
      </c>
      <c r="F113">
        <v>0.70451026571915831</v>
      </c>
      <c r="G113">
        <f t="shared" si="1"/>
        <v>-0.12697692728141019</v>
      </c>
      <c r="H113">
        <v>7.9699344978556588E-2</v>
      </c>
    </row>
    <row r="114" spans="1:8" x14ac:dyDescent="0.35">
      <c r="A114" t="s">
        <v>68</v>
      </c>
      <c r="B114" t="s">
        <v>39</v>
      </c>
      <c r="C114" t="s">
        <v>40</v>
      </c>
      <c r="D114">
        <v>2012</v>
      </c>
      <c r="E114">
        <v>1.947486880825489</v>
      </c>
      <c r="F114">
        <v>0.70451026571915831</v>
      </c>
      <c r="G114">
        <f t="shared" si="1"/>
        <v>-1.2429766151063308</v>
      </c>
      <c r="H114">
        <v>7.9699344978556588E-2</v>
      </c>
    </row>
    <row r="115" spans="1:8" x14ac:dyDescent="0.35">
      <c r="A115" t="s">
        <v>68</v>
      </c>
      <c r="B115" t="s">
        <v>42</v>
      </c>
      <c r="C115" t="s">
        <v>40</v>
      </c>
      <c r="D115">
        <v>2012</v>
      </c>
      <c r="E115">
        <v>0.68323358153099534</v>
      </c>
      <c r="F115">
        <v>0.70451026571915831</v>
      </c>
      <c r="G115">
        <f t="shared" si="1"/>
        <v>2.1276684188162975E-2</v>
      </c>
      <c r="H115">
        <v>7.9699344978556588E-2</v>
      </c>
    </row>
    <row r="116" spans="1:8" x14ac:dyDescent="0.35">
      <c r="A116" t="s">
        <v>68</v>
      </c>
      <c r="B116" t="s">
        <v>41</v>
      </c>
      <c r="C116" t="s">
        <v>38</v>
      </c>
      <c r="D116">
        <v>2013</v>
      </c>
      <c r="E116">
        <v>0.83761648451896598</v>
      </c>
      <c r="F116">
        <v>0.57080505068838228</v>
      </c>
      <c r="G116">
        <f t="shared" si="1"/>
        <v>-0.2668114338305837</v>
      </c>
      <c r="H116">
        <v>7.9472535305386019E-2</v>
      </c>
    </row>
    <row r="117" spans="1:8" x14ac:dyDescent="0.35">
      <c r="A117" t="s">
        <v>68</v>
      </c>
      <c r="B117" t="s">
        <v>43</v>
      </c>
      <c r="C117" t="s">
        <v>38</v>
      </c>
      <c r="D117">
        <v>2013</v>
      </c>
      <c r="E117">
        <v>0.46473090150995772</v>
      </c>
      <c r="F117">
        <v>0.57080505068838228</v>
      </c>
      <c r="G117">
        <f t="shared" si="1"/>
        <v>0.10607414917842456</v>
      </c>
      <c r="H117">
        <v>7.9472535305386019E-2</v>
      </c>
    </row>
    <row r="118" spans="1:8" x14ac:dyDescent="0.35">
      <c r="A118" t="s">
        <v>68</v>
      </c>
      <c r="B118" t="s">
        <v>42</v>
      </c>
      <c r="C118" t="s">
        <v>40</v>
      </c>
      <c r="D118">
        <v>2013</v>
      </c>
      <c r="E118">
        <v>1.6744076981229929</v>
      </c>
      <c r="F118">
        <v>0.57080505068838228</v>
      </c>
      <c r="G118">
        <f t="shared" si="1"/>
        <v>-1.1036026474346108</v>
      </c>
      <c r="H118">
        <v>7.9472535305386019E-2</v>
      </c>
    </row>
    <row r="119" spans="1:8" x14ac:dyDescent="0.35">
      <c r="A119" t="s">
        <v>68</v>
      </c>
      <c r="B119" t="s">
        <v>44</v>
      </c>
      <c r="C119" t="s">
        <v>40</v>
      </c>
      <c r="D119">
        <v>2013</v>
      </c>
      <c r="E119">
        <v>0.37981982770534112</v>
      </c>
      <c r="F119">
        <v>0.57080505068838228</v>
      </c>
      <c r="G119">
        <f t="shared" si="1"/>
        <v>0.19098522298304116</v>
      </c>
      <c r="H119">
        <v>7.9472535305386019E-2</v>
      </c>
    </row>
    <row r="120" spans="1:8" x14ac:dyDescent="0.35">
      <c r="A120" t="s">
        <v>68</v>
      </c>
      <c r="B120" t="s">
        <v>43</v>
      </c>
      <c r="C120" t="s">
        <v>38</v>
      </c>
      <c r="D120">
        <v>2014</v>
      </c>
      <c r="E120">
        <v>1.702614326444496</v>
      </c>
      <c r="F120">
        <v>2.2065294370805351</v>
      </c>
      <c r="G120">
        <f t="shared" si="1"/>
        <v>0.50391511063603911</v>
      </c>
      <c r="H120">
        <v>8.0341460522861424E-2</v>
      </c>
    </row>
    <row r="121" spans="1:8" x14ac:dyDescent="0.35">
      <c r="A121" t="s">
        <v>68</v>
      </c>
      <c r="B121" t="s">
        <v>45</v>
      </c>
      <c r="C121" t="s">
        <v>38</v>
      </c>
      <c r="D121">
        <v>2014</v>
      </c>
      <c r="E121">
        <v>1.267570285804642</v>
      </c>
      <c r="F121">
        <v>2.2065294370805351</v>
      </c>
      <c r="G121">
        <f t="shared" si="1"/>
        <v>0.93895915127589302</v>
      </c>
      <c r="H121">
        <v>8.0341460522861424E-2</v>
      </c>
    </row>
    <row r="122" spans="1:8" x14ac:dyDescent="0.35">
      <c r="A122" t="s">
        <v>68</v>
      </c>
      <c r="B122" t="s">
        <v>44</v>
      </c>
      <c r="C122" t="s">
        <v>40</v>
      </c>
      <c r="D122">
        <v>2014</v>
      </c>
      <c r="E122">
        <v>1.821630101383787</v>
      </c>
      <c r="F122">
        <v>2.2065294370805351</v>
      </c>
      <c r="G122">
        <f t="shared" si="1"/>
        <v>0.38489933569674806</v>
      </c>
      <c r="H122">
        <v>8.0341460522861424E-2</v>
      </c>
    </row>
    <row r="123" spans="1:8" x14ac:dyDescent="0.35">
      <c r="A123" t="s">
        <v>68</v>
      </c>
      <c r="B123" t="s">
        <v>46</v>
      </c>
      <c r="C123" t="s">
        <v>40</v>
      </c>
      <c r="D123">
        <v>2014</v>
      </c>
      <c r="E123">
        <v>1.846054067989833</v>
      </c>
      <c r="F123">
        <v>2.2065294370805351</v>
      </c>
      <c r="G123">
        <f t="shared" si="1"/>
        <v>0.3604753690907021</v>
      </c>
      <c r="H123">
        <v>8.0341460522861424E-2</v>
      </c>
    </row>
    <row r="124" spans="1:8" x14ac:dyDescent="0.35">
      <c r="A124" t="s">
        <v>68</v>
      </c>
      <c r="B124" t="s">
        <v>45</v>
      </c>
      <c r="C124" t="s">
        <v>38</v>
      </c>
      <c r="D124">
        <v>2015</v>
      </c>
      <c r="E124">
        <v>1.095015499462715</v>
      </c>
      <c r="F124">
        <v>1.511701771928704</v>
      </c>
      <c r="G124">
        <f t="shared" si="1"/>
        <v>0.41668627246598899</v>
      </c>
      <c r="H124">
        <v>8.4820190971738083E-2</v>
      </c>
    </row>
    <row r="125" spans="1:8" x14ac:dyDescent="0.35">
      <c r="A125" t="s">
        <v>68</v>
      </c>
      <c r="B125" t="s">
        <v>47</v>
      </c>
      <c r="C125" t="s">
        <v>38</v>
      </c>
      <c r="D125">
        <v>2015</v>
      </c>
      <c r="E125">
        <v>1.7105611289528031</v>
      </c>
      <c r="F125">
        <v>1.511701771928704</v>
      </c>
      <c r="G125">
        <f t="shared" si="1"/>
        <v>-0.19885935702409907</v>
      </c>
      <c r="H125">
        <v>8.4820190971738083E-2</v>
      </c>
    </row>
    <row r="126" spans="1:8" x14ac:dyDescent="0.35">
      <c r="A126" t="s">
        <v>68</v>
      </c>
      <c r="B126" t="s">
        <v>46</v>
      </c>
      <c r="C126" t="s">
        <v>40</v>
      </c>
      <c r="D126">
        <v>2015</v>
      </c>
      <c r="E126">
        <v>1.9840546273578901</v>
      </c>
      <c r="F126">
        <v>1.511701771928704</v>
      </c>
      <c r="G126">
        <f t="shared" si="1"/>
        <v>-0.47235285542918604</v>
      </c>
      <c r="H126">
        <v>8.4820190971738083E-2</v>
      </c>
    </row>
    <row r="127" spans="1:8" x14ac:dyDescent="0.35">
      <c r="A127" t="s">
        <v>68</v>
      </c>
      <c r="B127" t="s">
        <v>48</v>
      </c>
      <c r="C127" t="s">
        <v>40</v>
      </c>
      <c r="D127">
        <v>2015</v>
      </c>
      <c r="E127">
        <v>1.8717908251089099</v>
      </c>
      <c r="F127">
        <v>1.511701771928704</v>
      </c>
      <c r="G127">
        <f t="shared" si="1"/>
        <v>-0.3600890531802059</v>
      </c>
      <c r="H127">
        <v>8.4820190971738083E-2</v>
      </c>
    </row>
    <row r="128" spans="1:8" x14ac:dyDescent="0.35">
      <c r="A128" t="s">
        <v>68</v>
      </c>
      <c r="B128" t="s">
        <v>47</v>
      </c>
      <c r="C128" t="s">
        <v>38</v>
      </c>
      <c r="D128">
        <v>2016</v>
      </c>
      <c r="E128">
        <v>1.9064608618794221</v>
      </c>
      <c r="F128">
        <v>2.1850659941992001</v>
      </c>
      <c r="G128">
        <f t="shared" si="1"/>
        <v>0.27860513231977801</v>
      </c>
      <c r="H128">
        <v>8.3646788238765979E-2</v>
      </c>
    </row>
    <row r="129" spans="1:8" x14ac:dyDescent="0.35">
      <c r="A129" t="s">
        <v>68</v>
      </c>
      <c r="B129" t="s">
        <v>49</v>
      </c>
      <c r="C129" t="s">
        <v>38</v>
      </c>
      <c r="D129">
        <v>2016</v>
      </c>
      <c r="E129">
        <v>1.9388708932542631</v>
      </c>
      <c r="F129">
        <v>2.1850659941992001</v>
      </c>
      <c r="G129">
        <f t="shared" si="1"/>
        <v>0.24619510094493702</v>
      </c>
      <c r="H129">
        <v>8.3646788238765979E-2</v>
      </c>
    </row>
    <row r="130" spans="1:8" x14ac:dyDescent="0.35">
      <c r="A130" t="s">
        <v>68</v>
      </c>
      <c r="B130" t="s">
        <v>48</v>
      </c>
      <c r="C130" t="s">
        <v>40</v>
      </c>
      <c r="D130">
        <v>2016</v>
      </c>
      <c r="E130">
        <v>2.0247448397811012</v>
      </c>
      <c r="F130">
        <v>2.1850659941992001</v>
      </c>
      <c r="G130">
        <f t="shared" ref="G130:G193" si="2">IF(OR(F130="",E130=""),"",F130-E130)</f>
        <v>0.16032115441809891</v>
      </c>
      <c r="H130">
        <v>8.3646788238765979E-2</v>
      </c>
    </row>
    <row r="131" spans="1:8" x14ac:dyDescent="0.35">
      <c r="A131" t="s">
        <v>68</v>
      </c>
      <c r="B131" t="s">
        <v>50</v>
      </c>
      <c r="C131" t="s">
        <v>40</v>
      </c>
      <c r="D131">
        <v>2016</v>
      </c>
      <c r="E131">
        <v>1.624850184809512</v>
      </c>
      <c r="F131">
        <v>2.1850659941992001</v>
      </c>
      <c r="G131">
        <f t="shared" si="2"/>
        <v>0.56021580938968807</v>
      </c>
      <c r="H131">
        <v>8.3646788238765979E-2</v>
      </c>
    </row>
    <row r="132" spans="1:8" x14ac:dyDescent="0.35">
      <c r="A132" t="s">
        <v>68</v>
      </c>
      <c r="B132" t="s">
        <v>49</v>
      </c>
      <c r="C132" t="s">
        <v>38</v>
      </c>
      <c r="D132">
        <v>2017</v>
      </c>
      <c r="E132">
        <v>1.4744000913811779</v>
      </c>
      <c r="F132">
        <v>3.139119319610074</v>
      </c>
      <c r="G132">
        <f t="shared" si="2"/>
        <v>1.6647192282288961</v>
      </c>
      <c r="H132">
        <v>8.1342778719866005E-2</v>
      </c>
    </row>
    <row r="133" spans="1:8" x14ac:dyDescent="0.35">
      <c r="A133" t="s">
        <v>68</v>
      </c>
      <c r="B133" t="s">
        <v>51</v>
      </c>
      <c r="C133" t="s">
        <v>38</v>
      </c>
      <c r="D133">
        <v>2017</v>
      </c>
      <c r="E133">
        <v>2.1518537819505301</v>
      </c>
      <c r="F133">
        <v>3.139119319610074</v>
      </c>
      <c r="G133">
        <f t="shared" si="2"/>
        <v>0.98726553765954383</v>
      </c>
      <c r="H133">
        <v>8.1342778719866005E-2</v>
      </c>
    </row>
    <row r="134" spans="1:8" x14ac:dyDescent="0.35">
      <c r="A134" t="s">
        <v>68</v>
      </c>
      <c r="B134" t="s">
        <v>50</v>
      </c>
      <c r="C134" t="s">
        <v>40</v>
      </c>
      <c r="D134">
        <v>2017</v>
      </c>
      <c r="E134">
        <v>1.5665137095587811</v>
      </c>
      <c r="F134">
        <v>3.139119319610074</v>
      </c>
      <c r="G134">
        <f t="shared" si="2"/>
        <v>1.5726056100512928</v>
      </c>
      <c r="H134">
        <v>8.1342778719866005E-2</v>
      </c>
    </row>
    <row r="135" spans="1:8" x14ac:dyDescent="0.35">
      <c r="A135" t="s">
        <v>68</v>
      </c>
      <c r="B135" t="s">
        <v>52</v>
      </c>
      <c r="C135" t="s">
        <v>40</v>
      </c>
      <c r="D135">
        <v>2017</v>
      </c>
      <c r="E135">
        <v>1.6411721834364681</v>
      </c>
      <c r="F135">
        <v>3.139119319610074</v>
      </c>
      <c r="G135">
        <f t="shared" si="2"/>
        <v>1.4979471361736059</v>
      </c>
      <c r="H135">
        <v>8.1342778719866005E-2</v>
      </c>
    </row>
    <row r="136" spans="1:8" x14ac:dyDescent="0.35">
      <c r="A136" t="s">
        <v>68</v>
      </c>
      <c r="B136" t="s">
        <v>51</v>
      </c>
      <c r="C136" t="s">
        <v>38</v>
      </c>
      <c r="D136">
        <v>2018</v>
      </c>
      <c r="E136">
        <v>2.1207866853858448</v>
      </c>
      <c r="F136">
        <v>1.2673227814059229</v>
      </c>
      <c r="G136">
        <f t="shared" si="2"/>
        <v>-0.85346390397992189</v>
      </c>
      <c r="H136">
        <v>8.1720008952551479E-2</v>
      </c>
    </row>
    <row r="137" spans="1:8" x14ac:dyDescent="0.35">
      <c r="A137" t="s">
        <v>68</v>
      </c>
      <c r="B137" t="s">
        <v>53</v>
      </c>
      <c r="C137" t="s">
        <v>38</v>
      </c>
      <c r="D137">
        <v>2018</v>
      </c>
      <c r="E137">
        <v>1.7181609113874341</v>
      </c>
      <c r="F137">
        <v>1.2673227814059229</v>
      </c>
      <c r="G137">
        <f t="shared" si="2"/>
        <v>-0.45083812998151118</v>
      </c>
      <c r="H137">
        <v>8.1720008952551479E-2</v>
      </c>
    </row>
    <row r="138" spans="1:8" x14ac:dyDescent="0.35">
      <c r="A138" t="s">
        <v>68</v>
      </c>
      <c r="B138" t="s">
        <v>52</v>
      </c>
      <c r="C138" t="s">
        <v>40</v>
      </c>
      <c r="D138">
        <v>2018</v>
      </c>
      <c r="E138">
        <v>1.853976950650349</v>
      </c>
      <c r="F138">
        <v>1.2673227814059229</v>
      </c>
      <c r="G138">
        <f t="shared" si="2"/>
        <v>-0.58665416924442604</v>
      </c>
      <c r="H138">
        <v>8.1720008952551479E-2</v>
      </c>
    </row>
    <row r="139" spans="1:8" x14ac:dyDescent="0.35">
      <c r="A139" t="s">
        <v>68</v>
      </c>
      <c r="B139" t="s">
        <v>54</v>
      </c>
      <c r="C139" t="s">
        <v>40</v>
      </c>
      <c r="D139">
        <v>2018</v>
      </c>
      <c r="E139">
        <v>2.3062043523037761</v>
      </c>
      <c r="F139">
        <v>1.2673227814059229</v>
      </c>
      <c r="G139">
        <f t="shared" si="2"/>
        <v>-1.0388815708978532</v>
      </c>
      <c r="H139">
        <v>8.1720008952551479E-2</v>
      </c>
    </row>
    <row r="140" spans="1:8" x14ac:dyDescent="0.35">
      <c r="A140" t="s">
        <v>68</v>
      </c>
      <c r="B140" t="s">
        <v>53</v>
      </c>
      <c r="C140" t="s">
        <v>38</v>
      </c>
      <c r="D140">
        <v>2019</v>
      </c>
      <c r="E140">
        <v>1.837083008004692</v>
      </c>
      <c r="F140">
        <v>1.110244719033926</v>
      </c>
      <c r="G140">
        <f t="shared" si="2"/>
        <v>-0.72683828897076608</v>
      </c>
      <c r="H140">
        <v>8.2855752884193876E-2</v>
      </c>
    </row>
    <row r="141" spans="1:8" x14ac:dyDescent="0.35">
      <c r="A141" t="s">
        <v>68</v>
      </c>
      <c r="B141" t="s">
        <v>55</v>
      </c>
      <c r="C141" t="s">
        <v>38</v>
      </c>
      <c r="D141">
        <v>2019</v>
      </c>
      <c r="E141">
        <v>0.43652728225691551</v>
      </c>
      <c r="F141">
        <v>1.110244719033926</v>
      </c>
      <c r="G141">
        <f t="shared" si="2"/>
        <v>0.67371743677701046</v>
      </c>
      <c r="H141">
        <v>8.2855752884193876E-2</v>
      </c>
    </row>
    <row r="142" spans="1:8" x14ac:dyDescent="0.35">
      <c r="A142" t="s">
        <v>68</v>
      </c>
      <c r="B142" t="s">
        <v>54</v>
      </c>
      <c r="C142" t="s">
        <v>40</v>
      </c>
      <c r="D142">
        <v>2019</v>
      </c>
      <c r="E142">
        <v>2.050241516126516</v>
      </c>
      <c r="F142">
        <v>1.110244719033926</v>
      </c>
      <c r="G142">
        <f t="shared" si="2"/>
        <v>-0.93999679709258999</v>
      </c>
      <c r="H142">
        <v>8.2855752884193876E-2</v>
      </c>
    </row>
    <row r="143" spans="1:8" x14ac:dyDescent="0.35">
      <c r="A143" t="s">
        <v>68</v>
      </c>
      <c r="B143" t="s">
        <v>56</v>
      </c>
      <c r="C143" t="s">
        <v>40</v>
      </c>
      <c r="D143">
        <v>2019</v>
      </c>
      <c r="E143">
        <v>0.54362498919910962</v>
      </c>
      <c r="F143">
        <v>1.110244719033926</v>
      </c>
      <c r="G143">
        <f t="shared" si="2"/>
        <v>0.56661972983481634</v>
      </c>
      <c r="H143">
        <v>8.2855752884193876E-2</v>
      </c>
    </row>
    <row r="144" spans="1:8" x14ac:dyDescent="0.35">
      <c r="A144" t="s">
        <v>68</v>
      </c>
      <c r="B144" t="s">
        <v>55</v>
      </c>
      <c r="C144" t="s">
        <v>38</v>
      </c>
      <c r="D144">
        <v>2020</v>
      </c>
      <c r="E144">
        <v>1.0098419735112829</v>
      </c>
      <c r="F144">
        <v>-4.5019012679871278</v>
      </c>
      <c r="G144">
        <f t="shared" si="2"/>
        <v>-5.5117432414984107</v>
      </c>
      <c r="H144">
        <v>8.1815293370048725E-2</v>
      </c>
    </row>
    <row r="145" spans="1:8" x14ac:dyDescent="0.35">
      <c r="A145" t="s">
        <v>68</v>
      </c>
      <c r="B145" t="s">
        <v>57</v>
      </c>
      <c r="C145" t="s">
        <v>38</v>
      </c>
      <c r="D145">
        <v>2020</v>
      </c>
      <c r="E145">
        <v>-5.5682040725027582</v>
      </c>
      <c r="F145">
        <v>-4.5019012679871278</v>
      </c>
      <c r="G145">
        <f t="shared" si="2"/>
        <v>1.0663028045156304</v>
      </c>
      <c r="H145">
        <v>8.1815293370048725E-2</v>
      </c>
    </row>
    <row r="146" spans="1:8" x14ac:dyDescent="0.35">
      <c r="A146" t="s">
        <v>68</v>
      </c>
      <c r="B146" t="s">
        <v>56</v>
      </c>
      <c r="C146" t="s">
        <v>40</v>
      </c>
      <c r="D146">
        <v>2020</v>
      </c>
      <c r="E146">
        <v>1.5458815393741829</v>
      </c>
      <c r="F146">
        <v>-4.5019012679871278</v>
      </c>
      <c r="G146">
        <f t="shared" si="2"/>
        <v>-6.0477828073613109</v>
      </c>
      <c r="H146">
        <v>8.1815293370048725E-2</v>
      </c>
    </row>
    <row r="147" spans="1:8" x14ac:dyDescent="0.35">
      <c r="A147" t="s">
        <v>68</v>
      </c>
      <c r="B147" t="s">
        <v>58</v>
      </c>
      <c r="C147" t="s">
        <v>40</v>
      </c>
      <c r="D147">
        <v>2020</v>
      </c>
      <c r="E147">
        <v>-6.4695771848944261</v>
      </c>
      <c r="F147">
        <v>-4.5019012679871278</v>
      </c>
      <c r="G147">
        <f t="shared" si="2"/>
        <v>1.9676759169072984</v>
      </c>
      <c r="H147">
        <v>8.1815293370048725E-2</v>
      </c>
    </row>
    <row r="148" spans="1:8" x14ac:dyDescent="0.35">
      <c r="A148" t="s">
        <v>68</v>
      </c>
      <c r="B148" t="s">
        <v>57</v>
      </c>
      <c r="C148" t="s">
        <v>38</v>
      </c>
      <c r="D148">
        <v>2021</v>
      </c>
      <c r="E148">
        <v>3.5168418141955371</v>
      </c>
      <c r="F148">
        <v>3.8314526417859192</v>
      </c>
      <c r="G148">
        <f t="shared" si="2"/>
        <v>0.31461082759038206</v>
      </c>
      <c r="H148">
        <v>8.3727042533414536E-2</v>
      </c>
    </row>
    <row r="149" spans="1:8" x14ac:dyDescent="0.35">
      <c r="A149" t="s">
        <v>68</v>
      </c>
      <c r="B149" t="s">
        <v>59</v>
      </c>
      <c r="C149" t="s">
        <v>38</v>
      </c>
      <c r="D149">
        <v>2021</v>
      </c>
      <c r="E149">
        <v>2.7343389231728081</v>
      </c>
      <c r="F149">
        <v>3.8314526417859192</v>
      </c>
      <c r="G149">
        <f t="shared" si="2"/>
        <v>1.097113718613111</v>
      </c>
      <c r="H149">
        <v>8.3727042533414536E-2</v>
      </c>
    </row>
    <row r="150" spans="1:8" x14ac:dyDescent="0.35">
      <c r="A150" t="s">
        <v>68</v>
      </c>
      <c r="B150" t="s">
        <v>58</v>
      </c>
      <c r="C150" t="s">
        <v>40</v>
      </c>
      <c r="D150">
        <v>2021</v>
      </c>
      <c r="E150">
        <v>5.8723795390502653</v>
      </c>
      <c r="F150">
        <v>3.8314526417859192</v>
      </c>
      <c r="G150">
        <f t="shared" si="2"/>
        <v>-2.0409268972643462</v>
      </c>
      <c r="H150">
        <v>8.3727042533414536E-2</v>
      </c>
    </row>
    <row r="151" spans="1:8" x14ac:dyDescent="0.35">
      <c r="A151" t="s">
        <v>68</v>
      </c>
      <c r="B151" t="s">
        <v>60</v>
      </c>
      <c r="C151" t="s">
        <v>40</v>
      </c>
      <c r="D151">
        <v>2021</v>
      </c>
      <c r="E151">
        <v>3.405406776981335</v>
      </c>
      <c r="F151">
        <v>3.8314526417859192</v>
      </c>
      <c r="G151">
        <f t="shared" si="2"/>
        <v>0.42604586480458417</v>
      </c>
      <c r="H151">
        <v>8.3727042533414536E-2</v>
      </c>
    </row>
    <row r="152" spans="1:8" x14ac:dyDescent="0.35">
      <c r="A152" t="s">
        <v>68</v>
      </c>
      <c r="B152" t="s">
        <v>59</v>
      </c>
      <c r="C152" t="s">
        <v>38</v>
      </c>
      <c r="D152">
        <v>2022</v>
      </c>
      <c r="E152">
        <v>4.5927784434600882</v>
      </c>
      <c r="F152">
        <v>1.931834126476093</v>
      </c>
      <c r="G152">
        <f t="shared" si="2"/>
        <v>-2.6609443169839953</v>
      </c>
      <c r="H152">
        <v>8.4524514070205975E-2</v>
      </c>
    </row>
    <row r="153" spans="1:8" x14ac:dyDescent="0.35">
      <c r="A153" t="s">
        <v>68</v>
      </c>
      <c r="B153" t="s">
        <v>61</v>
      </c>
      <c r="C153" t="s">
        <v>38</v>
      </c>
      <c r="D153">
        <v>2022</v>
      </c>
      <c r="E153">
        <v>1.55845355711639</v>
      </c>
      <c r="F153">
        <v>1.931834126476093</v>
      </c>
      <c r="G153">
        <f t="shared" si="2"/>
        <v>0.37338056935970299</v>
      </c>
      <c r="H153">
        <v>8.4524514070205975E-2</v>
      </c>
    </row>
    <row r="154" spans="1:8" x14ac:dyDescent="0.35">
      <c r="A154" t="s">
        <v>68</v>
      </c>
      <c r="B154" t="s">
        <v>60</v>
      </c>
      <c r="C154" t="s">
        <v>40</v>
      </c>
      <c r="D154">
        <v>2022</v>
      </c>
      <c r="E154">
        <v>4.0547699734103224</v>
      </c>
      <c r="F154">
        <v>1.931834126476093</v>
      </c>
      <c r="G154">
        <f t="shared" si="2"/>
        <v>-2.1229358469342294</v>
      </c>
      <c r="H154">
        <v>8.4524514070205975E-2</v>
      </c>
    </row>
    <row r="155" spans="1:8" x14ac:dyDescent="0.35">
      <c r="A155" t="s">
        <v>68</v>
      </c>
      <c r="B155" t="s">
        <v>62</v>
      </c>
      <c r="C155" t="s">
        <v>40</v>
      </c>
      <c r="D155">
        <v>2022</v>
      </c>
      <c r="E155">
        <v>1.5579683422439761</v>
      </c>
      <c r="F155">
        <v>1.931834126476093</v>
      </c>
      <c r="G155">
        <f t="shared" si="2"/>
        <v>0.37386578423211692</v>
      </c>
      <c r="H155">
        <v>8.4524514070205975E-2</v>
      </c>
    </row>
    <row r="156" spans="1:8" x14ac:dyDescent="0.35">
      <c r="A156" t="s">
        <v>68</v>
      </c>
      <c r="B156" t="s">
        <v>61</v>
      </c>
      <c r="C156" t="s">
        <v>38</v>
      </c>
      <c r="D156">
        <v>2023</v>
      </c>
      <c r="E156">
        <v>-0.62595524483003429</v>
      </c>
      <c r="F156">
        <v>-0.81689108427086243</v>
      </c>
      <c r="G156">
        <f t="shared" si="2"/>
        <v>-0.19093583944082815</v>
      </c>
      <c r="H156">
        <v>8.1127962753161406E-2</v>
      </c>
    </row>
    <row r="157" spans="1:8" x14ac:dyDescent="0.35">
      <c r="A157" t="s">
        <v>68</v>
      </c>
      <c r="B157" t="s">
        <v>63</v>
      </c>
      <c r="C157" t="s">
        <v>38</v>
      </c>
      <c r="D157">
        <v>2023</v>
      </c>
      <c r="E157">
        <v>-0.27334918709761569</v>
      </c>
      <c r="F157">
        <v>-0.81689108427086243</v>
      </c>
      <c r="G157">
        <f t="shared" si="2"/>
        <v>-0.54354189717324675</v>
      </c>
      <c r="H157">
        <v>8.1127962753161406E-2</v>
      </c>
    </row>
    <row r="158" spans="1:8" x14ac:dyDescent="0.35">
      <c r="A158" t="s">
        <v>68</v>
      </c>
      <c r="B158" t="s">
        <v>62</v>
      </c>
      <c r="C158" t="s">
        <v>40</v>
      </c>
      <c r="D158">
        <v>2023</v>
      </c>
      <c r="E158">
        <v>2.4090316591396821</v>
      </c>
      <c r="F158">
        <v>-0.81689108427086243</v>
      </c>
      <c r="G158">
        <f t="shared" si="2"/>
        <v>-3.2259227434105444</v>
      </c>
      <c r="H158">
        <v>8.1127962753161406E-2</v>
      </c>
    </row>
    <row r="159" spans="1:8" x14ac:dyDescent="0.35">
      <c r="A159" t="s">
        <v>68</v>
      </c>
      <c r="B159" t="s">
        <v>64</v>
      </c>
      <c r="C159" t="s">
        <v>40</v>
      </c>
      <c r="D159">
        <v>2023</v>
      </c>
      <c r="E159">
        <v>0.18957305278237691</v>
      </c>
      <c r="F159">
        <v>-0.81689108427086243</v>
      </c>
      <c r="G159">
        <f t="shared" si="2"/>
        <v>-1.0064641370532392</v>
      </c>
      <c r="H159">
        <v>8.1127962753161406E-2</v>
      </c>
    </row>
    <row r="160" spans="1:8" x14ac:dyDescent="0.35">
      <c r="A160" t="s">
        <v>68</v>
      </c>
      <c r="B160" t="s">
        <v>63</v>
      </c>
      <c r="C160" t="s">
        <v>38</v>
      </c>
      <c r="D160">
        <v>2024</v>
      </c>
      <c r="E160">
        <v>0.80450584510622924</v>
      </c>
      <c r="F160">
        <v>4.0523394564314849E-2</v>
      </c>
      <c r="G160">
        <f t="shared" si="2"/>
        <v>-0.76398245054191438</v>
      </c>
      <c r="H160">
        <v>8.6916760469719023E-2</v>
      </c>
    </row>
    <row r="161" spans="1:8" x14ac:dyDescent="0.35">
      <c r="A161" t="s">
        <v>68</v>
      </c>
      <c r="B161" t="s">
        <v>65</v>
      </c>
      <c r="C161" t="s">
        <v>38</v>
      </c>
      <c r="D161">
        <v>2024</v>
      </c>
      <c r="E161">
        <v>-0.1114510968873272</v>
      </c>
      <c r="F161">
        <v>4.0523394564314849E-2</v>
      </c>
      <c r="G161">
        <f t="shared" si="2"/>
        <v>0.15197449145164205</v>
      </c>
      <c r="H161">
        <v>8.6916760469719023E-2</v>
      </c>
    </row>
    <row r="162" spans="1:8" x14ac:dyDescent="0.35">
      <c r="A162" t="s">
        <v>68</v>
      </c>
      <c r="B162" t="s">
        <v>64</v>
      </c>
      <c r="C162" t="s">
        <v>40</v>
      </c>
      <c r="D162">
        <v>2024</v>
      </c>
      <c r="E162">
        <v>1.358688832068133</v>
      </c>
      <c r="F162">
        <v>4.0523394564314849E-2</v>
      </c>
      <c r="G162">
        <f t="shared" si="2"/>
        <v>-1.3181654375038181</v>
      </c>
      <c r="H162">
        <v>8.6916760469719023E-2</v>
      </c>
    </row>
    <row r="163" spans="1:8" x14ac:dyDescent="0.35">
      <c r="A163" t="s">
        <v>68</v>
      </c>
      <c r="B163" t="s">
        <v>66</v>
      </c>
      <c r="C163" t="s">
        <v>40</v>
      </c>
      <c r="D163">
        <v>2024</v>
      </c>
      <c r="E163">
        <v>0.12753656568900151</v>
      </c>
      <c r="F163">
        <v>4.0523394564314849E-2</v>
      </c>
      <c r="G163">
        <f t="shared" si="2"/>
        <v>-8.7013171124686664E-2</v>
      </c>
      <c r="H163">
        <v>8.6916760469719023E-2</v>
      </c>
    </row>
    <row r="164" spans="1:8" x14ac:dyDescent="0.35">
      <c r="A164" t="s">
        <v>69</v>
      </c>
      <c r="B164" t="s">
        <v>37</v>
      </c>
      <c r="C164" t="s">
        <v>38</v>
      </c>
      <c r="D164">
        <v>2011</v>
      </c>
      <c r="E164">
        <v>0.73935243476188628</v>
      </c>
      <c r="F164">
        <v>-0.64197941531252334</v>
      </c>
      <c r="G164">
        <f t="shared" si="2"/>
        <v>-1.3813318500744096</v>
      </c>
      <c r="H164">
        <v>0.1212304176787779</v>
      </c>
    </row>
    <row r="165" spans="1:8" x14ac:dyDescent="0.35">
      <c r="A165" t="s">
        <v>69</v>
      </c>
      <c r="B165" t="s">
        <v>39</v>
      </c>
      <c r="C165" t="s">
        <v>40</v>
      </c>
      <c r="D165">
        <v>2011</v>
      </c>
      <c r="E165">
        <v>0.76223621019062548</v>
      </c>
      <c r="F165">
        <v>-0.64197941531252334</v>
      </c>
      <c r="G165">
        <f t="shared" si="2"/>
        <v>-1.4042156255031488</v>
      </c>
      <c r="H165">
        <v>0.1212304176787779</v>
      </c>
    </row>
    <row r="166" spans="1:8" x14ac:dyDescent="0.35">
      <c r="A166" t="s">
        <v>69</v>
      </c>
      <c r="B166" t="s">
        <v>37</v>
      </c>
      <c r="C166" t="s">
        <v>38</v>
      </c>
      <c r="D166">
        <v>2012</v>
      </c>
      <c r="E166">
        <v>0.65087819203448749</v>
      </c>
      <c r="F166">
        <v>-2.906965118995676</v>
      </c>
      <c r="G166">
        <f t="shared" si="2"/>
        <v>-3.5578433110301635</v>
      </c>
      <c r="H166">
        <v>0.13847860293548639</v>
      </c>
    </row>
    <row r="167" spans="1:8" x14ac:dyDescent="0.35">
      <c r="A167" t="s">
        <v>69</v>
      </c>
      <c r="B167" t="s">
        <v>41</v>
      </c>
      <c r="C167" t="s">
        <v>38</v>
      </c>
      <c r="D167">
        <v>2012</v>
      </c>
      <c r="E167">
        <v>-1.438880133100584</v>
      </c>
      <c r="F167">
        <v>-2.906965118995676</v>
      </c>
      <c r="G167">
        <f t="shared" si="2"/>
        <v>-1.468084985895092</v>
      </c>
      <c r="H167">
        <v>0.13847860293548639</v>
      </c>
    </row>
    <row r="168" spans="1:8" x14ac:dyDescent="0.35">
      <c r="A168" t="s">
        <v>69</v>
      </c>
      <c r="B168" t="s">
        <v>39</v>
      </c>
      <c r="C168" t="s">
        <v>40</v>
      </c>
      <c r="D168">
        <v>2012</v>
      </c>
      <c r="E168">
        <v>1.5110276949649171</v>
      </c>
      <c r="F168">
        <v>-2.906965118995676</v>
      </c>
      <c r="G168">
        <f t="shared" si="2"/>
        <v>-4.4179928139605931</v>
      </c>
      <c r="H168">
        <v>0.13847860293548639</v>
      </c>
    </row>
    <row r="169" spans="1:8" x14ac:dyDescent="0.35">
      <c r="A169" t="s">
        <v>69</v>
      </c>
      <c r="B169" t="s">
        <v>42</v>
      </c>
      <c r="C169" t="s">
        <v>40</v>
      </c>
      <c r="D169">
        <v>2012</v>
      </c>
      <c r="E169">
        <v>-1.7627808297010159</v>
      </c>
      <c r="F169">
        <v>-2.906965118995676</v>
      </c>
      <c r="G169">
        <f t="shared" si="2"/>
        <v>-1.1441842892946601</v>
      </c>
      <c r="H169">
        <v>0.13847860293548639</v>
      </c>
    </row>
    <row r="170" spans="1:8" x14ac:dyDescent="0.35">
      <c r="A170" t="s">
        <v>69</v>
      </c>
      <c r="B170" t="s">
        <v>41</v>
      </c>
      <c r="C170" t="s">
        <v>38</v>
      </c>
      <c r="D170">
        <v>2013</v>
      </c>
      <c r="E170">
        <v>-1.4440800286151581</v>
      </c>
      <c r="F170">
        <v>-1.437599419188256</v>
      </c>
      <c r="G170">
        <f t="shared" si="2"/>
        <v>6.4806094269020953E-3</v>
      </c>
      <c r="H170">
        <v>0.13966913760817301</v>
      </c>
    </row>
    <row r="171" spans="1:8" x14ac:dyDescent="0.35">
      <c r="A171" t="s">
        <v>69</v>
      </c>
      <c r="B171" t="s">
        <v>43</v>
      </c>
      <c r="C171" t="s">
        <v>38</v>
      </c>
      <c r="D171">
        <v>2013</v>
      </c>
      <c r="E171">
        <v>-1.3067912142153639</v>
      </c>
      <c r="F171">
        <v>-1.437599419188256</v>
      </c>
      <c r="G171">
        <f t="shared" si="2"/>
        <v>-0.13080820497289203</v>
      </c>
      <c r="H171">
        <v>0.13966913760817301</v>
      </c>
    </row>
    <row r="172" spans="1:8" x14ac:dyDescent="0.35">
      <c r="A172" t="s">
        <v>69</v>
      </c>
      <c r="B172" t="s">
        <v>42</v>
      </c>
      <c r="C172" t="s">
        <v>40</v>
      </c>
      <c r="D172">
        <v>2013</v>
      </c>
      <c r="E172">
        <v>-0.3312062646812497</v>
      </c>
      <c r="F172">
        <v>-1.437599419188256</v>
      </c>
      <c r="G172">
        <f t="shared" si="2"/>
        <v>-1.1063931545070063</v>
      </c>
      <c r="H172">
        <v>0.13966913760817301</v>
      </c>
    </row>
    <row r="173" spans="1:8" x14ac:dyDescent="0.35">
      <c r="A173" t="s">
        <v>69</v>
      </c>
      <c r="B173" t="s">
        <v>44</v>
      </c>
      <c r="C173" t="s">
        <v>40</v>
      </c>
      <c r="D173">
        <v>2013</v>
      </c>
      <c r="E173">
        <v>-1.474157069656223</v>
      </c>
      <c r="F173">
        <v>-1.437599419188256</v>
      </c>
      <c r="G173">
        <f t="shared" si="2"/>
        <v>3.6557650467966996E-2</v>
      </c>
      <c r="H173">
        <v>0.13966913760817301</v>
      </c>
    </row>
    <row r="174" spans="1:8" x14ac:dyDescent="0.35">
      <c r="A174" t="s">
        <v>69</v>
      </c>
      <c r="B174" t="s">
        <v>43</v>
      </c>
      <c r="C174" t="s">
        <v>38</v>
      </c>
      <c r="D174">
        <v>2014</v>
      </c>
      <c r="E174">
        <v>0.53460867752352925</v>
      </c>
      <c r="F174">
        <v>1.509054117610189</v>
      </c>
      <c r="G174">
        <f t="shared" si="2"/>
        <v>0.97444544008665979</v>
      </c>
      <c r="H174">
        <v>0.1453806813935363</v>
      </c>
    </row>
    <row r="175" spans="1:8" x14ac:dyDescent="0.35">
      <c r="A175" t="s">
        <v>69</v>
      </c>
      <c r="B175" t="s">
        <v>45</v>
      </c>
      <c r="C175" t="s">
        <v>38</v>
      </c>
      <c r="D175">
        <v>2014</v>
      </c>
      <c r="E175">
        <v>1.249540362435053</v>
      </c>
      <c r="F175">
        <v>1.509054117610189</v>
      </c>
      <c r="G175">
        <f t="shared" si="2"/>
        <v>0.25951375517513608</v>
      </c>
      <c r="H175">
        <v>0.1453806813935363</v>
      </c>
    </row>
    <row r="176" spans="1:8" x14ac:dyDescent="0.35">
      <c r="A176" t="s">
        <v>69</v>
      </c>
      <c r="B176" t="s">
        <v>44</v>
      </c>
      <c r="C176" t="s">
        <v>40</v>
      </c>
      <c r="D176">
        <v>2014</v>
      </c>
      <c r="E176">
        <v>0.93589599660655054</v>
      </c>
      <c r="F176">
        <v>1.509054117610189</v>
      </c>
      <c r="G176">
        <f t="shared" si="2"/>
        <v>0.5731581210036385</v>
      </c>
      <c r="H176">
        <v>0.1453806813935363</v>
      </c>
    </row>
    <row r="177" spans="1:8" x14ac:dyDescent="0.35">
      <c r="A177" t="s">
        <v>69</v>
      </c>
      <c r="B177" t="s">
        <v>46</v>
      </c>
      <c r="C177" t="s">
        <v>40</v>
      </c>
      <c r="D177">
        <v>2014</v>
      </c>
      <c r="E177">
        <v>1.14800430968125</v>
      </c>
      <c r="F177">
        <v>1.509054117610189</v>
      </c>
      <c r="G177">
        <f t="shared" si="2"/>
        <v>0.36104980792893904</v>
      </c>
      <c r="H177">
        <v>0.1453806813935363</v>
      </c>
    </row>
    <row r="178" spans="1:8" x14ac:dyDescent="0.35">
      <c r="A178" t="s">
        <v>69</v>
      </c>
      <c r="B178" t="s">
        <v>45</v>
      </c>
      <c r="C178" t="s">
        <v>38</v>
      </c>
      <c r="D178">
        <v>2015</v>
      </c>
      <c r="E178">
        <v>1.7298208953237191</v>
      </c>
      <c r="F178">
        <v>3.980574024380553</v>
      </c>
      <c r="G178">
        <f t="shared" si="2"/>
        <v>2.2507531290568341</v>
      </c>
      <c r="H178">
        <v>0.15730156336399739</v>
      </c>
    </row>
    <row r="179" spans="1:8" x14ac:dyDescent="0.35">
      <c r="A179" t="s">
        <v>69</v>
      </c>
      <c r="B179" t="s">
        <v>47</v>
      </c>
      <c r="C179" t="s">
        <v>38</v>
      </c>
      <c r="D179">
        <v>2015</v>
      </c>
      <c r="E179">
        <v>3.1330217546616361</v>
      </c>
      <c r="F179">
        <v>3.980574024380553</v>
      </c>
      <c r="G179">
        <f t="shared" si="2"/>
        <v>0.84755226971891684</v>
      </c>
      <c r="H179">
        <v>0.15730156336399739</v>
      </c>
    </row>
    <row r="180" spans="1:8" x14ac:dyDescent="0.35">
      <c r="A180" t="s">
        <v>69</v>
      </c>
      <c r="B180" t="s">
        <v>46</v>
      </c>
      <c r="C180" t="s">
        <v>40</v>
      </c>
      <c r="D180">
        <v>2015</v>
      </c>
      <c r="E180">
        <v>2.0578550096999941</v>
      </c>
      <c r="F180">
        <v>3.980574024380553</v>
      </c>
      <c r="G180">
        <f t="shared" si="2"/>
        <v>1.9227190146805588</v>
      </c>
      <c r="H180">
        <v>0.15730156336399739</v>
      </c>
    </row>
    <row r="181" spans="1:8" x14ac:dyDescent="0.35">
      <c r="A181" t="s">
        <v>69</v>
      </c>
      <c r="B181" t="s">
        <v>48</v>
      </c>
      <c r="C181" t="s">
        <v>40</v>
      </c>
      <c r="D181">
        <v>2015</v>
      </c>
      <c r="E181">
        <v>2.8163023499567119</v>
      </c>
      <c r="F181">
        <v>3.980574024380553</v>
      </c>
      <c r="G181">
        <f t="shared" si="2"/>
        <v>1.1642716744238411</v>
      </c>
      <c r="H181">
        <v>0.15730156336399739</v>
      </c>
    </row>
    <row r="182" spans="1:8" x14ac:dyDescent="0.35">
      <c r="A182" t="s">
        <v>69</v>
      </c>
      <c r="B182" t="s">
        <v>47</v>
      </c>
      <c r="C182" t="s">
        <v>38</v>
      </c>
      <c r="D182">
        <v>2016</v>
      </c>
      <c r="E182">
        <v>2.6664587847684769</v>
      </c>
      <c r="F182">
        <v>2.8733724111720398</v>
      </c>
      <c r="G182">
        <f t="shared" si="2"/>
        <v>0.20691362640356292</v>
      </c>
      <c r="H182">
        <v>0.15809620778610481</v>
      </c>
    </row>
    <row r="183" spans="1:8" x14ac:dyDescent="0.35">
      <c r="A183" t="s">
        <v>69</v>
      </c>
      <c r="B183" t="s">
        <v>49</v>
      </c>
      <c r="C183" t="s">
        <v>38</v>
      </c>
      <c r="D183">
        <v>2016</v>
      </c>
      <c r="E183">
        <v>3.1977481622379229</v>
      </c>
      <c r="F183">
        <v>2.8733724111720398</v>
      </c>
      <c r="G183">
        <f t="shared" si="2"/>
        <v>-0.32437575106588312</v>
      </c>
      <c r="H183">
        <v>0.15809620778610481</v>
      </c>
    </row>
    <row r="184" spans="1:8" x14ac:dyDescent="0.35">
      <c r="A184" t="s">
        <v>69</v>
      </c>
      <c r="B184" t="s">
        <v>48</v>
      </c>
      <c r="C184" t="s">
        <v>40</v>
      </c>
      <c r="D184">
        <v>2016</v>
      </c>
      <c r="E184">
        <v>2.5804277166284968</v>
      </c>
      <c r="F184">
        <v>2.8733724111720398</v>
      </c>
      <c r="G184">
        <f t="shared" si="2"/>
        <v>0.29294469454354299</v>
      </c>
      <c r="H184">
        <v>0.15809620778610481</v>
      </c>
    </row>
    <row r="185" spans="1:8" x14ac:dyDescent="0.35">
      <c r="A185" t="s">
        <v>69</v>
      </c>
      <c r="B185" t="s">
        <v>50</v>
      </c>
      <c r="C185" t="s">
        <v>40</v>
      </c>
      <c r="D185">
        <v>2016</v>
      </c>
      <c r="E185">
        <v>2.5934687983342641</v>
      </c>
      <c r="F185">
        <v>2.8733724111720398</v>
      </c>
      <c r="G185">
        <f t="shared" si="2"/>
        <v>0.27990361283777565</v>
      </c>
      <c r="H185">
        <v>0.15809620778610481</v>
      </c>
    </row>
    <row r="186" spans="1:8" x14ac:dyDescent="0.35">
      <c r="A186" t="s">
        <v>69</v>
      </c>
      <c r="B186" t="s">
        <v>49</v>
      </c>
      <c r="C186" t="s">
        <v>38</v>
      </c>
      <c r="D186">
        <v>2017</v>
      </c>
      <c r="E186">
        <v>2.255443360388365</v>
      </c>
      <c r="F186">
        <v>2.855001546118654</v>
      </c>
      <c r="G186">
        <f t="shared" si="2"/>
        <v>0.59955818573028896</v>
      </c>
      <c r="H186">
        <v>0.1502122446396362</v>
      </c>
    </row>
    <row r="187" spans="1:8" x14ac:dyDescent="0.35">
      <c r="A187" t="s">
        <v>69</v>
      </c>
      <c r="B187" t="s">
        <v>51</v>
      </c>
      <c r="C187" t="s">
        <v>38</v>
      </c>
      <c r="D187">
        <v>2017</v>
      </c>
      <c r="E187">
        <v>3.068359604619419</v>
      </c>
      <c r="F187">
        <v>2.855001546118654</v>
      </c>
      <c r="G187">
        <f t="shared" si="2"/>
        <v>-0.21335805850076506</v>
      </c>
      <c r="H187">
        <v>0.1502122446396362</v>
      </c>
    </row>
    <row r="188" spans="1:8" x14ac:dyDescent="0.35">
      <c r="A188" t="s">
        <v>69</v>
      </c>
      <c r="B188" t="s">
        <v>50</v>
      </c>
      <c r="C188" t="s">
        <v>40</v>
      </c>
      <c r="D188">
        <v>2017</v>
      </c>
      <c r="E188">
        <v>2.5049942578537321</v>
      </c>
      <c r="F188">
        <v>2.855001546118654</v>
      </c>
      <c r="G188">
        <f t="shared" si="2"/>
        <v>0.35000728826492189</v>
      </c>
      <c r="H188">
        <v>0.1502122446396362</v>
      </c>
    </row>
    <row r="189" spans="1:8" x14ac:dyDescent="0.35">
      <c r="A189" t="s">
        <v>69</v>
      </c>
      <c r="B189" t="s">
        <v>52</v>
      </c>
      <c r="C189" t="s">
        <v>40</v>
      </c>
      <c r="D189">
        <v>2017</v>
      </c>
      <c r="E189">
        <v>2.763295099061525</v>
      </c>
      <c r="F189">
        <v>2.855001546118654</v>
      </c>
      <c r="G189">
        <f t="shared" si="2"/>
        <v>9.1706447057128937E-2</v>
      </c>
      <c r="H189">
        <v>0.1502122446396362</v>
      </c>
    </row>
    <row r="190" spans="1:8" x14ac:dyDescent="0.35">
      <c r="A190" t="s">
        <v>69</v>
      </c>
      <c r="B190" t="s">
        <v>51</v>
      </c>
      <c r="C190" t="s">
        <v>38</v>
      </c>
      <c r="D190">
        <v>2018</v>
      </c>
      <c r="E190">
        <v>2.5372488700963869</v>
      </c>
      <c r="F190">
        <v>2.367158610415725</v>
      </c>
      <c r="G190">
        <f t="shared" si="2"/>
        <v>-0.17009025968066194</v>
      </c>
      <c r="H190">
        <v>0.1479568305506872</v>
      </c>
    </row>
    <row r="191" spans="1:8" x14ac:dyDescent="0.35">
      <c r="A191" t="s">
        <v>69</v>
      </c>
      <c r="B191" t="s">
        <v>53</v>
      </c>
      <c r="C191" t="s">
        <v>38</v>
      </c>
      <c r="D191">
        <v>2018</v>
      </c>
      <c r="E191">
        <v>2.5579730614092582</v>
      </c>
      <c r="F191">
        <v>2.367158610415725</v>
      </c>
      <c r="G191">
        <f t="shared" si="2"/>
        <v>-0.19081445099353322</v>
      </c>
      <c r="H191">
        <v>0.1479568305506872</v>
      </c>
    </row>
    <row r="192" spans="1:8" x14ac:dyDescent="0.35">
      <c r="A192" t="s">
        <v>69</v>
      </c>
      <c r="B192" t="s">
        <v>52</v>
      </c>
      <c r="C192" t="s">
        <v>40</v>
      </c>
      <c r="D192">
        <v>2018</v>
      </c>
      <c r="E192">
        <v>2.3641938543665701</v>
      </c>
      <c r="F192">
        <v>2.367158610415725</v>
      </c>
      <c r="G192">
        <f t="shared" si="2"/>
        <v>2.9647560491548042E-3</v>
      </c>
      <c r="H192">
        <v>0.1479568305506872</v>
      </c>
    </row>
    <row r="193" spans="1:8" x14ac:dyDescent="0.35">
      <c r="A193" t="s">
        <v>69</v>
      </c>
      <c r="B193" t="s">
        <v>54</v>
      </c>
      <c r="C193" t="s">
        <v>40</v>
      </c>
      <c r="D193">
        <v>2018</v>
      </c>
      <c r="E193">
        <v>2.8513007726971522</v>
      </c>
      <c r="F193">
        <v>2.367158610415725</v>
      </c>
      <c r="G193">
        <f t="shared" si="2"/>
        <v>-0.48414216228142726</v>
      </c>
      <c r="H193">
        <v>0.1479568305506872</v>
      </c>
    </row>
    <row r="194" spans="1:8" x14ac:dyDescent="0.35">
      <c r="A194" t="s">
        <v>69</v>
      </c>
      <c r="B194" t="s">
        <v>53</v>
      </c>
      <c r="C194" t="s">
        <v>38</v>
      </c>
      <c r="D194">
        <v>2019</v>
      </c>
      <c r="E194">
        <v>2.1553608163649152</v>
      </c>
      <c r="F194">
        <v>1.9422910480512949</v>
      </c>
      <c r="G194">
        <f t="shared" ref="G194:G257" si="3">IF(OR(F194="",E194=""),"",F194-E194)</f>
        <v>-0.21306976831362023</v>
      </c>
      <c r="H194">
        <v>0.14029367629612749</v>
      </c>
    </row>
    <row r="195" spans="1:8" x14ac:dyDescent="0.35">
      <c r="A195" t="s">
        <v>69</v>
      </c>
      <c r="B195" t="s">
        <v>55</v>
      </c>
      <c r="C195" t="s">
        <v>38</v>
      </c>
      <c r="D195">
        <v>2019</v>
      </c>
      <c r="E195">
        <v>1.870053317687548</v>
      </c>
      <c r="F195">
        <v>1.9422910480512949</v>
      </c>
      <c r="G195">
        <f t="shared" si="3"/>
        <v>7.2237730363746921E-2</v>
      </c>
      <c r="H195">
        <v>0.14029367629612749</v>
      </c>
    </row>
    <row r="196" spans="1:8" x14ac:dyDescent="0.35">
      <c r="A196" t="s">
        <v>69</v>
      </c>
      <c r="B196" t="s">
        <v>54</v>
      </c>
      <c r="C196" t="s">
        <v>40</v>
      </c>
      <c r="D196">
        <v>2019</v>
      </c>
      <c r="E196">
        <v>2.355960635013798</v>
      </c>
      <c r="F196">
        <v>1.9422910480512949</v>
      </c>
      <c r="G196">
        <f t="shared" si="3"/>
        <v>-0.41366958696250311</v>
      </c>
      <c r="H196">
        <v>0.14029367629612749</v>
      </c>
    </row>
    <row r="197" spans="1:8" x14ac:dyDescent="0.35">
      <c r="A197" t="s">
        <v>69</v>
      </c>
      <c r="B197" t="s">
        <v>56</v>
      </c>
      <c r="C197" t="s">
        <v>40</v>
      </c>
      <c r="D197">
        <v>2019</v>
      </c>
      <c r="E197">
        <v>2.0959399874803002</v>
      </c>
      <c r="F197">
        <v>1.9422910480512949</v>
      </c>
      <c r="G197">
        <f t="shared" si="3"/>
        <v>-0.15364893942900526</v>
      </c>
      <c r="H197">
        <v>0.14029367629612749</v>
      </c>
    </row>
    <row r="198" spans="1:8" x14ac:dyDescent="0.35">
      <c r="A198" t="s">
        <v>69</v>
      </c>
      <c r="B198" t="s">
        <v>55</v>
      </c>
      <c r="C198" t="s">
        <v>38</v>
      </c>
      <c r="D198">
        <v>2020</v>
      </c>
      <c r="E198">
        <v>1.490576223487361</v>
      </c>
      <c r="F198">
        <v>-11.58616521695834</v>
      </c>
      <c r="G198">
        <f t="shared" si="3"/>
        <v>-13.076741440445701</v>
      </c>
      <c r="H198">
        <v>0.14433972800453609</v>
      </c>
    </row>
    <row r="199" spans="1:8" x14ac:dyDescent="0.35">
      <c r="A199" t="s">
        <v>69</v>
      </c>
      <c r="B199" t="s">
        <v>57</v>
      </c>
      <c r="C199" t="s">
        <v>38</v>
      </c>
      <c r="D199">
        <v>2020</v>
      </c>
      <c r="E199">
        <v>-12.410533977614319</v>
      </c>
      <c r="F199">
        <v>-11.58616521695834</v>
      </c>
      <c r="G199">
        <f t="shared" si="3"/>
        <v>0.82436876065597886</v>
      </c>
      <c r="H199">
        <v>0.14433972800453609</v>
      </c>
    </row>
    <row r="200" spans="1:8" x14ac:dyDescent="0.35">
      <c r="A200" t="s">
        <v>69</v>
      </c>
      <c r="B200" t="s">
        <v>56</v>
      </c>
      <c r="C200" t="s">
        <v>40</v>
      </c>
      <c r="D200">
        <v>2020</v>
      </c>
      <c r="E200">
        <v>1.863359760106897</v>
      </c>
      <c r="F200">
        <v>-11.58616521695834</v>
      </c>
      <c r="G200">
        <f t="shared" si="3"/>
        <v>-13.449524977065238</v>
      </c>
      <c r="H200">
        <v>0.14433972800453609</v>
      </c>
    </row>
    <row r="201" spans="1:8" x14ac:dyDescent="0.35">
      <c r="A201" t="s">
        <v>69</v>
      </c>
      <c r="B201" t="s">
        <v>58</v>
      </c>
      <c r="C201" t="s">
        <v>40</v>
      </c>
      <c r="D201">
        <v>2020</v>
      </c>
      <c r="E201">
        <v>-9.3843459766278272</v>
      </c>
      <c r="F201">
        <v>-11.58616521695834</v>
      </c>
      <c r="G201">
        <f t="shared" si="3"/>
        <v>-2.2018192403305132</v>
      </c>
      <c r="H201">
        <v>0.14433972800453609</v>
      </c>
    </row>
    <row r="202" spans="1:8" x14ac:dyDescent="0.35">
      <c r="A202" t="s">
        <v>69</v>
      </c>
      <c r="B202" t="s">
        <v>57</v>
      </c>
      <c r="C202" t="s">
        <v>38</v>
      </c>
      <c r="D202">
        <v>2021</v>
      </c>
      <c r="E202">
        <v>5.3508536215682634</v>
      </c>
      <c r="F202">
        <v>6.4693143142877041</v>
      </c>
      <c r="G202">
        <f t="shared" si="3"/>
        <v>1.1184606927194407</v>
      </c>
      <c r="H202">
        <v>0.15242426670940859</v>
      </c>
    </row>
    <row r="203" spans="1:8" x14ac:dyDescent="0.35">
      <c r="A203" t="s">
        <v>69</v>
      </c>
      <c r="B203" t="s">
        <v>59</v>
      </c>
      <c r="C203" t="s">
        <v>38</v>
      </c>
      <c r="D203">
        <v>2021</v>
      </c>
      <c r="E203">
        <v>4.6234510847103616</v>
      </c>
      <c r="F203">
        <v>6.4693143142877041</v>
      </c>
      <c r="G203">
        <f t="shared" si="3"/>
        <v>1.8458632295773425</v>
      </c>
      <c r="H203">
        <v>0.15242426670940859</v>
      </c>
    </row>
    <row r="204" spans="1:8" x14ac:dyDescent="0.35">
      <c r="A204" t="s">
        <v>69</v>
      </c>
      <c r="B204" t="s">
        <v>58</v>
      </c>
      <c r="C204" t="s">
        <v>40</v>
      </c>
      <c r="D204">
        <v>2021</v>
      </c>
      <c r="E204">
        <v>6.9761759541974167</v>
      </c>
      <c r="F204">
        <v>6.4693143142877041</v>
      </c>
      <c r="G204">
        <f t="shared" si="3"/>
        <v>-0.50686163990971256</v>
      </c>
      <c r="H204">
        <v>0.15242426670940859</v>
      </c>
    </row>
    <row r="205" spans="1:8" x14ac:dyDescent="0.35">
      <c r="A205" t="s">
        <v>69</v>
      </c>
      <c r="B205" t="s">
        <v>60</v>
      </c>
      <c r="C205" t="s">
        <v>40</v>
      </c>
      <c r="D205">
        <v>2021</v>
      </c>
      <c r="E205">
        <v>5.8812532644924698</v>
      </c>
      <c r="F205">
        <v>6.4693143142877041</v>
      </c>
      <c r="G205">
        <f t="shared" si="3"/>
        <v>0.58806104979523433</v>
      </c>
      <c r="H205">
        <v>0.15242426670940859</v>
      </c>
    </row>
    <row r="206" spans="1:8" x14ac:dyDescent="0.35">
      <c r="A206" t="s">
        <v>69</v>
      </c>
      <c r="B206" t="s">
        <v>59</v>
      </c>
      <c r="C206" t="s">
        <v>38</v>
      </c>
      <c r="D206">
        <v>2022</v>
      </c>
      <c r="E206">
        <v>5.5278236152833893</v>
      </c>
      <c r="F206">
        <v>6.1757125573772758</v>
      </c>
      <c r="G206">
        <f t="shared" si="3"/>
        <v>0.64788894209388648</v>
      </c>
      <c r="H206">
        <v>0.14409521444535101</v>
      </c>
    </row>
    <row r="207" spans="1:8" x14ac:dyDescent="0.35">
      <c r="A207" t="s">
        <v>69</v>
      </c>
      <c r="B207" t="s">
        <v>61</v>
      </c>
      <c r="C207" t="s">
        <v>38</v>
      </c>
      <c r="D207">
        <v>2022</v>
      </c>
      <c r="E207">
        <v>4.547669246739372</v>
      </c>
      <c r="F207">
        <v>6.1757125573772758</v>
      </c>
      <c r="G207">
        <f t="shared" si="3"/>
        <v>1.6280433106379038</v>
      </c>
      <c r="H207">
        <v>0.14409521444535101</v>
      </c>
    </row>
    <row r="208" spans="1:8" x14ac:dyDescent="0.35">
      <c r="A208" t="s">
        <v>69</v>
      </c>
      <c r="B208" t="s">
        <v>60</v>
      </c>
      <c r="C208" t="s">
        <v>40</v>
      </c>
      <c r="D208">
        <v>2022</v>
      </c>
      <c r="E208">
        <v>6.7779918001151573</v>
      </c>
      <c r="F208">
        <v>6.1757125573772758</v>
      </c>
      <c r="G208">
        <f t="shared" si="3"/>
        <v>-0.60227924273788158</v>
      </c>
      <c r="H208">
        <v>0.14409521444535101</v>
      </c>
    </row>
    <row r="209" spans="1:8" x14ac:dyDescent="0.35">
      <c r="A209" t="s">
        <v>69</v>
      </c>
      <c r="B209" t="s">
        <v>62</v>
      </c>
      <c r="C209" t="s">
        <v>40</v>
      </c>
      <c r="D209">
        <v>2022</v>
      </c>
      <c r="E209">
        <v>4.0260894815609127</v>
      </c>
      <c r="F209">
        <v>6.1757125573772758</v>
      </c>
      <c r="G209">
        <f t="shared" si="3"/>
        <v>2.149623075816363</v>
      </c>
      <c r="H209">
        <v>0.14409521444535101</v>
      </c>
    </row>
    <row r="210" spans="1:8" x14ac:dyDescent="0.35">
      <c r="A210" t="s">
        <v>69</v>
      </c>
      <c r="B210" t="s">
        <v>61</v>
      </c>
      <c r="C210" t="s">
        <v>38</v>
      </c>
      <c r="D210">
        <v>2023</v>
      </c>
      <c r="E210">
        <v>0.95503996038659444</v>
      </c>
      <c r="F210">
        <v>2.4309784639696339</v>
      </c>
      <c r="G210">
        <f t="shared" si="3"/>
        <v>1.4759385035830395</v>
      </c>
      <c r="H210">
        <v>0.14973134678937389</v>
      </c>
    </row>
    <row r="211" spans="1:8" x14ac:dyDescent="0.35">
      <c r="A211" t="s">
        <v>69</v>
      </c>
      <c r="B211" t="s">
        <v>63</v>
      </c>
      <c r="C211" t="s">
        <v>38</v>
      </c>
      <c r="D211">
        <v>2023</v>
      </c>
      <c r="E211">
        <v>2.3654844972287088</v>
      </c>
      <c r="F211">
        <v>2.4309784639696339</v>
      </c>
      <c r="G211">
        <f t="shared" si="3"/>
        <v>6.5493966740925114E-2</v>
      </c>
      <c r="H211">
        <v>0.14973134678937389</v>
      </c>
    </row>
    <row r="212" spans="1:8" x14ac:dyDescent="0.35">
      <c r="A212" t="s">
        <v>69</v>
      </c>
      <c r="B212" t="s">
        <v>62</v>
      </c>
      <c r="C212" t="s">
        <v>40</v>
      </c>
      <c r="D212">
        <v>2023</v>
      </c>
      <c r="E212">
        <v>3.3729684974310499</v>
      </c>
      <c r="F212">
        <v>2.4309784639696339</v>
      </c>
      <c r="G212">
        <f t="shared" si="3"/>
        <v>-0.94199003346141597</v>
      </c>
      <c r="H212">
        <v>0.14973134678937389</v>
      </c>
    </row>
    <row r="213" spans="1:8" x14ac:dyDescent="0.35">
      <c r="A213" t="s">
        <v>69</v>
      </c>
      <c r="B213" t="s">
        <v>64</v>
      </c>
      <c r="C213" t="s">
        <v>40</v>
      </c>
      <c r="D213">
        <v>2023</v>
      </c>
      <c r="E213">
        <v>1.9366811763456671</v>
      </c>
      <c r="F213">
        <v>2.4309784639696339</v>
      </c>
      <c r="G213">
        <f t="shared" si="3"/>
        <v>0.49429728762396685</v>
      </c>
      <c r="H213">
        <v>0.14973134678937389</v>
      </c>
    </row>
    <row r="214" spans="1:8" x14ac:dyDescent="0.35">
      <c r="A214" t="s">
        <v>69</v>
      </c>
      <c r="B214" t="s">
        <v>63</v>
      </c>
      <c r="C214" t="s">
        <v>38</v>
      </c>
      <c r="D214">
        <v>2024</v>
      </c>
      <c r="E214">
        <v>1.660542743130144</v>
      </c>
      <c r="F214">
        <v>3.3969031373447791</v>
      </c>
      <c r="G214">
        <f t="shared" si="3"/>
        <v>1.7363603942146351</v>
      </c>
      <c r="H214">
        <v>0.1495725835123897</v>
      </c>
    </row>
    <row r="215" spans="1:8" x14ac:dyDescent="0.35">
      <c r="A215" t="s">
        <v>69</v>
      </c>
      <c r="B215" t="s">
        <v>65</v>
      </c>
      <c r="C215" t="s">
        <v>38</v>
      </c>
      <c r="D215">
        <v>2024</v>
      </c>
      <c r="E215">
        <v>2.966936931003072</v>
      </c>
      <c r="F215">
        <v>3.3969031373447791</v>
      </c>
      <c r="G215">
        <f t="shared" si="3"/>
        <v>0.42996620634170712</v>
      </c>
      <c r="H215">
        <v>0.1495725835123897</v>
      </c>
    </row>
    <row r="216" spans="1:8" x14ac:dyDescent="0.35">
      <c r="A216" t="s">
        <v>69</v>
      </c>
      <c r="B216" t="s">
        <v>64</v>
      </c>
      <c r="C216" t="s">
        <v>40</v>
      </c>
      <c r="D216">
        <v>2024</v>
      </c>
      <c r="E216">
        <v>1.9648768473316871</v>
      </c>
      <c r="F216">
        <v>3.3969031373447791</v>
      </c>
      <c r="G216">
        <f t="shared" si="3"/>
        <v>1.432026290013092</v>
      </c>
      <c r="H216">
        <v>0.1495725835123897</v>
      </c>
    </row>
    <row r="217" spans="1:8" x14ac:dyDescent="0.35">
      <c r="A217" t="s">
        <v>69</v>
      </c>
      <c r="B217" t="s">
        <v>66</v>
      </c>
      <c r="C217" t="s">
        <v>40</v>
      </c>
      <c r="D217">
        <v>2024</v>
      </c>
      <c r="E217">
        <v>2.1447304612078222</v>
      </c>
      <c r="F217">
        <v>3.3969031373447791</v>
      </c>
      <c r="G217">
        <f t="shared" si="3"/>
        <v>1.2521726761369569</v>
      </c>
      <c r="H217">
        <v>0.1495725835123897</v>
      </c>
    </row>
    <row r="218" spans="1:8" x14ac:dyDescent="0.35">
      <c r="A218" t="s">
        <v>70</v>
      </c>
      <c r="B218" t="s">
        <v>37</v>
      </c>
      <c r="C218" t="s">
        <v>38</v>
      </c>
      <c r="D218">
        <v>2011</v>
      </c>
      <c r="E218">
        <v>3.0836871961199548</v>
      </c>
      <c r="F218">
        <v>2.3627089602501679</v>
      </c>
      <c r="G218">
        <f t="shared" si="3"/>
        <v>-0.72097823586978693</v>
      </c>
      <c r="H218">
        <v>9.7791519434628979E-2</v>
      </c>
    </row>
    <row r="219" spans="1:8" x14ac:dyDescent="0.35">
      <c r="A219" t="s">
        <v>70</v>
      </c>
      <c r="B219" t="s">
        <v>39</v>
      </c>
      <c r="C219" t="s">
        <v>40</v>
      </c>
      <c r="D219">
        <v>2011</v>
      </c>
      <c r="E219">
        <v>3.7117323527364081</v>
      </c>
      <c r="F219">
        <v>2.3627089602501679</v>
      </c>
      <c r="G219">
        <f t="shared" si="3"/>
        <v>-1.3490233924862403</v>
      </c>
      <c r="H219">
        <v>9.7791519434628979E-2</v>
      </c>
    </row>
    <row r="220" spans="1:8" x14ac:dyDescent="0.35">
      <c r="A220" t="s">
        <v>70</v>
      </c>
      <c r="B220" t="s">
        <v>37</v>
      </c>
      <c r="C220" t="s">
        <v>38</v>
      </c>
      <c r="D220">
        <v>2012</v>
      </c>
      <c r="E220">
        <v>1.3616175851251631</v>
      </c>
      <c r="F220">
        <v>-1.535091308900344</v>
      </c>
      <c r="G220">
        <f t="shared" si="3"/>
        <v>-2.8967088940255072</v>
      </c>
      <c r="H220">
        <v>9.6600881887067086E-2</v>
      </c>
    </row>
    <row r="221" spans="1:8" x14ac:dyDescent="0.35">
      <c r="A221" t="s">
        <v>70</v>
      </c>
      <c r="B221" t="s">
        <v>41</v>
      </c>
      <c r="C221" t="s">
        <v>38</v>
      </c>
      <c r="D221">
        <v>2012</v>
      </c>
      <c r="E221">
        <v>8.5468057722093427E-2</v>
      </c>
      <c r="F221">
        <v>-1.535091308900344</v>
      </c>
      <c r="G221">
        <f t="shared" si="3"/>
        <v>-1.6205593666224374</v>
      </c>
      <c r="H221">
        <v>9.6600881887067086E-2</v>
      </c>
    </row>
    <row r="222" spans="1:8" x14ac:dyDescent="0.35">
      <c r="A222" t="s">
        <v>70</v>
      </c>
      <c r="B222" t="s">
        <v>39</v>
      </c>
      <c r="C222" t="s">
        <v>40</v>
      </c>
      <c r="D222">
        <v>2012</v>
      </c>
      <c r="E222">
        <v>2.5703100446408111</v>
      </c>
      <c r="F222">
        <v>-1.535091308900344</v>
      </c>
      <c r="G222">
        <f t="shared" si="3"/>
        <v>-4.1054013535411551</v>
      </c>
      <c r="H222">
        <v>9.6600881887067086E-2</v>
      </c>
    </row>
    <row r="223" spans="1:8" x14ac:dyDescent="0.35">
      <c r="A223" t="s">
        <v>70</v>
      </c>
      <c r="B223" t="s">
        <v>42</v>
      </c>
      <c r="C223" t="s">
        <v>40</v>
      </c>
      <c r="D223">
        <v>2012</v>
      </c>
      <c r="E223">
        <v>0.75750436999100224</v>
      </c>
      <c r="F223">
        <v>-1.535091308900344</v>
      </c>
      <c r="G223">
        <f t="shared" si="3"/>
        <v>-2.2925956788913462</v>
      </c>
      <c r="H223">
        <v>9.6600881887067086E-2</v>
      </c>
    </row>
    <row r="224" spans="1:8" x14ac:dyDescent="0.35">
      <c r="A224" t="s">
        <v>70</v>
      </c>
      <c r="B224" t="s">
        <v>41</v>
      </c>
      <c r="C224" t="s">
        <v>38</v>
      </c>
      <c r="D224">
        <v>2013</v>
      </c>
      <c r="E224">
        <v>0.81963861469160904</v>
      </c>
      <c r="F224">
        <v>-0.98304238782565612</v>
      </c>
      <c r="G224">
        <f t="shared" si="3"/>
        <v>-1.8026810025172653</v>
      </c>
      <c r="H224">
        <v>0.10214769826599771</v>
      </c>
    </row>
    <row r="225" spans="1:8" x14ac:dyDescent="0.35">
      <c r="A225" t="s">
        <v>70</v>
      </c>
      <c r="B225" t="s">
        <v>43</v>
      </c>
      <c r="C225" t="s">
        <v>38</v>
      </c>
      <c r="D225">
        <v>2013</v>
      </c>
      <c r="E225">
        <v>-0.64479636656290529</v>
      </c>
      <c r="F225">
        <v>-0.98304238782565612</v>
      </c>
      <c r="G225">
        <f t="shared" si="3"/>
        <v>-0.33824602126275083</v>
      </c>
      <c r="H225">
        <v>0.10214769826599771</v>
      </c>
    </row>
    <row r="226" spans="1:8" x14ac:dyDescent="0.35">
      <c r="A226" t="s">
        <v>70</v>
      </c>
      <c r="B226" t="s">
        <v>42</v>
      </c>
      <c r="C226" t="s">
        <v>40</v>
      </c>
      <c r="D226">
        <v>2013</v>
      </c>
      <c r="E226">
        <v>1.5995384631571461</v>
      </c>
      <c r="F226">
        <v>-0.98304238782565612</v>
      </c>
      <c r="G226">
        <f t="shared" si="3"/>
        <v>-2.5825808509828021</v>
      </c>
      <c r="H226">
        <v>0.10214769826599771</v>
      </c>
    </row>
    <row r="227" spans="1:8" x14ac:dyDescent="0.35">
      <c r="A227" t="s">
        <v>70</v>
      </c>
      <c r="B227" t="s">
        <v>44</v>
      </c>
      <c r="C227" t="s">
        <v>40</v>
      </c>
      <c r="D227">
        <v>2013</v>
      </c>
      <c r="E227">
        <v>0.28709236983106567</v>
      </c>
      <c r="F227">
        <v>-0.98304238782565612</v>
      </c>
      <c r="G227">
        <f t="shared" si="3"/>
        <v>-1.2701347576567219</v>
      </c>
      <c r="H227">
        <v>0.10214769826599771</v>
      </c>
    </row>
    <row r="228" spans="1:8" x14ac:dyDescent="0.35">
      <c r="A228" t="s">
        <v>70</v>
      </c>
      <c r="B228" t="s">
        <v>43</v>
      </c>
      <c r="C228" t="s">
        <v>38</v>
      </c>
      <c r="D228">
        <v>2014</v>
      </c>
      <c r="E228">
        <v>0.58013506796126268</v>
      </c>
      <c r="F228">
        <v>-0.47970961562021558</v>
      </c>
      <c r="G228">
        <f t="shared" si="3"/>
        <v>-1.0598446835814783</v>
      </c>
      <c r="H228">
        <v>0.11499832233530929</v>
      </c>
    </row>
    <row r="229" spans="1:8" x14ac:dyDescent="0.35">
      <c r="A229" t="s">
        <v>70</v>
      </c>
      <c r="B229" t="s">
        <v>45</v>
      </c>
      <c r="C229" t="s">
        <v>38</v>
      </c>
      <c r="D229">
        <v>2014</v>
      </c>
      <c r="E229">
        <v>-0.44253897907734491</v>
      </c>
      <c r="F229">
        <v>-0.47970961562021558</v>
      </c>
      <c r="G229">
        <f t="shared" si="3"/>
        <v>-3.7170636542870672E-2</v>
      </c>
      <c r="H229">
        <v>0.11499832233530929</v>
      </c>
    </row>
    <row r="230" spans="1:8" x14ac:dyDescent="0.35">
      <c r="A230" t="s">
        <v>70</v>
      </c>
      <c r="B230" t="s">
        <v>44</v>
      </c>
      <c r="C230" t="s">
        <v>40</v>
      </c>
      <c r="D230">
        <v>2014</v>
      </c>
      <c r="E230">
        <v>1.00425732590641</v>
      </c>
      <c r="F230">
        <v>-0.47970961562021558</v>
      </c>
      <c r="G230">
        <f t="shared" si="3"/>
        <v>-1.4839669415266257</v>
      </c>
      <c r="H230">
        <v>0.11499832233530929</v>
      </c>
    </row>
    <row r="231" spans="1:8" x14ac:dyDescent="0.35">
      <c r="A231" t="s">
        <v>70</v>
      </c>
      <c r="B231" t="s">
        <v>46</v>
      </c>
      <c r="C231" t="s">
        <v>40</v>
      </c>
      <c r="D231">
        <v>2014</v>
      </c>
      <c r="E231">
        <v>0.1752479290949793</v>
      </c>
      <c r="F231">
        <v>-0.47970961562021558</v>
      </c>
      <c r="G231">
        <f t="shared" si="3"/>
        <v>-0.65495754471519485</v>
      </c>
      <c r="H231">
        <v>0.11499832233530929</v>
      </c>
    </row>
    <row r="232" spans="1:8" x14ac:dyDescent="0.35">
      <c r="A232" t="s">
        <v>70</v>
      </c>
      <c r="B232" t="s">
        <v>45</v>
      </c>
      <c r="C232" t="s">
        <v>38</v>
      </c>
      <c r="D232">
        <v>2015</v>
      </c>
      <c r="E232">
        <v>0.6115453306968277</v>
      </c>
      <c r="F232">
        <v>0.46533578746174248</v>
      </c>
      <c r="G232">
        <f t="shared" si="3"/>
        <v>-0.14620954323508523</v>
      </c>
      <c r="H232">
        <v>0.1143193478888568</v>
      </c>
    </row>
    <row r="233" spans="1:8" x14ac:dyDescent="0.35">
      <c r="A233" t="s">
        <v>70</v>
      </c>
      <c r="B233" t="s">
        <v>47</v>
      </c>
      <c r="C233" t="s">
        <v>38</v>
      </c>
      <c r="D233">
        <v>2015</v>
      </c>
      <c r="E233">
        <v>0.33999838965084178</v>
      </c>
      <c r="F233">
        <v>0.46533578746174248</v>
      </c>
      <c r="G233">
        <f t="shared" si="3"/>
        <v>0.1253373978109007</v>
      </c>
      <c r="H233">
        <v>0.1143193478888568</v>
      </c>
    </row>
    <row r="234" spans="1:8" x14ac:dyDescent="0.35">
      <c r="A234" t="s">
        <v>70</v>
      </c>
      <c r="B234" t="s">
        <v>46</v>
      </c>
      <c r="C234" t="s">
        <v>40</v>
      </c>
      <c r="D234">
        <v>2015</v>
      </c>
      <c r="E234">
        <v>1.03813878882193</v>
      </c>
      <c r="F234">
        <v>0.46533578746174248</v>
      </c>
      <c r="G234">
        <f t="shared" si="3"/>
        <v>-0.57280300136018747</v>
      </c>
      <c r="H234">
        <v>0.1143193478888568</v>
      </c>
    </row>
    <row r="235" spans="1:8" x14ac:dyDescent="0.35">
      <c r="A235" t="s">
        <v>70</v>
      </c>
      <c r="B235" t="s">
        <v>48</v>
      </c>
      <c r="C235" t="s">
        <v>40</v>
      </c>
      <c r="D235">
        <v>2015</v>
      </c>
      <c r="E235">
        <v>0.34221817011690359</v>
      </c>
      <c r="F235">
        <v>0.46533578746174248</v>
      </c>
      <c r="G235">
        <f t="shared" si="3"/>
        <v>0.12311761734483889</v>
      </c>
      <c r="H235">
        <v>0.1143193478888568</v>
      </c>
    </row>
    <row r="236" spans="1:8" x14ac:dyDescent="0.35">
      <c r="A236" t="s">
        <v>70</v>
      </c>
      <c r="B236" t="s">
        <v>47</v>
      </c>
      <c r="C236" t="s">
        <v>38</v>
      </c>
      <c r="D236">
        <v>2016</v>
      </c>
      <c r="E236">
        <v>0.66078776686688823</v>
      </c>
      <c r="F236">
        <v>2.5394630680659041</v>
      </c>
      <c r="G236">
        <f t="shared" si="3"/>
        <v>1.8786753011990158</v>
      </c>
      <c r="H236">
        <v>0.1042068854568855</v>
      </c>
    </row>
    <row r="237" spans="1:8" x14ac:dyDescent="0.35">
      <c r="A237" t="s">
        <v>70</v>
      </c>
      <c r="B237" t="s">
        <v>49</v>
      </c>
      <c r="C237" t="s">
        <v>38</v>
      </c>
      <c r="D237">
        <v>2016</v>
      </c>
      <c r="E237">
        <v>0.8211412144474739</v>
      </c>
      <c r="F237">
        <v>2.5394630680659041</v>
      </c>
      <c r="G237">
        <f t="shared" si="3"/>
        <v>1.7183218536184302</v>
      </c>
      <c r="H237">
        <v>0.1042068854568855</v>
      </c>
    </row>
    <row r="238" spans="1:8" x14ac:dyDescent="0.35">
      <c r="A238" t="s">
        <v>70</v>
      </c>
      <c r="B238" t="s">
        <v>48</v>
      </c>
      <c r="C238" t="s">
        <v>40</v>
      </c>
      <c r="D238">
        <v>2016</v>
      </c>
      <c r="E238">
        <v>1.029139259030432</v>
      </c>
      <c r="F238">
        <v>2.5394630680659041</v>
      </c>
      <c r="G238">
        <f t="shared" si="3"/>
        <v>1.510323809035472</v>
      </c>
      <c r="H238">
        <v>0.1042068854568855</v>
      </c>
    </row>
    <row r="239" spans="1:8" x14ac:dyDescent="0.35">
      <c r="A239" t="s">
        <v>70</v>
      </c>
      <c r="B239" t="s">
        <v>50</v>
      </c>
      <c r="C239" t="s">
        <v>40</v>
      </c>
      <c r="D239">
        <v>2016</v>
      </c>
      <c r="E239">
        <v>0.68041183214515577</v>
      </c>
      <c r="F239">
        <v>2.5394630680659041</v>
      </c>
      <c r="G239">
        <f t="shared" si="3"/>
        <v>1.8590512359207483</v>
      </c>
      <c r="H239">
        <v>0.1042068854568855</v>
      </c>
    </row>
    <row r="240" spans="1:8" x14ac:dyDescent="0.35">
      <c r="A240" t="s">
        <v>70</v>
      </c>
      <c r="B240" t="s">
        <v>49</v>
      </c>
      <c r="C240" t="s">
        <v>38</v>
      </c>
      <c r="D240">
        <v>2017</v>
      </c>
      <c r="E240">
        <v>0.7788253796826794</v>
      </c>
      <c r="F240">
        <v>3.2509193804219478</v>
      </c>
      <c r="G240">
        <f t="shared" si="3"/>
        <v>2.4720940007392684</v>
      </c>
      <c r="H240">
        <v>0.1061975164847551</v>
      </c>
    </row>
    <row r="241" spans="1:8" x14ac:dyDescent="0.35">
      <c r="A241" t="s">
        <v>70</v>
      </c>
      <c r="B241" t="s">
        <v>51</v>
      </c>
      <c r="C241" t="s">
        <v>38</v>
      </c>
      <c r="D241">
        <v>2017</v>
      </c>
      <c r="E241">
        <v>3.2999705467780189</v>
      </c>
      <c r="F241">
        <v>3.2509193804219478</v>
      </c>
      <c r="G241">
        <f t="shared" si="3"/>
        <v>-4.9051166356071096E-2</v>
      </c>
      <c r="H241">
        <v>0.1061975164847551</v>
      </c>
    </row>
    <row r="242" spans="1:8" x14ac:dyDescent="0.35">
      <c r="A242" t="s">
        <v>70</v>
      </c>
      <c r="B242" t="s">
        <v>50</v>
      </c>
      <c r="C242" t="s">
        <v>40</v>
      </c>
      <c r="D242">
        <v>2017</v>
      </c>
      <c r="E242">
        <v>0.72652337554917068</v>
      </c>
      <c r="F242">
        <v>3.2509193804219478</v>
      </c>
      <c r="G242">
        <f t="shared" si="3"/>
        <v>2.5243960048727772</v>
      </c>
      <c r="H242">
        <v>0.1061975164847551</v>
      </c>
    </row>
    <row r="243" spans="1:8" x14ac:dyDescent="0.35">
      <c r="A243" t="s">
        <v>70</v>
      </c>
      <c r="B243" t="s">
        <v>52</v>
      </c>
      <c r="C243" t="s">
        <v>40</v>
      </c>
      <c r="D243">
        <v>2017</v>
      </c>
      <c r="E243">
        <v>1.2981877046543739</v>
      </c>
      <c r="F243">
        <v>3.2509193804219478</v>
      </c>
      <c r="G243">
        <f t="shared" si="3"/>
        <v>1.9527316757675739</v>
      </c>
      <c r="H243">
        <v>0.1061975164847551</v>
      </c>
    </row>
    <row r="244" spans="1:8" x14ac:dyDescent="0.35">
      <c r="A244" t="s">
        <v>70</v>
      </c>
      <c r="B244" t="s">
        <v>51</v>
      </c>
      <c r="C244" t="s">
        <v>38</v>
      </c>
      <c r="D244">
        <v>2018</v>
      </c>
      <c r="E244">
        <v>2.6543445907794232</v>
      </c>
      <c r="F244">
        <v>1.1858569030435471</v>
      </c>
      <c r="G244">
        <f t="shared" si="3"/>
        <v>-1.4684876877358761</v>
      </c>
      <c r="H244">
        <v>0.1099188189293918</v>
      </c>
    </row>
    <row r="245" spans="1:8" x14ac:dyDescent="0.35">
      <c r="A245" t="s">
        <v>70</v>
      </c>
      <c r="B245" t="s">
        <v>53</v>
      </c>
      <c r="C245" t="s">
        <v>38</v>
      </c>
      <c r="D245">
        <v>2018</v>
      </c>
      <c r="E245">
        <v>2.8893530093298199</v>
      </c>
      <c r="F245">
        <v>1.1858569030435471</v>
      </c>
      <c r="G245">
        <f t="shared" si="3"/>
        <v>-1.7034961062862728</v>
      </c>
      <c r="H245">
        <v>0.1099188189293918</v>
      </c>
    </row>
    <row r="246" spans="1:8" x14ac:dyDescent="0.35">
      <c r="A246" t="s">
        <v>70</v>
      </c>
      <c r="B246" t="s">
        <v>52</v>
      </c>
      <c r="C246" t="s">
        <v>40</v>
      </c>
      <c r="D246">
        <v>2018</v>
      </c>
      <c r="E246">
        <v>1.745345139008192</v>
      </c>
      <c r="F246">
        <v>1.1858569030435471</v>
      </c>
      <c r="G246">
        <f t="shared" si="3"/>
        <v>-0.55948823596464492</v>
      </c>
      <c r="H246">
        <v>0.1099188189293918</v>
      </c>
    </row>
    <row r="247" spans="1:8" x14ac:dyDescent="0.35">
      <c r="A247" t="s">
        <v>70</v>
      </c>
      <c r="B247" t="s">
        <v>54</v>
      </c>
      <c r="C247" t="s">
        <v>40</v>
      </c>
      <c r="D247">
        <v>2018</v>
      </c>
      <c r="E247">
        <v>2.519865182310288</v>
      </c>
      <c r="F247">
        <v>1.1858569030435471</v>
      </c>
      <c r="G247">
        <f t="shared" si="3"/>
        <v>-1.3340082792667409</v>
      </c>
      <c r="H247">
        <v>0.1099188189293918</v>
      </c>
    </row>
    <row r="248" spans="1:8" x14ac:dyDescent="0.35">
      <c r="A248" t="s">
        <v>70</v>
      </c>
      <c r="B248" t="s">
        <v>53</v>
      </c>
      <c r="C248" t="s">
        <v>38</v>
      </c>
      <c r="D248">
        <v>2019</v>
      </c>
      <c r="E248">
        <v>2.1742555460234851</v>
      </c>
      <c r="F248">
        <v>1.3406806953806429</v>
      </c>
      <c r="G248">
        <f t="shared" si="3"/>
        <v>-0.8335748506428422</v>
      </c>
      <c r="H248">
        <v>0.105634528224145</v>
      </c>
    </row>
    <row r="249" spans="1:8" x14ac:dyDescent="0.35">
      <c r="A249" t="s">
        <v>70</v>
      </c>
      <c r="B249" t="s">
        <v>55</v>
      </c>
      <c r="C249" t="s">
        <v>38</v>
      </c>
      <c r="D249">
        <v>2019</v>
      </c>
      <c r="E249">
        <v>1.354791564440649</v>
      </c>
      <c r="F249">
        <v>1.3406806953806429</v>
      </c>
      <c r="G249">
        <f t="shared" si="3"/>
        <v>-1.4110869060006026E-2</v>
      </c>
      <c r="H249">
        <v>0.105634528224145</v>
      </c>
    </row>
    <row r="250" spans="1:8" x14ac:dyDescent="0.35">
      <c r="A250" t="s">
        <v>70</v>
      </c>
      <c r="B250" t="s">
        <v>54</v>
      </c>
      <c r="C250" t="s">
        <v>40</v>
      </c>
      <c r="D250">
        <v>2019</v>
      </c>
      <c r="E250">
        <v>2.2702366672909808</v>
      </c>
      <c r="F250">
        <v>1.3406806953806429</v>
      </c>
      <c r="G250">
        <f t="shared" si="3"/>
        <v>-0.9295559719103379</v>
      </c>
      <c r="H250">
        <v>0.105634528224145</v>
      </c>
    </row>
    <row r="251" spans="1:8" x14ac:dyDescent="0.35">
      <c r="A251" t="s">
        <v>70</v>
      </c>
      <c r="B251" t="s">
        <v>56</v>
      </c>
      <c r="C251" t="s">
        <v>40</v>
      </c>
      <c r="D251">
        <v>2019</v>
      </c>
      <c r="E251">
        <v>1.638521358484613</v>
      </c>
      <c r="F251">
        <v>1.3406806953806429</v>
      </c>
      <c r="G251">
        <f t="shared" si="3"/>
        <v>-0.29784066310397006</v>
      </c>
      <c r="H251">
        <v>0.105634528224145</v>
      </c>
    </row>
    <row r="252" spans="1:8" x14ac:dyDescent="0.35">
      <c r="A252" t="s">
        <v>70</v>
      </c>
      <c r="B252" t="s">
        <v>55</v>
      </c>
      <c r="C252" t="s">
        <v>38</v>
      </c>
      <c r="D252">
        <v>2020</v>
      </c>
      <c r="E252">
        <v>1.1013866566023991</v>
      </c>
      <c r="F252">
        <v>-2.5216639551613449</v>
      </c>
      <c r="G252">
        <f t="shared" si="3"/>
        <v>-3.6230506117637438</v>
      </c>
      <c r="H252">
        <v>0.1073708050236772</v>
      </c>
    </row>
    <row r="253" spans="1:8" x14ac:dyDescent="0.35">
      <c r="A253" t="s">
        <v>70</v>
      </c>
      <c r="B253" t="s">
        <v>57</v>
      </c>
      <c r="C253" t="s">
        <v>38</v>
      </c>
      <c r="D253">
        <v>2020</v>
      </c>
      <c r="E253">
        <v>-4.2712767573150012</v>
      </c>
      <c r="F253">
        <v>-2.5216639551613449</v>
      </c>
      <c r="G253">
        <f t="shared" si="3"/>
        <v>1.7496128021536563</v>
      </c>
      <c r="H253">
        <v>0.1073708050236772</v>
      </c>
    </row>
    <row r="254" spans="1:8" x14ac:dyDescent="0.35">
      <c r="A254" t="s">
        <v>70</v>
      </c>
      <c r="B254" t="s">
        <v>56</v>
      </c>
      <c r="C254" t="s">
        <v>40</v>
      </c>
      <c r="D254">
        <v>2020</v>
      </c>
      <c r="E254">
        <v>1.1658655715774511</v>
      </c>
      <c r="F254">
        <v>-2.5216639551613449</v>
      </c>
      <c r="G254">
        <f t="shared" si="3"/>
        <v>-3.6875295267387962</v>
      </c>
      <c r="H254">
        <v>0.1073708050236772</v>
      </c>
    </row>
    <row r="255" spans="1:8" x14ac:dyDescent="0.35">
      <c r="A255" t="s">
        <v>70</v>
      </c>
      <c r="B255" t="s">
        <v>58</v>
      </c>
      <c r="C255" t="s">
        <v>40</v>
      </c>
      <c r="D255">
        <v>2020</v>
      </c>
      <c r="E255">
        <v>-6.3340086382144829</v>
      </c>
      <c r="F255">
        <v>-2.5216639551613449</v>
      </c>
      <c r="G255">
        <f t="shared" si="3"/>
        <v>3.812344683053138</v>
      </c>
      <c r="H255">
        <v>0.1073708050236772</v>
      </c>
    </row>
    <row r="256" spans="1:8" x14ac:dyDescent="0.35">
      <c r="A256" t="s">
        <v>70</v>
      </c>
      <c r="B256" t="s">
        <v>57</v>
      </c>
      <c r="C256" t="s">
        <v>38</v>
      </c>
      <c r="D256">
        <v>2021</v>
      </c>
      <c r="E256">
        <v>2.900169440971712</v>
      </c>
      <c r="F256">
        <v>2.6415720090220192</v>
      </c>
      <c r="G256">
        <f t="shared" si="3"/>
        <v>-0.25859743194969287</v>
      </c>
      <c r="H256">
        <v>0.1058271604938272</v>
      </c>
    </row>
    <row r="257" spans="1:8" x14ac:dyDescent="0.35">
      <c r="A257" t="s">
        <v>70</v>
      </c>
      <c r="B257" t="s">
        <v>59</v>
      </c>
      <c r="C257" t="s">
        <v>38</v>
      </c>
      <c r="D257">
        <v>2021</v>
      </c>
      <c r="E257">
        <v>3.4041276267937399</v>
      </c>
      <c r="F257">
        <v>2.6415720090220192</v>
      </c>
      <c r="G257">
        <f t="shared" si="3"/>
        <v>-0.76255561777172076</v>
      </c>
      <c r="H257">
        <v>0.1058271604938272</v>
      </c>
    </row>
    <row r="258" spans="1:8" x14ac:dyDescent="0.35">
      <c r="A258" t="s">
        <v>70</v>
      </c>
      <c r="B258" t="s">
        <v>58</v>
      </c>
      <c r="C258" t="s">
        <v>40</v>
      </c>
      <c r="D258">
        <v>2021</v>
      </c>
      <c r="E258">
        <v>3.6735608188213531</v>
      </c>
      <c r="F258">
        <v>2.6415720090220192</v>
      </c>
      <c r="G258">
        <f t="shared" ref="G258:G321" si="4">IF(OR(F258="",E258=""),"",F258-E258)</f>
        <v>-1.0319888097993339</v>
      </c>
      <c r="H258">
        <v>0.1058271604938272</v>
      </c>
    </row>
    <row r="259" spans="1:8" x14ac:dyDescent="0.35">
      <c r="A259" t="s">
        <v>70</v>
      </c>
      <c r="B259" t="s">
        <v>60</v>
      </c>
      <c r="C259" t="s">
        <v>40</v>
      </c>
      <c r="D259">
        <v>2021</v>
      </c>
      <c r="E259">
        <v>2.739564988065335</v>
      </c>
      <c r="F259">
        <v>2.6415720090220192</v>
      </c>
      <c r="G259">
        <f t="shared" si="4"/>
        <v>-9.7992979043315831E-2</v>
      </c>
      <c r="H259">
        <v>0.1058271604938272</v>
      </c>
    </row>
    <row r="260" spans="1:8" x14ac:dyDescent="0.35">
      <c r="A260" t="s">
        <v>70</v>
      </c>
      <c r="B260" t="s">
        <v>59</v>
      </c>
      <c r="C260" t="s">
        <v>38</v>
      </c>
      <c r="D260">
        <v>2022</v>
      </c>
      <c r="E260">
        <v>2.8272245866406638</v>
      </c>
      <c r="F260">
        <v>0.76006291556467176</v>
      </c>
      <c r="G260">
        <f t="shared" si="4"/>
        <v>-2.0671616710759921</v>
      </c>
      <c r="H260">
        <v>9.9421084704448506E-2</v>
      </c>
    </row>
    <row r="261" spans="1:8" x14ac:dyDescent="0.35">
      <c r="A261" t="s">
        <v>70</v>
      </c>
      <c r="B261" t="s">
        <v>61</v>
      </c>
      <c r="C261" t="s">
        <v>38</v>
      </c>
      <c r="D261">
        <v>2022</v>
      </c>
      <c r="E261">
        <v>2.327853537647107</v>
      </c>
      <c r="F261">
        <v>0.76006291556467176</v>
      </c>
      <c r="G261">
        <f t="shared" si="4"/>
        <v>-1.5677906220824354</v>
      </c>
      <c r="H261">
        <v>9.9421084704448506E-2</v>
      </c>
    </row>
    <row r="262" spans="1:8" x14ac:dyDescent="0.35">
      <c r="A262" t="s">
        <v>70</v>
      </c>
      <c r="B262" t="s">
        <v>60</v>
      </c>
      <c r="C262" t="s">
        <v>40</v>
      </c>
      <c r="D262">
        <v>2022</v>
      </c>
      <c r="E262">
        <v>2.7517012411305108</v>
      </c>
      <c r="F262">
        <v>0.76006291556467176</v>
      </c>
      <c r="G262">
        <f t="shared" si="4"/>
        <v>-1.9916383255658392</v>
      </c>
      <c r="H262">
        <v>9.9421084704448506E-2</v>
      </c>
    </row>
    <row r="263" spans="1:8" x14ac:dyDescent="0.35">
      <c r="A263" t="s">
        <v>70</v>
      </c>
      <c r="B263" t="s">
        <v>62</v>
      </c>
      <c r="C263" t="s">
        <v>40</v>
      </c>
      <c r="D263">
        <v>2022</v>
      </c>
      <c r="E263">
        <v>1.603112304026943</v>
      </c>
      <c r="F263">
        <v>0.76006291556467176</v>
      </c>
      <c r="G263">
        <f t="shared" si="4"/>
        <v>-0.84304938846227129</v>
      </c>
      <c r="H263">
        <v>9.9421084704448506E-2</v>
      </c>
    </row>
    <row r="264" spans="1:8" x14ac:dyDescent="0.35">
      <c r="A264" t="s">
        <v>70</v>
      </c>
      <c r="B264" t="s">
        <v>61</v>
      </c>
      <c r="C264" t="s">
        <v>38</v>
      </c>
      <c r="D264">
        <v>2023</v>
      </c>
      <c r="E264">
        <v>0.23998786112824361</v>
      </c>
      <c r="F264">
        <v>-1.2980054053073831</v>
      </c>
      <c r="G264">
        <f t="shared" si="4"/>
        <v>-1.5379932664356266</v>
      </c>
      <c r="H264">
        <v>0.1132453544983484</v>
      </c>
    </row>
    <row r="265" spans="1:8" x14ac:dyDescent="0.35">
      <c r="A265" t="s">
        <v>70</v>
      </c>
      <c r="B265" t="s">
        <v>63</v>
      </c>
      <c r="C265" t="s">
        <v>38</v>
      </c>
      <c r="D265">
        <v>2023</v>
      </c>
      <c r="E265">
        <v>0.13705974715647609</v>
      </c>
      <c r="F265">
        <v>-1.2980054053073831</v>
      </c>
      <c r="G265">
        <f t="shared" si="4"/>
        <v>-1.4350651524638591</v>
      </c>
      <c r="H265">
        <v>0.1132453544983484</v>
      </c>
    </row>
    <row r="266" spans="1:8" x14ac:dyDescent="0.35">
      <c r="A266" t="s">
        <v>70</v>
      </c>
      <c r="B266" t="s">
        <v>62</v>
      </c>
      <c r="C266" t="s">
        <v>40</v>
      </c>
      <c r="D266">
        <v>2023</v>
      </c>
      <c r="E266">
        <v>1.664320363648697</v>
      </c>
      <c r="F266">
        <v>-1.2980054053073831</v>
      </c>
      <c r="G266">
        <f t="shared" si="4"/>
        <v>-2.96232576895608</v>
      </c>
      <c r="H266">
        <v>0.1132453544983484</v>
      </c>
    </row>
    <row r="267" spans="1:8" x14ac:dyDescent="0.35">
      <c r="A267" t="s">
        <v>70</v>
      </c>
      <c r="B267" t="s">
        <v>64</v>
      </c>
      <c r="C267" t="s">
        <v>40</v>
      </c>
      <c r="D267">
        <v>2023</v>
      </c>
      <c r="E267">
        <v>0.1978909161836295</v>
      </c>
      <c r="F267">
        <v>-1.2980054053073831</v>
      </c>
      <c r="G267">
        <f t="shared" si="4"/>
        <v>-1.4958963214910126</v>
      </c>
      <c r="H267">
        <v>0.1132453544983484</v>
      </c>
    </row>
    <row r="268" spans="1:8" x14ac:dyDescent="0.35">
      <c r="A268" t="s">
        <v>70</v>
      </c>
      <c r="B268" t="s">
        <v>63</v>
      </c>
      <c r="C268" t="s">
        <v>38</v>
      </c>
      <c r="D268">
        <v>2024</v>
      </c>
      <c r="E268">
        <v>0.82599219561030335</v>
      </c>
      <c r="F268">
        <v>0.8814466149882676</v>
      </c>
      <c r="G268">
        <f t="shared" si="4"/>
        <v>5.5454419377964248E-2</v>
      </c>
      <c r="H268">
        <v>0.14071954748750329</v>
      </c>
    </row>
    <row r="269" spans="1:8" x14ac:dyDescent="0.35">
      <c r="A269" t="s">
        <v>70</v>
      </c>
      <c r="B269" t="s">
        <v>65</v>
      </c>
      <c r="C269" t="s">
        <v>38</v>
      </c>
      <c r="D269">
        <v>2024</v>
      </c>
      <c r="E269">
        <v>-0.27816035844419051</v>
      </c>
      <c r="F269">
        <v>0.8814466149882676</v>
      </c>
      <c r="G269">
        <f t="shared" si="4"/>
        <v>1.1596069734324581</v>
      </c>
      <c r="H269">
        <v>0.14071954748750329</v>
      </c>
    </row>
    <row r="270" spans="1:8" x14ac:dyDescent="0.35">
      <c r="A270" t="s">
        <v>70</v>
      </c>
      <c r="B270" t="s">
        <v>64</v>
      </c>
      <c r="C270" t="s">
        <v>40</v>
      </c>
      <c r="D270">
        <v>2024</v>
      </c>
      <c r="E270">
        <v>1.375433393552461</v>
      </c>
      <c r="F270">
        <v>0.8814466149882676</v>
      </c>
      <c r="G270">
        <f t="shared" si="4"/>
        <v>-0.49398677856419337</v>
      </c>
      <c r="H270">
        <v>0.14071954748750329</v>
      </c>
    </row>
    <row r="271" spans="1:8" x14ac:dyDescent="0.35">
      <c r="A271" t="s">
        <v>70</v>
      </c>
      <c r="B271" t="s">
        <v>66</v>
      </c>
      <c r="C271" t="s">
        <v>40</v>
      </c>
      <c r="D271">
        <v>2024</v>
      </c>
      <c r="E271">
        <v>3.9573385924840387E-2</v>
      </c>
      <c r="F271">
        <v>0.8814466149882676</v>
      </c>
      <c r="G271">
        <f t="shared" si="4"/>
        <v>0.84187322906342721</v>
      </c>
      <c r="H271">
        <v>0.14071954748750329</v>
      </c>
    </row>
    <row r="272" spans="1:8" x14ac:dyDescent="0.35">
      <c r="A272" t="s">
        <v>70</v>
      </c>
      <c r="B272" t="s">
        <v>65</v>
      </c>
      <c r="C272" t="s">
        <v>38</v>
      </c>
      <c r="D272">
        <v>2025</v>
      </c>
      <c r="E272">
        <v>1.544507858030109</v>
      </c>
      <c r="F272">
        <v>0.79990149121373022</v>
      </c>
      <c r="G272">
        <f t="shared" si="4"/>
        <v>-0.74460636681637882</v>
      </c>
      <c r="H272">
        <v>0.14533763099499511</v>
      </c>
    </row>
    <row r="273" spans="1:8" x14ac:dyDescent="0.35">
      <c r="A273" t="s">
        <v>70</v>
      </c>
      <c r="B273" t="s">
        <v>71</v>
      </c>
      <c r="C273" t="s">
        <v>38</v>
      </c>
      <c r="D273">
        <v>2025</v>
      </c>
      <c r="E273">
        <v>7.5720238361931536E-2</v>
      </c>
      <c r="F273">
        <v>0.79990149121373022</v>
      </c>
      <c r="G273">
        <f t="shared" si="4"/>
        <v>0.72418125285179868</v>
      </c>
      <c r="H273">
        <v>0.14533763099499511</v>
      </c>
    </row>
    <row r="274" spans="1:8" x14ac:dyDescent="0.35">
      <c r="A274" t="s">
        <v>70</v>
      </c>
      <c r="B274" t="s">
        <v>66</v>
      </c>
      <c r="C274" t="s">
        <v>40</v>
      </c>
      <c r="D274">
        <v>2025</v>
      </c>
      <c r="E274">
        <v>1.3606562692519699</v>
      </c>
      <c r="F274">
        <v>0.79990149121373022</v>
      </c>
      <c r="G274">
        <f t="shared" si="4"/>
        <v>-0.5607547780382397</v>
      </c>
      <c r="H274">
        <v>0.14533763099499511</v>
      </c>
    </row>
    <row r="275" spans="1:8" x14ac:dyDescent="0.35">
      <c r="A275" t="s">
        <v>70</v>
      </c>
      <c r="B275" t="s">
        <v>72</v>
      </c>
      <c r="C275" t="s">
        <v>40</v>
      </c>
      <c r="D275">
        <v>2025</v>
      </c>
      <c r="E275">
        <v>0.97596362509042578</v>
      </c>
      <c r="F275">
        <v>0.79990149121373022</v>
      </c>
      <c r="G275">
        <f t="shared" si="4"/>
        <v>-0.17606213387669556</v>
      </c>
      <c r="H275">
        <v>0.14533763099499511</v>
      </c>
    </row>
    <row r="276" spans="1:8" x14ac:dyDescent="0.35">
      <c r="A276" t="s">
        <v>73</v>
      </c>
      <c r="B276" t="s">
        <v>37</v>
      </c>
      <c r="C276" t="s">
        <v>38</v>
      </c>
      <c r="D276">
        <v>2011</v>
      </c>
      <c r="E276">
        <v>1.6159410538217229</v>
      </c>
      <c r="F276">
        <v>2.4520659404670382</v>
      </c>
      <c r="G276">
        <f t="shared" si="4"/>
        <v>0.83612488664531526</v>
      </c>
      <c r="H276">
        <v>0.1193789261003138</v>
      </c>
    </row>
    <row r="277" spans="1:8" x14ac:dyDescent="0.35">
      <c r="A277" t="s">
        <v>73</v>
      </c>
      <c r="B277" t="s">
        <v>39</v>
      </c>
      <c r="C277" t="s">
        <v>40</v>
      </c>
      <c r="D277">
        <v>2011</v>
      </c>
      <c r="E277">
        <v>1.7720935903862369</v>
      </c>
      <c r="F277">
        <v>2.4520659404670382</v>
      </c>
      <c r="G277">
        <f t="shared" si="4"/>
        <v>0.67997235008080126</v>
      </c>
      <c r="H277">
        <v>0.1193789261003138</v>
      </c>
    </row>
    <row r="278" spans="1:8" x14ac:dyDescent="0.35">
      <c r="A278" t="s">
        <v>73</v>
      </c>
      <c r="B278" t="s">
        <v>37</v>
      </c>
      <c r="C278" t="s">
        <v>38</v>
      </c>
      <c r="D278">
        <v>2012</v>
      </c>
      <c r="E278">
        <v>0.55167308327404019</v>
      </c>
      <c r="F278">
        <v>0.226946609537066</v>
      </c>
      <c r="G278">
        <f t="shared" si="4"/>
        <v>-0.32472647373697416</v>
      </c>
      <c r="H278">
        <v>0.12509834427816521</v>
      </c>
    </row>
    <row r="279" spans="1:8" x14ac:dyDescent="0.35">
      <c r="A279" t="s">
        <v>73</v>
      </c>
      <c r="B279" t="s">
        <v>41</v>
      </c>
      <c r="C279" t="s">
        <v>38</v>
      </c>
      <c r="D279">
        <v>2012</v>
      </c>
      <c r="E279">
        <v>0.191602674222735</v>
      </c>
      <c r="F279">
        <v>0.226946609537066</v>
      </c>
      <c r="G279">
        <f t="shared" si="4"/>
        <v>3.5343935314330999E-2</v>
      </c>
      <c r="H279">
        <v>0.12509834427816521</v>
      </c>
    </row>
    <row r="280" spans="1:8" x14ac:dyDescent="0.35">
      <c r="A280" t="s">
        <v>73</v>
      </c>
      <c r="B280" t="s">
        <v>39</v>
      </c>
      <c r="C280" t="s">
        <v>40</v>
      </c>
      <c r="D280">
        <v>2012</v>
      </c>
      <c r="E280">
        <v>2.040883011076966</v>
      </c>
      <c r="F280">
        <v>0.226946609537066</v>
      </c>
      <c r="G280">
        <f t="shared" si="4"/>
        <v>-1.8139364015399</v>
      </c>
      <c r="H280">
        <v>0.12509834427816521</v>
      </c>
    </row>
    <row r="281" spans="1:8" x14ac:dyDescent="0.35">
      <c r="A281" t="s">
        <v>73</v>
      </c>
      <c r="B281" t="s">
        <v>42</v>
      </c>
      <c r="C281" t="s">
        <v>40</v>
      </c>
      <c r="D281">
        <v>2012</v>
      </c>
      <c r="E281">
        <v>0.47308017111291623</v>
      </c>
      <c r="F281">
        <v>0.226946609537066</v>
      </c>
      <c r="G281">
        <f t="shared" si="4"/>
        <v>-0.24613356157585023</v>
      </c>
      <c r="H281">
        <v>0.12509834427816521</v>
      </c>
    </row>
    <row r="282" spans="1:8" x14ac:dyDescent="0.35">
      <c r="A282" t="s">
        <v>73</v>
      </c>
      <c r="B282" t="s">
        <v>41</v>
      </c>
      <c r="C282" t="s">
        <v>38</v>
      </c>
      <c r="D282">
        <v>2013</v>
      </c>
      <c r="E282">
        <v>0.38047816820923058</v>
      </c>
      <c r="F282">
        <v>0.92634815984379837</v>
      </c>
      <c r="G282">
        <f t="shared" si="4"/>
        <v>0.54586999163456773</v>
      </c>
      <c r="H282">
        <v>0.1267423905118876</v>
      </c>
    </row>
    <row r="283" spans="1:8" x14ac:dyDescent="0.35">
      <c r="A283" t="s">
        <v>73</v>
      </c>
      <c r="B283" t="s">
        <v>43</v>
      </c>
      <c r="C283" t="s">
        <v>38</v>
      </c>
      <c r="D283">
        <v>2013</v>
      </c>
      <c r="E283">
        <v>0.21992165083872811</v>
      </c>
      <c r="F283">
        <v>0.92634815984379837</v>
      </c>
      <c r="G283">
        <f t="shared" si="4"/>
        <v>0.70642650900507031</v>
      </c>
      <c r="H283">
        <v>0.1267423905118876</v>
      </c>
    </row>
    <row r="284" spans="1:8" x14ac:dyDescent="0.35">
      <c r="A284" t="s">
        <v>73</v>
      </c>
      <c r="B284" t="s">
        <v>42</v>
      </c>
      <c r="C284" t="s">
        <v>40</v>
      </c>
      <c r="D284">
        <v>2013</v>
      </c>
      <c r="E284">
        <v>1.3369944796204569</v>
      </c>
      <c r="F284">
        <v>0.92634815984379837</v>
      </c>
      <c r="G284">
        <f t="shared" si="4"/>
        <v>-0.41064631977665855</v>
      </c>
      <c r="H284">
        <v>0.1267423905118876</v>
      </c>
    </row>
    <row r="285" spans="1:8" x14ac:dyDescent="0.35">
      <c r="A285" t="s">
        <v>73</v>
      </c>
      <c r="B285" t="s">
        <v>44</v>
      </c>
      <c r="C285" t="s">
        <v>40</v>
      </c>
      <c r="D285">
        <v>2013</v>
      </c>
      <c r="E285">
        <v>-9.6293692429949562E-2</v>
      </c>
      <c r="F285">
        <v>0.92634815984379837</v>
      </c>
      <c r="G285">
        <f t="shared" si="4"/>
        <v>1.0226418522737479</v>
      </c>
      <c r="H285">
        <v>0.1267423905118876</v>
      </c>
    </row>
    <row r="286" spans="1:8" x14ac:dyDescent="0.35">
      <c r="A286" t="s">
        <v>73</v>
      </c>
      <c r="B286" t="s">
        <v>43</v>
      </c>
      <c r="C286" t="s">
        <v>38</v>
      </c>
      <c r="D286">
        <v>2014</v>
      </c>
      <c r="E286">
        <v>0.91019216638974498</v>
      </c>
      <c r="F286">
        <v>0.99281792910282507</v>
      </c>
      <c r="G286">
        <f t="shared" si="4"/>
        <v>8.2625762713080086E-2</v>
      </c>
      <c r="H286">
        <v>0.1315312756639137</v>
      </c>
    </row>
    <row r="287" spans="1:8" x14ac:dyDescent="0.35">
      <c r="A287" t="s">
        <v>73</v>
      </c>
      <c r="B287" t="s">
        <v>45</v>
      </c>
      <c r="C287" t="s">
        <v>38</v>
      </c>
      <c r="D287">
        <v>2014</v>
      </c>
      <c r="E287">
        <v>0.31811884101464738</v>
      </c>
      <c r="F287">
        <v>0.99281792910282507</v>
      </c>
      <c r="G287">
        <f t="shared" si="4"/>
        <v>0.67469908808817769</v>
      </c>
      <c r="H287">
        <v>0.1315312756639137</v>
      </c>
    </row>
    <row r="288" spans="1:8" x14ac:dyDescent="0.35">
      <c r="A288" t="s">
        <v>73</v>
      </c>
      <c r="B288" t="s">
        <v>44</v>
      </c>
      <c r="C288" t="s">
        <v>40</v>
      </c>
      <c r="D288">
        <v>2014</v>
      </c>
      <c r="E288">
        <v>1.095437649770115</v>
      </c>
      <c r="F288">
        <v>0.99281792910282507</v>
      </c>
      <c r="G288">
        <f t="shared" si="4"/>
        <v>-0.10261972066728997</v>
      </c>
      <c r="H288">
        <v>0.1315312756639137</v>
      </c>
    </row>
    <row r="289" spans="1:8" x14ac:dyDescent="0.35">
      <c r="A289" t="s">
        <v>73</v>
      </c>
      <c r="B289" t="s">
        <v>46</v>
      </c>
      <c r="C289" t="s">
        <v>40</v>
      </c>
      <c r="D289">
        <v>2014</v>
      </c>
      <c r="E289">
        <v>0.97562348050159731</v>
      </c>
      <c r="F289">
        <v>0.99281792910282507</v>
      </c>
      <c r="G289">
        <f t="shared" si="4"/>
        <v>1.7194448601227763E-2</v>
      </c>
      <c r="H289">
        <v>0.1315312756639137</v>
      </c>
    </row>
    <row r="290" spans="1:8" x14ac:dyDescent="0.35">
      <c r="A290" t="s">
        <v>73</v>
      </c>
      <c r="B290" t="s">
        <v>45</v>
      </c>
      <c r="C290" t="s">
        <v>38</v>
      </c>
      <c r="D290">
        <v>2015</v>
      </c>
      <c r="E290">
        <v>0.69497120757255892</v>
      </c>
      <c r="F290">
        <v>0.99352475042418931</v>
      </c>
      <c r="G290">
        <f t="shared" si="4"/>
        <v>0.29855354285163038</v>
      </c>
      <c r="H290">
        <v>0.13764973587361881</v>
      </c>
    </row>
    <row r="291" spans="1:8" x14ac:dyDescent="0.35">
      <c r="A291" t="s">
        <v>73</v>
      </c>
      <c r="B291" t="s">
        <v>47</v>
      </c>
      <c r="C291" t="s">
        <v>38</v>
      </c>
      <c r="D291">
        <v>2015</v>
      </c>
      <c r="E291">
        <v>1.0829396488476919</v>
      </c>
      <c r="F291">
        <v>0.99352475042418931</v>
      </c>
      <c r="G291">
        <f t="shared" si="4"/>
        <v>-8.9414898423502587E-2</v>
      </c>
      <c r="H291">
        <v>0.13764973587361881</v>
      </c>
    </row>
    <row r="292" spans="1:8" x14ac:dyDescent="0.35">
      <c r="A292" t="s">
        <v>73</v>
      </c>
      <c r="B292" t="s">
        <v>46</v>
      </c>
      <c r="C292" t="s">
        <v>40</v>
      </c>
      <c r="D292">
        <v>2015</v>
      </c>
      <c r="E292">
        <v>1.4732524317461191</v>
      </c>
      <c r="F292">
        <v>0.99352475042418931</v>
      </c>
      <c r="G292">
        <f t="shared" si="4"/>
        <v>-0.47972768132192978</v>
      </c>
      <c r="H292">
        <v>0.13764973587361881</v>
      </c>
    </row>
    <row r="293" spans="1:8" x14ac:dyDescent="0.35">
      <c r="A293" t="s">
        <v>73</v>
      </c>
      <c r="B293" t="s">
        <v>48</v>
      </c>
      <c r="C293" t="s">
        <v>40</v>
      </c>
      <c r="D293">
        <v>2015</v>
      </c>
      <c r="E293">
        <v>1.081963871443703</v>
      </c>
      <c r="F293">
        <v>0.99352475042418931</v>
      </c>
      <c r="G293">
        <f t="shared" si="4"/>
        <v>-8.8439121019513678E-2</v>
      </c>
      <c r="H293">
        <v>0.13764973587361881</v>
      </c>
    </row>
    <row r="294" spans="1:8" x14ac:dyDescent="0.35">
      <c r="A294" t="s">
        <v>73</v>
      </c>
      <c r="B294" t="s">
        <v>47</v>
      </c>
      <c r="C294" t="s">
        <v>38</v>
      </c>
      <c r="D294">
        <v>2016</v>
      </c>
      <c r="E294">
        <v>1.4293943423307589</v>
      </c>
      <c r="F294">
        <v>0.7341997048160207</v>
      </c>
      <c r="G294">
        <f t="shared" si="4"/>
        <v>-0.6951946375147382</v>
      </c>
      <c r="H294">
        <v>0.14114053079650751</v>
      </c>
    </row>
    <row r="295" spans="1:8" x14ac:dyDescent="0.35">
      <c r="A295" t="s">
        <v>73</v>
      </c>
      <c r="B295" t="s">
        <v>49</v>
      </c>
      <c r="C295" t="s">
        <v>38</v>
      </c>
      <c r="D295">
        <v>2016</v>
      </c>
      <c r="E295">
        <v>1.254473785454957</v>
      </c>
      <c r="F295">
        <v>0.7341997048160207</v>
      </c>
      <c r="G295">
        <f t="shared" si="4"/>
        <v>-0.52027408063893632</v>
      </c>
      <c r="H295">
        <v>0.14114053079650751</v>
      </c>
    </row>
    <row r="296" spans="1:8" x14ac:dyDescent="0.35">
      <c r="A296" t="s">
        <v>73</v>
      </c>
      <c r="B296" t="s">
        <v>48</v>
      </c>
      <c r="C296" t="s">
        <v>40</v>
      </c>
      <c r="D296">
        <v>2016</v>
      </c>
      <c r="E296">
        <v>1.6816047146198001</v>
      </c>
      <c r="F296">
        <v>0.7341997048160207</v>
      </c>
      <c r="G296">
        <f t="shared" si="4"/>
        <v>-0.9474050098037794</v>
      </c>
      <c r="H296">
        <v>0.14114053079650751</v>
      </c>
    </row>
    <row r="297" spans="1:8" x14ac:dyDescent="0.35">
      <c r="A297" t="s">
        <v>73</v>
      </c>
      <c r="B297" t="s">
        <v>50</v>
      </c>
      <c r="C297" t="s">
        <v>40</v>
      </c>
      <c r="D297">
        <v>2016</v>
      </c>
      <c r="E297">
        <v>1.331417785335498</v>
      </c>
      <c r="F297">
        <v>0.7341997048160207</v>
      </c>
      <c r="G297">
        <f t="shared" si="4"/>
        <v>-0.59721808051947733</v>
      </c>
      <c r="H297">
        <v>0.14114053079650751</v>
      </c>
    </row>
    <row r="298" spans="1:8" x14ac:dyDescent="0.35">
      <c r="A298" t="s">
        <v>73</v>
      </c>
      <c r="B298" t="s">
        <v>49</v>
      </c>
      <c r="C298" t="s">
        <v>38</v>
      </c>
      <c r="D298">
        <v>2017</v>
      </c>
      <c r="E298">
        <v>1.3568331696729889</v>
      </c>
      <c r="F298">
        <v>2.2441414587468929</v>
      </c>
      <c r="G298">
        <f t="shared" si="4"/>
        <v>0.88730828907390391</v>
      </c>
      <c r="H298">
        <v>0.1467074254631251</v>
      </c>
    </row>
    <row r="299" spans="1:8" x14ac:dyDescent="0.35">
      <c r="A299" t="s">
        <v>73</v>
      </c>
      <c r="B299" t="s">
        <v>51</v>
      </c>
      <c r="C299" t="s">
        <v>38</v>
      </c>
      <c r="D299">
        <v>2017</v>
      </c>
      <c r="E299">
        <v>1.6108305416448809</v>
      </c>
      <c r="F299">
        <v>2.2441414587468929</v>
      </c>
      <c r="G299">
        <f t="shared" si="4"/>
        <v>0.63331091710201193</v>
      </c>
      <c r="H299">
        <v>0.1467074254631251</v>
      </c>
    </row>
    <row r="300" spans="1:8" x14ac:dyDescent="0.35">
      <c r="A300" t="s">
        <v>73</v>
      </c>
      <c r="B300" t="s">
        <v>50</v>
      </c>
      <c r="C300" t="s">
        <v>40</v>
      </c>
      <c r="D300">
        <v>2017</v>
      </c>
      <c r="E300">
        <v>1.686145619472357</v>
      </c>
      <c r="F300">
        <v>2.2441414587468929</v>
      </c>
      <c r="G300">
        <f t="shared" si="4"/>
        <v>0.55799583927453589</v>
      </c>
      <c r="H300">
        <v>0.1467074254631251</v>
      </c>
    </row>
    <row r="301" spans="1:8" x14ac:dyDescent="0.35">
      <c r="A301" t="s">
        <v>73</v>
      </c>
      <c r="B301" t="s">
        <v>52</v>
      </c>
      <c r="C301" t="s">
        <v>40</v>
      </c>
      <c r="D301">
        <v>2017</v>
      </c>
      <c r="E301">
        <v>1.353609964652547</v>
      </c>
      <c r="F301">
        <v>2.2441414587468929</v>
      </c>
      <c r="G301">
        <f t="shared" si="4"/>
        <v>0.89053149409434584</v>
      </c>
      <c r="H301">
        <v>0.1467074254631251</v>
      </c>
    </row>
    <row r="302" spans="1:8" x14ac:dyDescent="0.35">
      <c r="A302" t="s">
        <v>73</v>
      </c>
      <c r="B302" t="s">
        <v>51</v>
      </c>
      <c r="C302" t="s">
        <v>38</v>
      </c>
      <c r="D302">
        <v>2018</v>
      </c>
      <c r="E302">
        <v>1.745757461080699</v>
      </c>
      <c r="F302">
        <v>1.5720137685547519</v>
      </c>
      <c r="G302">
        <f t="shared" si="4"/>
        <v>-0.17374369252594701</v>
      </c>
      <c r="H302">
        <v>0.15168226831207221</v>
      </c>
    </row>
    <row r="303" spans="1:8" x14ac:dyDescent="0.35">
      <c r="A303" t="s">
        <v>73</v>
      </c>
      <c r="B303" t="s">
        <v>53</v>
      </c>
      <c r="C303" t="s">
        <v>38</v>
      </c>
      <c r="D303">
        <v>2018</v>
      </c>
      <c r="E303">
        <v>1.6664324661772369</v>
      </c>
      <c r="F303">
        <v>1.5720137685547519</v>
      </c>
      <c r="G303">
        <f t="shared" si="4"/>
        <v>-9.4418697622485004E-2</v>
      </c>
      <c r="H303">
        <v>0.15168226831207221</v>
      </c>
    </row>
    <row r="304" spans="1:8" x14ac:dyDescent="0.35">
      <c r="A304" t="s">
        <v>73</v>
      </c>
      <c r="B304" t="s">
        <v>52</v>
      </c>
      <c r="C304" t="s">
        <v>40</v>
      </c>
      <c r="D304">
        <v>2018</v>
      </c>
      <c r="E304">
        <v>1.72584962487905</v>
      </c>
      <c r="F304">
        <v>1.5720137685547519</v>
      </c>
      <c r="G304">
        <f t="shared" si="4"/>
        <v>-0.15383585632429808</v>
      </c>
      <c r="H304">
        <v>0.15168226831207221</v>
      </c>
    </row>
    <row r="305" spans="1:8" x14ac:dyDescent="0.35">
      <c r="A305" t="s">
        <v>73</v>
      </c>
      <c r="B305" t="s">
        <v>54</v>
      </c>
      <c r="C305" t="s">
        <v>40</v>
      </c>
      <c r="D305">
        <v>2018</v>
      </c>
      <c r="E305">
        <v>1.989603282667241</v>
      </c>
      <c r="F305">
        <v>1.5720137685547519</v>
      </c>
      <c r="G305">
        <f t="shared" si="4"/>
        <v>-0.41758951411248901</v>
      </c>
      <c r="H305">
        <v>0.15168226831207221</v>
      </c>
    </row>
    <row r="306" spans="1:8" x14ac:dyDescent="0.35">
      <c r="A306" t="s">
        <v>73</v>
      </c>
      <c r="B306" t="s">
        <v>53</v>
      </c>
      <c r="C306" t="s">
        <v>38</v>
      </c>
      <c r="D306">
        <v>2019</v>
      </c>
      <c r="E306">
        <v>1.641202261320762</v>
      </c>
      <c r="F306">
        <v>2.0796189403330492</v>
      </c>
      <c r="G306">
        <f t="shared" si="4"/>
        <v>0.4384166790122872</v>
      </c>
      <c r="H306">
        <v>0.15379843721398409</v>
      </c>
    </row>
    <row r="307" spans="1:8" x14ac:dyDescent="0.35">
      <c r="A307" t="s">
        <v>73</v>
      </c>
      <c r="B307" t="s">
        <v>55</v>
      </c>
      <c r="C307" t="s">
        <v>38</v>
      </c>
      <c r="D307">
        <v>2019</v>
      </c>
      <c r="E307">
        <v>1.2870082454169649</v>
      </c>
      <c r="F307">
        <v>2.0796189403330492</v>
      </c>
      <c r="G307">
        <f t="shared" si="4"/>
        <v>0.79261069491608427</v>
      </c>
      <c r="H307">
        <v>0.15379843721398409</v>
      </c>
    </row>
    <row r="308" spans="1:8" x14ac:dyDescent="0.35">
      <c r="A308" t="s">
        <v>73</v>
      </c>
      <c r="B308" t="s">
        <v>54</v>
      </c>
      <c r="C308" t="s">
        <v>40</v>
      </c>
      <c r="D308">
        <v>2019</v>
      </c>
      <c r="E308">
        <v>1.837933157898797</v>
      </c>
      <c r="F308">
        <v>2.0796189403330492</v>
      </c>
      <c r="G308">
        <f t="shared" si="4"/>
        <v>0.24168578243425221</v>
      </c>
      <c r="H308">
        <v>0.15379843721398409</v>
      </c>
    </row>
    <row r="309" spans="1:8" x14ac:dyDescent="0.35">
      <c r="A309" t="s">
        <v>73</v>
      </c>
      <c r="B309" t="s">
        <v>56</v>
      </c>
      <c r="C309" t="s">
        <v>40</v>
      </c>
      <c r="D309">
        <v>2019</v>
      </c>
      <c r="E309">
        <v>1.333589129915191</v>
      </c>
      <c r="F309">
        <v>2.0796189403330492</v>
      </c>
      <c r="G309">
        <f t="shared" si="4"/>
        <v>0.74602981041785821</v>
      </c>
      <c r="H309">
        <v>0.15379843721398409</v>
      </c>
    </row>
    <row r="310" spans="1:8" x14ac:dyDescent="0.35">
      <c r="A310" t="s">
        <v>73</v>
      </c>
      <c r="B310" t="s">
        <v>55</v>
      </c>
      <c r="C310" t="s">
        <v>38</v>
      </c>
      <c r="D310">
        <v>2020</v>
      </c>
      <c r="E310">
        <v>1.285387661815784</v>
      </c>
      <c r="F310">
        <v>-7.9120138942178206</v>
      </c>
      <c r="G310">
        <f t="shared" si="4"/>
        <v>-9.1974015560336042</v>
      </c>
      <c r="H310">
        <v>0.16587155074328949</v>
      </c>
    </row>
    <row r="311" spans="1:8" x14ac:dyDescent="0.35">
      <c r="A311" t="s">
        <v>73</v>
      </c>
      <c r="B311" t="s">
        <v>57</v>
      </c>
      <c r="C311" t="s">
        <v>38</v>
      </c>
      <c r="D311">
        <v>2020</v>
      </c>
      <c r="E311">
        <v>-9.3511426009976422</v>
      </c>
      <c r="F311">
        <v>-7.9120138942178206</v>
      </c>
      <c r="G311">
        <f t="shared" si="4"/>
        <v>1.4391287067798215</v>
      </c>
      <c r="H311">
        <v>0.16587155074328949</v>
      </c>
    </row>
    <row r="312" spans="1:8" x14ac:dyDescent="0.35">
      <c r="A312" t="s">
        <v>73</v>
      </c>
      <c r="B312" t="s">
        <v>56</v>
      </c>
      <c r="C312" t="s">
        <v>40</v>
      </c>
      <c r="D312">
        <v>2020</v>
      </c>
      <c r="E312">
        <v>1.503749975943047</v>
      </c>
      <c r="F312">
        <v>-7.9120138942178206</v>
      </c>
      <c r="G312">
        <f t="shared" si="4"/>
        <v>-9.4157638701608679</v>
      </c>
      <c r="H312">
        <v>0.16587155074328949</v>
      </c>
    </row>
    <row r="313" spans="1:8" x14ac:dyDescent="0.35">
      <c r="A313" t="s">
        <v>73</v>
      </c>
      <c r="B313" t="s">
        <v>58</v>
      </c>
      <c r="C313" t="s">
        <v>40</v>
      </c>
      <c r="D313">
        <v>2020</v>
      </c>
      <c r="E313">
        <v>-8.2482980854368328</v>
      </c>
      <c r="F313">
        <v>-7.9120138942178206</v>
      </c>
      <c r="G313">
        <f t="shared" si="4"/>
        <v>0.33628419121901221</v>
      </c>
      <c r="H313">
        <v>0.16587155074328949</v>
      </c>
    </row>
    <row r="314" spans="1:8" x14ac:dyDescent="0.35">
      <c r="A314" t="s">
        <v>73</v>
      </c>
      <c r="B314" t="s">
        <v>57</v>
      </c>
      <c r="C314" t="s">
        <v>38</v>
      </c>
      <c r="D314">
        <v>2021</v>
      </c>
      <c r="E314">
        <v>5.7952659026178077</v>
      </c>
      <c r="F314">
        <v>6.5701884772546428</v>
      </c>
      <c r="G314">
        <f t="shared" si="4"/>
        <v>0.77492257463683512</v>
      </c>
      <c r="H314">
        <v>0.16207230967799771</v>
      </c>
    </row>
    <row r="315" spans="1:8" x14ac:dyDescent="0.35">
      <c r="A315" t="s">
        <v>73</v>
      </c>
      <c r="B315" t="s">
        <v>59</v>
      </c>
      <c r="C315" t="s">
        <v>38</v>
      </c>
      <c r="D315">
        <v>2021</v>
      </c>
      <c r="E315">
        <v>6.5425794292067074</v>
      </c>
      <c r="F315">
        <v>6.5701884772546428</v>
      </c>
      <c r="G315">
        <f t="shared" si="4"/>
        <v>2.7609048047935403E-2</v>
      </c>
      <c r="H315">
        <v>0.16207230967799771</v>
      </c>
    </row>
    <row r="316" spans="1:8" x14ac:dyDescent="0.35">
      <c r="A316" t="s">
        <v>73</v>
      </c>
      <c r="B316" t="s">
        <v>58</v>
      </c>
      <c r="C316" t="s">
        <v>40</v>
      </c>
      <c r="D316">
        <v>2021</v>
      </c>
      <c r="E316">
        <v>7.4011344913377686</v>
      </c>
      <c r="F316">
        <v>6.5701884772546428</v>
      </c>
      <c r="G316">
        <f t="shared" si="4"/>
        <v>-0.83094601408312574</v>
      </c>
      <c r="H316">
        <v>0.16207230967799771</v>
      </c>
    </row>
    <row r="317" spans="1:8" x14ac:dyDescent="0.35">
      <c r="A317" t="s">
        <v>73</v>
      </c>
      <c r="B317" t="s">
        <v>60</v>
      </c>
      <c r="C317" t="s">
        <v>40</v>
      </c>
      <c r="D317">
        <v>2021</v>
      </c>
      <c r="E317">
        <v>5.7147026734028614</v>
      </c>
      <c r="F317">
        <v>6.5701884772546428</v>
      </c>
      <c r="G317">
        <f t="shared" si="4"/>
        <v>0.85548580385178141</v>
      </c>
      <c r="H317">
        <v>0.16207230967799771</v>
      </c>
    </row>
    <row r="318" spans="1:8" x14ac:dyDescent="0.35">
      <c r="A318" t="s">
        <v>73</v>
      </c>
      <c r="B318" t="s">
        <v>59</v>
      </c>
      <c r="C318" t="s">
        <v>38</v>
      </c>
      <c r="D318">
        <v>2022</v>
      </c>
      <c r="E318">
        <v>3.7661475579403141</v>
      </c>
      <c r="F318">
        <v>2.761671160127166</v>
      </c>
      <c r="G318">
        <f t="shared" si="4"/>
        <v>-1.0044763978131481</v>
      </c>
      <c r="H318">
        <v>0.1686231784194008</v>
      </c>
    </row>
    <row r="319" spans="1:8" x14ac:dyDescent="0.35">
      <c r="A319" t="s">
        <v>73</v>
      </c>
      <c r="B319" t="s">
        <v>61</v>
      </c>
      <c r="C319" t="s">
        <v>38</v>
      </c>
      <c r="D319">
        <v>2022</v>
      </c>
      <c r="E319">
        <v>2.6294584401195249</v>
      </c>
      <c r="F319">
        <v>2.761671160127166</v>
      </c>
      <c r="G319">
        <f t="shared" si="4"/>
        <v>0.13221272000764106</v>
      </c>
      <c r="H319">
        <v>0.1686231784194008</v>
      </c>
    </row>
    <row r="320" spans="1:8" x14ac:dyDescent="0.35">
      <c r="A320" t="s">
        <v>73</v>
      </c>
      <c r="B320" t="s">
        <v>60</v>
      </c>
      <c r="C320" t="s">
        <v>40</v>
      </c>
      <c r="D320">
        <v>2022</v>
      </c>
      <c r="E320">
        <v>4.2114770737248453</v>
      </c>
      <c r="F320">
        <v>2.761671160127166</v>
      </c>
      <c r="G320">
        <f t="shared" si="4"/>
        <v>-1.4498059135976793</v>
      </c>
      <c r="H320">
        <v>0.1686231784194008</v>
      </c>
    </row>
    <row r="321" spans="1:8" x14ac:dyDescent="0.35">
      <c r="A321" t="s">
        <v>73</v>
      </c>
      <c r="B321" t="s">
        <v>62</v>
      </c>
      <c r="C321" t="s">
        <v>40</v>
      </c>
      <c r="D321">
        <v>2022</v>
      </c>
      <c r="E321">
        <v>3.0989524183168582</v>
      </c>
      <c r="F321">
        <v>2.761671160127166</v>
      </c>
      <c r="G321">
        <f t="shared" si="4"/>
        <v>-0.33728125818969223</v>
      </c>
      <c r="H321">
        <v>0.1686231784194008</v>
      </c>
    </row>
    <row r="322" spans="1:8" x14ac:dyDescent="0.35">
      <c r="A322" t="s">
        <v>73</v>
      </c>
      <c r="B322" t="s">
        <v>61</v>
      </c>
      <c r="C322" t="s">
        <v>38</v>
      </c>
      <c r="D322">
        <v>2023</v>
      </c>
      <c r="E322">
        <v>0.43950651458626311</v>
      </c>
      <c r="F322">
        <v>1.8022470831755071</v>
      </c>
      <c r="G322">
        <f t="shared" ref="G322:G385" si="5">IF(OR(F322="",E322=""),"",F322-E322)</f>
        <v>1.362740568589244</v>
      </c>
      <c r="H322">
        <v>0.17349510563338269</v>
      </c>
    </row>
    <row r="323" spans="1:8" x14ac:dyDescent="0.35">
      <c r="A323" t="s">
        <v>73</v>
      </c>
      <c r="B323" t="s">
        <v>63</v>
      </c>
      <c r="C323" t="s">
        <v>38</v>
      </c>
      <c r="D323">
        <v>2023</v>
      </c>
      <c r="E323">
        <v>1.0022762950343991</v>
      </c>
      <c r="F323">
        <v>1.8022470831755071</v>
      </c>
      <c r="G323">
        <f t="shared" si="5"/>
        <v>0.799970788141108</v>
      </c>
      <c r="H323">
        <v>0.17349510563338269</v>
      </c>
    </row>
    <row r="324" spans="1:8" x14ac:dyDescent="0.35">
      <c r="A324" t="s">
        <v>73</v>
      </c>
      <c r="B324" t="s">
        <v>62</v>
      </c>
      <c r="C324" t="s">
        <v>40</v>
      </c>
      <c r="D324">
        <v>2023</v>
      </c>
      <c r="E324">
        <v>1.7691091240616961</v>
      </c>
      <c r="F324">
        <v>1.8022470831755071</v>
      </c>
      <c r="G324">
        <f t="shared" si="5"/>
        <v>3.3137959113811011E-2</v>
      </c>
      <c r="H324">
        <v>0.17349510563338269</v>
      </c>
    </row>
    <row r="325" spans="1:8" x14ac:dyDescent="0.35">
      <c r="A325" t="s">
        <v>73</v>
      </c>
      <c r="B325" t="s">
        <v>64</v>
      </c>
      <c r="C325" t="s">
        <v>40</v>
      </c>
      <c r="D325">
        <v>2023</v>
      </c>
      <c r="E325">
        <v>0.72426026364131868</v>
      </c>
      <c r="F325">
        <v>1.8022470831755071</v>
      </c>
      <c r="G325">
        <f t="shared" si="5"/>
        <v>1.0779868195341884</v>
      </c>
      <c r="H325">
        <v>0.17349510563338269</v>
      </c>
    </row>
    <row r="326" spans="1:8" x14ac:dyDescent="0.35">
      <c r="A326" t="s">
        <v>73</v>
      </c>
      <c r="B326" t="s">
        <v>63</v>
      </c>
      <c r="C326" t="s">
        <v>38</v>
      </c>
      <c r="D326">
        <v>2024</v>
      </c>
      <c r="E326">
        <v>1.2470954330068731</v>
      </c>
      <c r="F326">
        <v>1.4144828845553741</v>
      </c>
      <c r="G326">
        <f t="shared" si="5"/>
        <v>0.16738745154850099</v>
      </c>
      <c r="H326">
        <v>0.18372354991229151</v>
      </c>
    </row>
    <row r="327" spans="1:8" x14ac:dyDescent="0.35">
      <c r="A327" t="s">
        <v>73</v>
      </c>
      <c r="B327" t="s">
        <v>65</v>
      </c>
      <c r="C327" t="s">
        <v>38</v>
      </c>
      <c r="D327">
        <v>2024</v>
      </c>
      <c r="E327">
        <v>1.13903040986485</v>
      </c>
      <c r="F327">
        <v>1.4144828845553741</v>
      </c>
      <c r="G327">
        <f t="shared" si="5"/>
        <v>0.27545247469052403</v>
      </c>
      <c r="H327">
        <v>0.18372354991229151</v>
      </c>
    </row>
    <row r="328" spans="1:8" x14ac:dyDescent="0.35">
      <c r="A328" t="s">
        <v>73</v>
      </c>
      <c r="B328" t="s">
        <v>64</v>
      </c>
      <c r="C328" t="s">
        <v>40</v>
      </c>
      <c r="D328">
        <v>2024</v>
      </c>
      <c r="E328">
        <v>1.41860461240253</v>
      </c>
      <c r="F328">
        <v>1.4144828845553741</v>
      </c>
      <c r="G328">
        <f t="shared" si="5"/>
        <v>-4.1217278471559204E-3</v>
      </c>
      <c r="H328">
        <v>0.18372354991229151</v>
      </c>
    </row>
    <row r="329" spans="1:8" x14ac:dyDescent="0.35">
      <c r="A329" t="s">
        <v>73</v>
      </c>
      <c r="B329" t="s">
        <v>66</v>
      </c>
      <c r="C329" t="s">
        <v>40</v>
      </c>
      <c r="D329">
        <v>2024</v>
      </c>
      <c r="E329">
        <v>0.72851910514837304</v>
      </c>
      <c r="F329">
        <v>1.4144828845553741</v>
      </c>
      <c r="G329">
        <f t="shared" si="5"/>
        <v>0.68596377940700104</v>
      </c>
      <c r="H329">
        <v>0.18372354991229151</v>
      </c>
    </row>
    <row r="330" spans="1:8" x14ac:dyDescent="0.35">
      <c r="A330" t="s">
        <v>74</v>
      </c>
      <c r="B330" t="s">
        <v>37</v>
      </c>
      <c r="C330" t="s">
        <v>38</v>
      </c>
      <c r="D330">
        <v>2011</v>
      </c>
      <c r="E330">
        <v>1.085473342594079</v>
      </c>
      <c r="F330">
        <v>1.585963389687955</v>
      </c>
      <c r="G330">
        <f t="shared" si="5"/>
        <v>0.50049004709387601</v>
      </c>
      <c r="H330">
        <v>0.21290558800453321</v>
      </c>
    </row>
    <row r="331" spans="1:8" x14ac:dyDescent="0.35">
      <c r="A331" t="s">
        <v>74</v>
      </c>
      <c r="B331" t="s">
        <v>39</v>
      </c>
      <c r="C331" t="s">
        <v>40</v>
      </c>
      <c r="D331">
        <v>2011</v>
      </c>
      <c r="E331">
        <v>0.64463752068673053</v>
      </c>
      <c r="F331">
        <v>1.585963389687955</v>
      </c>
      <c r="G331">
        <f t="shared" si="5"/>
        <v>0.9413258690012245</v>
      </c>
      <c r="H331">
        <v>0.21290558800453321</v>
      </c>
    </row>
    <row r="332" spans="1:8" x14ac:dyDescent="0.35">
      <c r="A332" t="s">
        <v>74</v>
      </c>
      <c r="B332" t="s">
        <v>37</v>
      </c>
      <c r="C332" t="s">
        <v>38</v>
      </c>
      <c r="D332">
        <v>2012</v>
      </c>
      <c r="E332">
        <v>1.0901130974096951</v>
      </c>
      <c r="F332">
        <v>-0.53795048916406796</v>
      </c>
      <c r="G332">
        <f t="shared" si="5"/>
        <v>-1.6280635865737629</v>
      </c>
      <c r="H332">
        <v>0.23477584339955121</v>
      </c>
    </row>
    <row r="333" spans="1:8" x14ac:dyDescent="0.35">
      <c r="A333" t="s">
        <v>74</v>
      </c>
      <c r="B333" t="s">
        <v>41</v>
      </c>
      <c r="C333" t="s">
        <v>38</v>
      </c>
      <c r="D333">
        <v>2012</v>
      </c>
      <c r="E333">
        <v>0.43127476645701268</v>
      </c>
      <c r="F333">
        <v>-0.53795048916406796</v>
      </c>
      <c r="G333">
        <f t="shared" si="5"/>
        <v>-0.96922525562108064</v>
      </c>
      <c r="H333">
        <v>0.23477584339955121</v>
      </c>
    </row>
    <row r="334" spans="1:8" x14ac:dyDescent="0.35">
      <c r="A334" t="s">
        <v>74</v>
      </c>
      <c r="B334" t="s">
        <v>39</v>
      </c>
      <c r="C334" t="s">
        <v>40</v>
      </c>
      <c r="D334">
        <v>2012</v>
      </c>
      <c r="E334">
        <v>1.915684733449208</v>
      </c>
      <c r="F334">
        <v>-0.53795048916406796</v>
      </c>
      <c r="G334">
        <f t="shared" si="5"/>
        <v>-2.453635222613276</v>
      </c>
      <c r="H334">
        <v>0.23477584339955121</v>
      </c>
    </row>
    <row r="335" spans="1:8" x14ac:dyDescent="0.35">
      <c r="A335" t="s">
        <v>74</v>
      </c>
      <c r="B335" t="s">
        <v>42</v>
      </c>
      <c r="C335" t="s">
        <v>40</v>
      </c>
      <c r="D335">
        <v>2012</v>
      </c>
      <c r="E335">
        <v>0.53448290594637626</v>
      </c>
      <c r="F335">
        <v>-0.53795048916406796</v>
      </c>
      <c r="G335">
        <f t="shared" si="5"/>
        <v>-1.0724333951104441</v>
      </c>
      <c r="H335">
        <v>0.23477584339955121</v>
      </c>
    </row>
    <row r="336" spans="1:8" x14ac:dyDescent="0.35">
      <c r="A336" t="s">
        <v>74</v>
      </c>
      <c r="B336" t="s">
        <v>41</v>
      </c>
      <c r="C336" t="s">
        <v>38</v>
      </c>
      <c r="D336">
        <v>2013</v>
      </c>
      <c r="E336">
        <v>1.055742969234341</v>
      </c>
      <c r="F336">
        <v>2.260800070139938</v>
      </c>
      <c r="G336">
        <f t="shared" si="5"/>
        <v>1.205057100905597</v>
      </c>
      <c r="H336">
        <v>0.20688592659957639</v>
      </c>
    </row>
    <row r="337" spans="1:8" x14ac:dyDescent="0.35">
      <c r="A337" t="s">
        <v>74</v>
      </c>
      <c r="B337" t="s">
        <v>43</v>
      </c>
      <c r="C337" t="s">
        <v>38</v>
      </c>
      <c r="D337">
        <v>2013</v>
      </c>
      <c r="E337">
        <v>0.30402131855349351</v>
      </c>
      <c r="F337">
        <v>2.260800070139938</v>
      </c>
      <c r="G337">
        <f t="shared" si="5"/>
        <v>1.9567787515864445</v>
      </c>
      <c r="H337">
        <v>0.20688592659957639</v>
      </c>
    </row>
    <row r="338" spans="1:8" x14ac:dyDescent="0.35">
      <c r="A338" t="s">
        <v>74</v>
      </c>
      <c r="B338" t="s">
        <v>42</v>
      </c>
      <c r="C338" t="s">
        <v>40</v>
      </c>
      <c r="D338">
        <v>2013</v>
      </c>
      <c r="E338">
        <v>1.9060651556646271</v>
      </c>
      <c r="F338">
        <v>2.260800070139938</v>
      </c>
      <c r="G338">
        <f t="shared" si="5"/>
        <v>0.35473491447531091</v>
      </c>
      <c r="H338">
        <v>0.20688592659957639</v>
      </c>
    </row>
    <row r="339" spans="1:8" x14ac:dyDescent="0.35">
      <c r="A339" t="s">
        <v>74</v>
      </c>
      <c r="B339" t="s">
        <v>44</v>
      </c>
      <c r="C339" t="s">
        <v>40</v>
      </c>
      <c r="D339">
        <v>2013</v>
      </c>
      <c r="E339">
        <v>1.069987927348115</v>
      </c>
      <c r="F339">
        <v>2.260800070139938</v>
      </c>
      <c r="G339">
        <f t="shared" si="5"/>
        <v>1.190812142791823</v>
      </c>
      <c r="H339">
        <v>0.20688592659957639</v>
      </c>
    </row>
    <row r="340" spans="1:8" x14ac:dyDescent="0.35">
      <c r="A340" t="s">
        <v>74</v>
      </c>
      <c r="B340" t="s">
        <v>43</v>
      </c>
      <c r="C340" t="s">
        <v>38</v>
      </c>
      <c r="D340">
        <v>2014</v>
      </c>
      <c r="E340">
        <v>1.703044407164489</v>
      </c>
      <c r="F340">
        <v>9.0504209935939262</v>
      </c>
      <c r="G340">
        <f t="shared" si="5"/>
        <v>7.3473765864294371</v>
      </c>
      <c r="H340">
        <v>0.20919179823965831</v>
      </c>
    </row>
    <row r="341" spans="1:8" x14ac:dyDescent="0.35">
      <c r="A341" t="s">
        <v>74</v>
      </c>
      <c r="B341" t="s">
        <v>45</v>
      </c>
      <c r="C341" t="s">
        <v>38</v>
      </c>
      <c r="D341">
        <v>2014</v>
      </c>
      <c r="E341">
        <v>4.6151910205822766</v>
      </c>
      <c r="F341">
        <v>9.0504209935939262</v>
      </c>
      <c r="G341">
        <f t="shared" si="5"/>
        <v>4.4352299730116496</v>
      </c>
      <c r="H341">
        <v>0.20919179823965831</v>
      </c>
    </row>
    <row r="342" spans="1:8" x14ac:dyDescent="0.35">
      <c r="A342" t="s">
        <v>74</v>
      </c>
      <c r="B342" t="s">
        <v>44</v>
      </c>
      <c r="C342" t="s">
        <v>40</v>
      </c>
      <c r="D342">
        <v>2014</v>
      </c>
      <c r="E342">
        <v>2.1762610607392712</v>
      </c>
      <c r="F342">
        <v>9.0504209935939262</v>
      </c>
      <c r="G342">
        <f t="shared" si="5"/>
        <v>6.8741599328546545</v>
      </c>
      <c r="H342">
        <v>0.20919179823965831</v>
      </c>
    </row>
    <row r="343" spans="1:8" x14ac:dyDescent="0.35">
      <c r="A343" t="s">
        <v>74</v>
      </c>
      <c r="B343" t="s">
        <v>46</v>
      </c>
      <c r="C343" t="s">
        <v>40</v>
      </c>
      <c r="D343">
        <v>2014</v>
      </c>
      <c r="E343">
        <v>1.740487538042057</v>
      </c>
      <c r="F343">
        <v>9.0504209935939262</v>
      </c>
      <c r="G343">
        <f t="shared" si="5"/>
        <v>7.3099334555518691</v>
      </c>
      <c r="H343">
        <v>0.20919179823965831</v>
      </c>
    </row>
    <row r="344" spans="1:8" x14ac:dyDescent="0.35">
      <c r="A344" t="s">
        <v>74</v>
      </c>
      <c r="B344" t="s">
        <v>45</v>
      </c>
      <c r="C344" t="s">
        <v>38</v>
      </c>
      <c r="D344">
        <v>2015</v>
      </c>
      <c r="E344">
        <v>3.6221665910883831</v>
      </c>
      <c r="F344">
        <v>21.950744654507421</v>
      </c>
      <c r="G344">
        <f t="shared" si="5"/>
        <v>18.328578063419037</v>
      </c>
      <c r="H344">
        <v>0.19049801405438441</v>
      </c>
    </row>
    <row r="345" spans="1:8" x14ac:dyDescent="0.35">
      <c r="A345" t="s">
        <v>74</v>
      </c>
      <c r="B345" t="s">
        <v>47</v>
      </c>
      <c r="C345" t="s">
        <v>38</v>
      </c>
      <c r="D345">
        <v>2015</v>
      </c>
      <c r="E345">
        <v>6.0449344943167782</v>
      </c>
      <c r="F345">
        <v>21.950744654507421</v>
      </c>
      <c r="G345">
        <f t="shared" si="5"/>
        <v>15.905810160190644</v>
      </c>
      <c r="H345">
        <v>0.19049801405438441</v>
      </c>
    </row>
    <row r="346" spans="1:8" x14ac:dyDescent="0.35">
      <c r="A346" t="s">
        <v>74</v>
      </c>
      <c r="B346" t="s">
        <v>46</v>
      </c>
      <c r="C346" t="s">
        <v>40</v>
      </c>
      <c r="D346">
        <v>2015</v>
      </c>
      <c r="E346">
        <v>2.99572233370986</v>
      </c>
      <c r="F346">
        <v>21.950744654507421</v>
      </c>
      <c r="G346">
        <f t="shared" si="5"/>
        <v>18.955022320797561</v>
      </c>
      <c r="H346">
        <v>0.19049801405438441</v>
      </c>
    </row>
    <row r="347" spans="1:8" x14ac:dyDescent="0.35">
      <c r="A347" t="s">
        <v>74</v>
      </c>
      <c r="B347" t="s">
        <v>48</v>
      </c>
      <c r="C347" t="s">
        <v>40</v>
      </c>
      <c r="D347">
        <v>2015</v>
      </c>
      <c r="E347">
        <v>3.6070418929936339</v>
      </c>
      <c r="F347">
        <v>21.950744654507421</v>
      </c>
      <c r="G347">
        <f t="shared" si="5"/>
        <v>18.343702761513786</v>
      </c>
      <c r="H347">
        <v>0.19049801405438441</v>
      </c>
    </row>
    <row r="348" spans="1:8" x14ac:dyDescent="0.35">
      <c r="A348" t="s">
        <v>74</v>
      </c>
      <c r="B348" t="s">
        <v>47</v>
      </c>
      <c r="C348" t="s">
        <v>38</v>
      </c>
      <c r="D348">
        <v>2016</v>
      </c>
      <c r="E348">
        <v>4.4841243342324866</v>
      </c>
      <c r="F348">
        <v>1.1725462785856491</v>
      </c>
      <c r="G348">
        <f t="shared" si="5"/>
        <v>-3.3115780556468373</v>
      </c>
      <c r="H348">
        <v>0.1566974843662681</v>
      </c>
    </row>
    <row r="349" spans="1:8" x14ac:dyDescent="0.35">
      <c r="A349" t="s">
        <v>74</v>
      </c>
      <c r="B349" t="s">
        <v>49</v>
      </c>
      <c r="C349" t="s">
        <v>38</v>
      </c>
      <c r="D349">
        <v>2016</v>
      </c>
      <c r="E349">
        <v>4.0884411162628984</v>
      </c>
      <c r="F349">
        <v>1.1725462785856491</v>
      </c>
      <c r="G349">
        <f t="shared" si="5"/>
        <v>-2.9158948376772491</v>
      </c>
      <c r="H349">
        <v>0.1566974843662681</v>
      </c>
    </row>
    <row r="350" spans="1:8" x14ac:dyDescent="0.35">
      <c r="A350" t="s">
        <v>74</v>
      </c>
      <c r="B350" t="s">
        <v>48</v>
      </c>
      <c r="C350" t="s">
        <v>40</v>
      </c>
      <c r="D350">
        <v>2016</v>
      </c>
      <c r="E350">
        <v>3.4764574668220138</v>
      </c>
      <c r="F350">
        <v>1.1725462785856491</v>
      </c>
      <c r="G350">
        <f t="shared" si="5"/>
        <v>-2.3039111882363645</v>
      </c>
      <c r="H350">
        <v>0.1566974843662681</v>
      </c>
    </row>
    <row r="351" spans="1:8" x14ac:dyDescent="0.35">
      <c r="A351" t="s">
        <v>74</v>
      </c>
      <c r="B351" t="s">
        <v>50</v>
      </c>
      <c r="C351" t="s">
        <v>40</v>
      </c>
      <c r="D351">
        <v>2016</v>
      </c>
      <c r="E351">
        <v>4.8687098071762858</v>
      </c>
      <c r="F351">
        <v>1.1725462785856491</v>
      </c>
      <c r="G351">
        <f t="shared" si="5"/>
        <v>-3.6961635285906365</v>
      </c>
      <c r="H351">
        <v>0.1566974843662681</v>
      </c>
    </row>
    <row r="352" spans="1:8" x14ac:dyDescent="0.35">
      <c r="A352" t="s">
        <v>74</v>
      </c>
      <c r="B352" t="s">
        <v>49</v>
      </c>
      <c r="C352" t="s">
        <v>38</v>
      </c>
      <c r="D352">
        <v>2017</v>
      </c>
      <c r="E352">
        <v>3.6014209648164601</v>
      </c>
      <c r="F352">
        <v>9.6242949957613337</v>
      </c>
      <c r="G352">
        <f t="shared" si="5"/>
        <v>6.0228740309448732</v>
      </c>
      <c r="H352">
        <v>0.40580189169109832</v>
      </c>
    </row>
    <row r="353" spans="1:8" x14ac:dyDescent="0.35">
      <c r="A353" t="s">
        <v>74</v>
      </c>
      <c r="B353" t="s">
        <v>51</v>
      </c>
      <c r="C353" t="s">
        <v>38</v>
      </c>
      <c r="D353">
        <v>2017</v>
      </c>
      <c r="E353">
        <v>4.8263025218790556</v>
      </c>
      <c r="F353">
        <v>9.6242949957613337</v>
      </c>
      <c r="G353">
        <f t="shared" si="5"/>
        <v>4.7979924738822781</v>
      </c>
      <c r="H353">
        <v>0.40580189169109832</v>
      </c>
    </row>
    <row r="354" spans="1:8" x14ac:dyDescent="0.35">
      <c r="A354" t="s">
        <v>74</v>
      </c>
      <c r="B354" t="s">
        <v>50</v>
      </c>
      <c r="C354" t="s">
        <v>40</v>
      </c>
      <c r="D354">
        <v>2017</v>
      </c>
      <c r="E354">
        <v>3.6717987560630938</v>
      </c>
      <c r="F354">
        <v>9.6242949957613337</v>
      </c>
      <c r="G354">
        <f t="shared" si="5"/>
        <v>5.9524962396982399</v>
      </c>
      <c r="H354">
        <v>0.40580189169109832</v>
      </c>
    </row>
    <row r="355" spans="1:8" x14ac:dyDescent="0.35">
      <c r="A355" t="s">
        <v>74</v>
      </c>
      <c r="B355" t="s">
        <v>52</v>
      </c>
      <c r="C355" t="s">
        <v>40</v>
      </c>
      <c r="D355">
        <v>2017</v>
      </c>
      <c r="E355">
        <v>3.9509452446526701</v>
      </c>
      <c r="F355">
        <v>9.6242949957613337</v>
      </c>
      <c r="G355">
        <f t="shared" si="5"/>
        <v>5.6733497511086632</v>
      </c>
      <c r="H355">
        <v>0.40580189169109832</v>
      </c>
    </row>
    <row r="356" spans="1:8" x14ac:dyDescent="0.35">
      <c r="A356" t="s">
        <v>74</v>
      </c>
      <c r="B356" t="s">
        <v>51</v>
      </c>
      <c r="C356" t="s">
        <v>38</v>
      </c>
      <c r="D356">
        <v>2018</v>
      </c>
      <c r="E356">
        <v>3.9055452515839528</v>
      </c>
      <c r="F356">
        <v>7.4446874521163222</v>
      </c>
      <c r="G356">
        <f t="shared" si="5"/>
        <v>3.5391422005323694</v>
      </c>
      <c r="H356">
        <v>0.19086473467152659</v>
      </c>
    </row>
    <row r="357" spans="1:8" x14ac:dyDescent="0.35">
      <c r="A357" t="s">
        <v>74</v>
      </c>
      <c r="B357" t="s">
        <v>53</v>
      </c>
      <c r="C357" t="s">
        <v>38</v>
      </c>
      <c r="D357">
        <v>2018</v>
      </c>
      <c r="E357">
        <v>7.8117760082768486</v>
      </c>
      <c r="F357">
        <v>7.4446874521163222</v>
      </c>
      <c r="G357">
        <f t="shared" si="5"/>
        <v>-0.36708855616052638</v>
      </c>
      <c r="H357">
        <v>0.19086473467152659</v>
      </c>
    </row>
    <row r="358" spans="1:8" x14ac:dyDescent="0.35">
      <c r="A358" t="s">
        <v>74</v>
      </c>
      <c r="B358" t="s">
        <v>52</v>
      </c>
      <c r="C358" t="s">
        <v>40</v>
      </c>
      <c r="D358">
        <v>2018</v>
      </c>
      <c r="E358">
        <v>3.6432271266646499</v>
      </c>
      <c r="F358">
        <v>7.4446874521163222</v>
      </c>
      <c r="G358">
        <f t="shared" si="5"/>
        <v>3.8014603254516723</v>
      </c>
      <c r="H358">
        <v>0.19086473467152659</v>
      </c>
    </row>
    <row r="359" spans="1:8" x14ac:dyDescent="0.35">
      <c r="A359" t="s">
        <v>74</v>
      </c>
      <c r="B359" t="s">
        <v>54</v>
      </c>
      <c r="C359" t="s">
        <v>40</v>
      </c>
      <c r="D359">
        <v>2018</v>
      </c>
      <c r="E359">
        <v>5.6808928025538163</v>
      </c>
      <c r="F359">
        <v>7.4446874521163222</v>
      </c>
      <c r="G359">
        <f t="shared" si="5"/>
        <v>1.7637946495625059</v>
      </c>
      <c r="H359">
        <v>0.19086473467152659</v>
      </c>
    </row>
    <row r="360" spans="1:8" x14ac:dyDescent="0.35">
      <c r="A360" t="s">
        <v>74</v>
      </c>
      <c r="B360" t="s">
        <v>53</v>
      </c>
      <c r="C360" t="s">
        <v>38</v>
      </c>
      <c r="D360">
        <v>2019</v>
      </c>
      <c r="E360">
        <v>4.5299756937161373</v>
      </c>
      <c r="F360">
        <v>4.8237638263446936</v>
      </c>
      <c r="G360">
        <f t="shared" si="5"/>
        <v>0.2937881326285563</v>
      </c>
      <c r="H360">
        <v>0.26662936464636439</v>
      </c>
    </row>
    <row r="361" spans="1:8" x14ac:dyDescent="0.35">
      <c r="A361" t="s">
        <v>74</v>
      </c>
      <c r="B361" t="s">
        <v>55</v>
      </c>
      <c r="C361" t="s">
        <v>38</v>
      </c>
      <c r="D361">
        <v>2019</v>
      </c>
      <c r="E361">
        <v>5.6355935792373302</v>
      </c>
      <c r="F361">
        <v>4.8237638263446936</v>
      </c>
      <c r="G361">
        <f t="shared" si="5"/>
        <v>-0.81182975289263659</v>
      </c>
      <c r="H361">
        <v>0.26662936464636439</v>
      </c>
    </row>
    <row r="362" spans="1:8" x14ac:dyDescent="0.35">
      <c r="A362" t="s">
        <v>74</v>
      </c>
      <c r="B362" t="s">
        <v>54</v>
      </c>
      <c r="C362" t="s">
        <v>40</v>
      </c>
      <c r="D362">
        <v>2019</v>
      </c>
      <c r="E362">
        <v>4.058674421459818</v>
      </c>
      <c r="F362">
        <v>4.8237638263446936</v>
      </c>
      <c r="G362">
        <f t="shared" si="5"/>
        <v>0.76508940488487553</v>
      </c>
      <c r="H362">
        <v>0.26662936464636439</v>
      </c>
    </row>
    <row r="363" spans="1:8" x14ac:dyDescent="0.35">
      <c r="A363" t="s">
        <v>74</v>
      </c>
      <c r="B363" t="s">
        <v>56</v>
      </c>
      <c r="C363" t="s">
        <v>40</v>
      </c>
      <c r="D363">
        <v>2019</v>
      </c>
      <c r="E363">
        <v>3.759569376747196</v>
      </c>
      <c r="F363">
        <v>4.8237638263446936</v>
      </c>
      <c r="G363">
        <f t="shared" si="5"/>
        <v>1.0641944495974975</v>
      </c>
      <c r="H363">
        <v>0.26662936464636439</v>
      </c>
    </row>
    <row r="364" spans="1:8" x14ac:dyDescent="0.35">
      <c r="A364" t="s">
        <v>74</v>
      </c>
      <c r="B364" t="s">
        <v>55</v>
      </c>
      <c r="C364" t="s">
        <v>38</v>
      </c>
      <c r="D364">
        <v>2020</v>
      </c>
      <c r="E364">
        <v>3.528571869780794</v>
      </c>
      <c r="F364">
        <v>6.9863814303713827</v>
      </c>
      <c r="G364">
        <f t="shared" si="5"/>
        <v>3.4578095605905887</v>
      </c>
      <c r="H364">
        <v>0.3780372329247822</v>
      </c>
    </row>
    <row r="365" spans="1:8" x14ac:dyDescent="0.35">
      <c r="A365" t="s">
        <v>74</v>
      </c>
      <c r="B365" t="s">
        <v>57</v>
      </c>
      <c r="C365" t="s">
        <v>38</v>
      </c>
      <c r="D365">
        <v>2020</v>
      </c>
      <c r="E365">
        <v>-2.3373996171914708</v>
      </c>
      <c r="F365">
        <v>6.9863814303713827</v>
      </c>
      <c r="G365">
        <f t="shared" si="5"/>
        <v>9.3237810475628535</v>
      </c>
      <c r="H365">
        <v>0.3780372329247822</v>
      </c>
    </row>
    <row r="366" spans="1:8" x14ac:dyDescent="0.35">
      <c r="A366" t="s">
        <v>74</v>
      </c>
      <c r="B366" t="s">
        <v>56</v>
      </c>
      <c r="C366" t="s">
        <v>40</v>
      </c>
      <c r="D366">
        <v>2020</v>
      </c>
      <c r="E366">
        <v>3.3676156234285992</v>
      </c>
      <c r="F366">
        <v>6.9863814303713827</v>
      </c>
      <c r="G366">
        <f t="shared" si="5"/>
        <v>3.6187658069427835</v>
      </c>
      <c r="H366">
        <v>0.3780372329247822</v>
      </c>
    </row>
    <row r="367" spans="1:8" x14ac:dyDescent="0.35">
      <c r="A367" t="s">
        <v>74</v>
      </c>
      <c r="B367" t="s">
        <v>58</v>
      </c>
      <c r="C367" t="s">
        <v>40</v>
      </c>
      <c r="D367">
        <v>2020</v>
      </c>
      <c r="E367">
        <v>-7.9470480138547073</v>
      </c>
      <c r="F367">
        <v>6.9863814303713827</v>
      </c>
      <c r="G367">
        <f t="shared" si="5"/>
        <v>14.933429444226089</v>
      </c>
      <c r="H367">
        <v>0.3780372329247822</v>
      </c>
    </row>
    <row r="368" spans="1:8" x14ac:dyDescent="0.35">
      <c r="A368" t="s">
        <v>74</v>
      </c>
      <c r="B368" t="s">
        <v>57</v>
      </c>
      <c r="C368" t="s">
        <v>38</v>
      </c>
      <c r="D368">
        <v>2021</v>
      </c>
      <c r="E368">
        <v>2.947813244873676</v>
      </c>
      <c r="F368">
        <v>15.1246997065809</v>
      </c>
      <c r="G368">
        <f t="shared" si="5"/>
        <v>12.176886461707223</v>
      </c>
      <c r="H368">
        <v>0.19515385353486889</v>
      </c>
    </row>
    <row r="369" spans="1:8" x14ac:dyDescent="0.35">
      <c r="A369" t="s">
        <v>74</v>
      </c>
      <c r="B369" t="s">
        <v>59</v>
      </c>
      <c r="C369" t="s">
        <v>38</v>
      </c>
      <c r="D369">
        <v>2021</v>
      </c>
      <c r="E369">
        <v>14.562981111404421</v>
      </c>
      <c r="F369">
        <v>15.1246997065809</v>
      </c>
      <c r="G369">
        <f t="shared" si="5"/>
        <v>0.5617185951764796</v>
      </c>
      <c r="H369">
        <v>0.19515385353486889</v>
      </c>
    </row>
    <row r="370" spans="1:8" x14ac:dyDescent="0.35">
      <c r="A370" t="s">
        <v>74</v>
      </c>
      <c r="B370" t="s">
        <v>58</v>
      </c>
      <c r="C370" t="s">
        <v>40</v>
      </c>
      <c r="D370">
        <v>2021</v>
      </c>
      <c r="E370">
        <v>6.0844415228506374</v>
      </c>
      <c r="F370">
        <v>15.1246997065809</v>
      </c>
      <c r="G370">
        <f t="shared" si="5"/>
        <v>9.0402581837302627</v>
      </c>
      <c r="H370">
        <v>0.19515385353486889</v>
      </c>
    </row>
    <row r="371" spans="1:8" x14ac:dyDescent="0.35">
      <c r="A371" t="s">
        <v>74</v>
      </c>
      <c r="B371" t="s">
        <v>60</v>
      </c>
      <c r="C371" t="s">
        <v>40</v>
      </c>
      <c r="D371">
        <v>2021</v>
      </c>
      <c r="E371">
        <v>4.5993257541988797</v>
      </c>
      <c r="F371">
        <v>15.1246997065809</v>
      </c>
      <c r="G371">
        <f t="shared" si="5"/>
        <v>10.52537395238202</v>
      </c>
      <c r="H371">
        <v>0.19515385353486889</v>
      </c>
    </row>
    <row r="372" spans="1:8" x14ac:dyDescent="0.35">
      <c r="A372" t="s">
        <v>74</v>
      </c>
      <c r="B372" t="s">
        <v>59</v>
      </c>
      <c r="C372" t="s">
        <v>38</v>
      </c>
      <c r="D372">
        <v>2022</v>
      </c>
      <c r="E372">
        <v>5.0918722980731523</v>
      </c>
      <c r="F372">
        <v>7.9894443369245964</v>
      </c>
      <c r="G372">
        <f t="shared" si="5"/>
        <v>2.8975720388514441</v>
      </c>
      <c r="H372">
        <v>0.25178245429196833</v>
      </c>
    </row>
    <row r="373" spans="1:8" x14ac:dyDescent="0.35">
      <c r="A373" t="s">
        <v>74</v>
      </c>
      <c r="B373" t="s">
        <v>61</v>
      </c>
      <c r="C373" t="s">
        <v>38</v>
      </c>
      <c r="D373">
        <v>2022</v>
      </c>
      <c r="E373">
        <v>7.8710837662645083</v>
      </c>
      <c r="F373">
        <v>7.9894443369245964</v>
      </c>
      <c r="G373">
        <f t="shared" si="5"/>
        <v>0.11836057066008809</v>
      </c>
      <c r="H373">
        <v>0.25178245429196833</v>
      </c>
    </row>
    <row r="374" spans="1:8" x14ac:dyDescent="0.35">
      <c r="A374" t="s">
        <v>74</v>
      </c>
      <c r="B374" t="s">
        <v>60</v>
      </c>
      <c r="C374" t="s">
        <v>40</v>
      </c>
      <c r="D374">
        <v>2022</v>
      </c>
      <c r="E374">
        <v>4.9759868399277041</v>
      </c>
      <c r="F374">
        <v>7.9894443369245964</v>
      </c>
      <c r="G374">
        <f t="shared" si="5"/>
        <v>3.0134574969968924</v>
      </c>
      <c r="H374">
        <v>0.25178245429196833</v>
      </c>
    </row>
    <row r="375" spans="1:8" x14ac:dyDescent="0.35">
      <c r="A375" t="s">
        <v>74</v>
      </c>
      <c r="B375" t="s">
        <v>62</v>
      </c>
      <c r="C375" t="s">
        <v>40</v>
      </c>
      <c r="D375">
        <v>2022</v>
      </c>
      <c r="E375">
        <v>5.3816861962496354</v>
      </c>
      <c r="F375">
        <v>7.9894443369245964</v>
      </c>
      <c r="G375">
        <f t="shared" si="5"/>
        <v>2.607758140674961</v>
      </c>
      <c r="H375">
        <v>0.25178245429196833</v>
      </c>
    </row>
    <row r="376" spans="1:8" x14ac:dyDescent="0.35">
      <c r="A376" t="s">
        <v>74</v>
      </c>
      <c r="B376" t="s">
        <v>61</v>
      </c>
      <c r="C376" t="s">
        <v>38</v>
      </c>
      <c r="D376">
        <v>2023</v>
      </c>
      <c r="E376">
        <v>3.172255506856847</v>
      </c>
      <c r="F376">
        <v>-3.5205103013764418</v>
      </c>
      <c r="G376">
        <f t="shared" si="5"/>
        <v>-6.6927658082332888</v>
      </c>
      <c r="H376">
        <v>0.19374804262614681</v>
      </c>
    </row>
    <row r="377" spans="1:8" x14ac:dyDescent="0.35">
      <c r="A377" t="s">
        <v>74</v>
      </c>
      <c r="B377" t="s">
        <v>63</v>
      </c>
      <c r="C377" t="s">
        <v>38</v>
      </c>
      <c r="D377">
        <v>2023</v>
      </c>
      <c r="E377">
        <v>-0.93495600507882415</v>
      </c>
      <c r="F377">
        <v>-3.5205103013764418</v>
      </c>
      <c r="G377">
        <f t="shared" si="5"/>
        <v>-2.5855542962976177</v>
      </c>
      <c r="H377">
        <v>0.19374804262614681</v>
      </c>
    </row>
    <row r="378" spans="1:8" x14ac:dyDescent="0.35">
      <c r="A378" t="s">
        <v>74</v>
      </c>
      <c r="B378" t="s">
        <v>62</v>
      </c>
      <c r="C378" t="s">
        <v>40</v>
      </c>
      <c r="D378">
        <v>2023</v>
      </c>
      <c r="E378">
        <v>4.4348314017168322</v>
      </c>
      <c r="F378">
        <v>-3.5205103013764418</v>
      </c>
      <c r="G378">
        <f t="shared" si="5"/>
        <v>-7.955341703093274</v>
      </c>
      <c r="H378">
        <v>0.19374804262614681</v>
      </c>
    </row>
    <row r="379" spans="1:8" x14ac:dyDescent="0.35">
      <c r="A379" t="s">
        <v>74</v>
      </c>
      <c r="B379" t="s">
        <v>64</v>
      </c>
      <c r="C379" t="s">
        <v>40</v>
      </c>
      <c r="D379">
        <v>2023</v>
      </c>
      <c r="E379">
        <v>5.5170730455133654</v>
      </c>
      <c r="F379">
        <v>-3.5205103013764418</v>
      </c>
      <c r="G379">
        <f t="shared" si="5"/>
        <v>-9.0375833468898072</v>
      </c>
      <c r="H379">
        <v>0.19374804262614681</v>
      </c>
    </row>
    <row r="380" spans="1:8" x14ac:dyDescent="0.35">
      <c r="A380" t="s">
        <v>74</v>
      </c>
      <c r="B380" t="s">
        <v>63</v>
      </c>
      <c r="C380" t="s">
        <v>38</v>
      </c>
      <c r="D380">
        <v>2024</v>
      </c>
      <c r="E380">
        <v>3.0440640134462789</v>
      </c>
      <c r="F380">
        <v>3.6203795629134459</v>
      </c>
      <c r="G380">
        <f t="shared" si="5"/>
        <v>0.57631554946716701</v>
      </c>
      <c r="H380">
        <v>9.6012028645875991E-2</v>
      </c>
    </row>
    <row r="381" spans="1:8" x14ac:dyDescent="0.35">
      <c r="A381" t="s">
        <v>74</v>
      </c>
      <c r="B381" t="s">
        <v>65</v>
      </c>
      <c r="C381" t="s">
        <v>38</v>
      </c>
      <c r="D381">
        <v>2024</v>
      </c>
      <c r="E381">
        <v>-0.54062635287741578</v>
      </c>
      <c r="F381">
        <v>3.6203795629134459</v>
      </c>
      <c r="G381">
        <f t="shared" si="5"/>
        <v>4.1610059157908612</v>
      </c>
      <c r="H381">
        <v>9.6012028645875991E-2</v>
      </c>
    </row>
    <row r="382" spans="1:8" x14ac:dyDescent="0.35">
      <c r="A382" t="s">
        <v>74</v>
      </c>
      <c r="B382" t="s">
        <v>64</v>
      </c>
      <c r="C382" t="s">
        <v>40</v>
      </c>
      <c r="D382">
        <v>2024</v>
      </c>
      <c r="E382">
        <v>4.9679452562146009</v>
      </c>
      <c r="F382">
        <v>3.6203795629134459</v>
      </c>
      <c r="G382">
        <f t="shared" si="5"/>
        <v>-1.3475656933011551</v>
      </c>
      <c r="H382">
        <v>9.6012028645875991E-2</v>
      </c>
    </row>
    <row r="383" spans="1:8" x14ac:dyDescent="0.35">
      <c r="A383" t="s">
        <v>74</v>
      </c>
      <c r="B383" t="s">
        <v>66</v>
      </c>
      <c r="C383" t="s">
        <v>40</v>
      </c>
      <c r="D383">
        <v>2024</v>
      </c>
      <c r="E383">
        <v>1.2437124663212009</v>
      </c>
      <c r="F383">
        <v>3.6203795629134459</v>
      </c>
      <c r="G383">
        <f t="shared" si="5"/>
        <v>2.3766670965922447</v>
      </c>
      <c r="H383">
        <v>9.6012028645875991E-2</v>
      </c>
    </row>
    <row r="384" spans="1:8" x14ac:dyDescent="0.35">
      <c r="A384" t="s">
        <v>75</v>
      </c>
      <c r="B384" t="s">
        <v>37</v>
      </c>
      <c r="C384" t="s">
        <v>38</v>
      </c>
      <c r="D384">
        <v>2011</v>
      </c>
      <c r="E384">
        <v>0.53999066387708794</v>
      </c>
      <c r="F384">
        <v>0.85331162783846093</v>
      </c>
      <c r="G384">
        <f t="shared" si="5"/>
        <v>0.31332096396137299</v>
      </c>
      <c r="H384">
        <v>0.112869766400161</v>
      </c>
    </row>
    <row r="385" spans="1:8" x14ac:dyDescent="0.35">
      <c r="A385" t="s">
        <v>75</v>
      </c>
      <c r="B385" t="s">
        <v>39</v>
      </c>
      <c r="C385" t="s">
        <v>40</v>
      </c>
      <c r="D385">
        <v>2011</v>
      </c>
      <c r="E385">
        <v>0.95974398092302238</v>
      </c>
      <c r="F385">
        <v>0.85331162783846093</v>
      </c>
      <c r="G385">
        <f t="shared" si="5"/>
        <v>-0.10643235308456145</v>
      </c>
      <c r="H385">
        <v>0.112869766400161</v>
      </c>
    </row>
    <row r="386" spans="1:8" x14ac:dyDescent="0.35">
      <c r="A386" t="s">
        <v>75</v>
      </c>
      <c r="B386" t="s">
        <v>37</v>
      </c>
      <c r="C386" t="s">
        <v>38</v>
      </c>
      <c r="D386">
        <v>2012</v>
      </c>
      <c r="E386">
        <v>5.7128352794499897E-2</v>
      </c>
      <c r="F386">
        <v>-3.2265545234223771</v>
      </c>
      <c r="G386">
        <f t="shared" ref="G386:G449" si="6">IF(OR(F386="",E386=""),"",F386-E386)</f>
        <v>-3.283682876216877</v>
      </c>
      <c r="H386">
        <v>0.12475169707490461</v>
      </c>
    </row>
    <row r="387" spans="1:8" x14ac:dyDescent="0.35">
      <c r="A387" t="s">
        <v>75</v>
      </c>
      <c r="B387" t="s">
        <v>41</v>
      </c>
      <c r="C387" t="s">
        <v>38</v>
      </c>
      <c r="D387">
        <v>2012</v>
      </c>
      <c r="E387">
        <v>-2.2867991965167418</v>
      </c>
      <c r="F387">
        <v>-3.2265545234223771</v>
      </c>
      <c r="G387">
        <f t="shared" si="6"/>
        <v>-0.93975532690563535</v>
      </c>
      <c r="H387">
        <v>0.12475169707490461</v>
      </c>
    </row>
    <row r="388" spans="1:8" x14ac:dyDescent="0.35">
      <c r="A388" t="s">
        <v>75</v>
      </c>
      <c r="B388" t="s">
        <v>39</v>
      </c>
      <c r="C388" t="s">
        <v>40</v>
      </c>
      <c r="D388">
        <v>2012</v>
      </c>
      <c r="E388">
        <v>1.314970893331791</v>
      </c>
      <c r="F388">
        <v>-3.2265545234223771</v>
      </c>
      <c r="G388">
        <f t="shared" si="6"/>
        <v>-4.5415254167541681</v>
      </c>
      <c r="H388">
        <v>0.12475169707490461</v>
      </c>
    </row>
    <row r="389" spans="1:8" x14ac:dyDescent="0.35">
      <c r="A389" t="s">
        <v>75</v>
      </c>
      <c r="B389" t="s">
        <v>42</v>
      </c>
      <c r="C389" t="s">
        <v>40</v>
      </c>
      <c r="D389">
        <v>2012</v>
      </c>
      <c r="E389">
        <v>-1.4066091621440899</v>
      </c>
      <c r="F389">
        <v>-3.2265545234223771</v>
      </c>
      <c r="G389">
        <f t="shared" si="6"/>
        <v>-1.8199453612782872</v>
      </c>
      <c r="H389">
        <v>0.12475169707490461</v>
      </c>
    </row>
    <row r="390" spans="1:8" x14ac:dyDescent="0.35">
      <c r="A390" t="s">
        <v>75</v>
      </c>
      <c r="B390" t="s">
        <v>41</v>
      </c>
      <c r="C390" t="s">
        <v>38</v>
      </c>
      <c r="D390">
        <v>2013</v>
      </c>
      <c r="E390">
        <v>-0.54027205249544963</v>
      </c>
      <c r="F390">
        <v>-1.843520911707673</v>
      </c>
      <c r="G390">
        <f t="shared" si="6"/>
        <v>-1.3032488592122233</v>
      </c>
      <c r="H390">
        <v>0.13192991082085431</v>
      </c>
    </row>
    <row r="391" spans="1:8" x14ac:dyDescent="0.35">
      <c r="A391" t="s">
        <v>75</v>
      </c>
      <c r="B391" t="s">
        <v>43</v>
      </c>
      <c r="C391" t="s">
        <v>38</v>
      </c>
      <c r="D391">
        <v>2013</v>
      </c>
      <c r="E391">
        <v>-1.8298929550776939</v>
      </c>
      <c r="F391">
        <v>-1.843520911707673</v>
      </c>
      <c r="G391">
        <f t="shared" si="6"/>
        <v>-1.3627956629979066E-2</v>
      </c>
      <c r="H391">
        <v>0.13192991082085431</v>
      </c>
    </row>
    <row r="392" spans="1:8" x14ac:dyDescent="0.35">
      <c r="A392" t="s">
        <v>75</v>
      </c>
      <c r="B392" t="s">
        <v>42</v>
      </c>
      <c r="C392" t="s">
        <v>40</v>
      </c>
      <c r="D392">
        <v>2013</v>
      </c>
      <c r="E392">
        <v>0.44387559815419753</v>
      </c>
      <c r="F392">
        <v>-1.843520911707673</v>
      </c>
      <c r="G392">
        <f t="shared" si="6"/>
        <v>-2.2873965098618703</v>
      </c>
      <c r="H392">
        <v>0.13192991082085431</v>
      </c>
    </row>
    <row r="393" spans="1:8" x14ac:dyDescent="0.35">
      <c r="A393" t="s">
        <v>75</v>
      </c>
      <c r="B393" t="s">
        <v>44</v>
      </c>
      <c r="C393" t="s">
        <v>40</v>
      </c>
      <c r="D393">
        <v>2013</v>
      </c>
      <c r="E393">
        <v>-1.3409854181595351</v>
      </c>
      <c r="F393">
        <v>-1.843520911707673</v>
      </c>
      <c r="G393">
        <f t="shared" si="6"/>
        <v>-0.50253549354813787</v>
      </c>
      <c r="H393">
        <v>0.13192991082085431</v>
      </c>
    </row>
    <row r="394" spans="1:8" x14ac:dyDescent="0.35">
      <c r="A394" t="s">
        <v>75</v>
      </c>
      <c r="B394" t="s">
        <v>43</v>
      </c>
      <c r="C394" t="s">
        <v>38</v>
      </c>
      <c r="D394">
        <v>2014</v>
      </c>
      <c r="E394">
        <v>0.71082592354936303</v>
      </c>
      <c r="F394">
        <v>7.5233947391528819E-2</v>
      </c>
      <c r="G394">
        <f t="shared" si="6"/>
        <v>-0.63559197615783425</v>
      </c>
      <c r="H394">
        <v>0.14276659834860511</v>
      </c>
    </row>
    <row r="395" spans="1:8" x14ac:dyDescent="0.35">
      <c r="A395" t="s">
        <v>75</v>
      </c>
      <c r="B395" t="s">
        <v>45</v>
      </c>
      <c r="C395" t="s">
        <v>38</v>
      </c>
      <c r="D395">
        <v>2014</v>
      </c>
      <c r="E395">
        <v>-0.39461096681301377</v>
      </c>
      <c r="F395">
        <v>7.5233947391528819E-2</v>
      </c>
      <c r="G395">
        <f t="shared" si="6"/>
        <v>0.46984491420454261</v>
      </c>
      <c r="H395">
        <v>0.14276659834860511</v>
      </c>
    </row>
    <row r="396" spans="1:8" x14ac:dyDescent="0.35">
      <c r="A396" t="s">
        <v>75</v>
      </c>
      <c r="B396" t="s">
        <v>44</v>
      </c>
      <c r="C396" t="s">
        <v>40</v>
      </c>
      <c r="D396">
        <v>2014</v>
      </c>
      <c r="E396">
        <v>0.71763548551055933</v>
      </c>
      <c r="F396">
        <v>7.5233947391528819E-2</v>
      </c>
      <c r="G396">
        <f t="shared" si="6"/>
        <v>-0.64240153811903056</v>
      </c>
      <c r="H396">
        <v>0.14276659834860511</v>
      </c>
    </row>
    <row r="397" spans="1:8" x14ac:dyDescent="0.35">
      <c r="A397" t="s">
        <v>75</v>
      </c>
      <c r="B397" t="s">
        <v>46</v>
      </c>
      <c r="C397" t="s">
        <v>40</v>
      </c>
      <c r="D397">
        <v>2014</v>
      </c>
      <c r="E397">
        <v>0.57096731898795827</v>
      </c>
      <c r="F397">
        <v>7.5233947391528819E-2</v>
      </c>
      <c r="G397">
        <f t="shared" si="6"/>
        <v>-0.49573337159642944</v>
      </c>
      <c r="H397">
        <v>0.14276659834860511</v>
      </c>
    </row>
    <row r="398" spans="1:8" x14ac:dyDescent="0.35">
      <c r="A398" t="s">
        <v>75</v>
      </c>
      <c r="B398" t="s">
        <v>45</v>
      </c>
      <c r="C398" t="s">
        <v>38</v>
      </c>
      <c r="D398">
        <v>2015</v>
      </c>
      <c r="E398">
        <v>0.62872973894907425</v>
      </c>
      <c r="F398">
        <v>0.74285153390220071</v>
      </c>
      <c r="G398">
        <f t="shared" si="6"/>
        <v>0.11412179495312647</v>
      </c>
      <c r="H398">
        <v>0.14846969286853959</v>
      </c>
    </row>
    <row r="399" spans="1:8" x14ac:dyDescent="0.35">
      <c r="A399" t="s">
        <v>75</v>
      </c>
      <c r="B399" t="s">
        <v>47</v>
      </c>
      <c r="C399" t="s">
        <v>38</v>
      </c>
      <c r="D399">
        <v>2015</v>
      </c>
      <c r="E399">
        <v>0.86665350989461043</v>
      </c>
      <c r="F399">
        <v>0.74285153390220071</v>
      </c>
      <c r="G399">
        <f t="shared" si="6"/>
        <v>-0.12380197599240972</v>
      </c>
      <c r="H399">
        <v>0.14846969286853959</v>
      </c>
    </row>
    <row r="400" spans="1:8" x14ac:dyDescent="0.35">
      <c r="A400" t="s">
        <v>75</v>
      </c>
      <c r="B400" t="s">
        <v>46</v>
      </c>
      <c r="C400" t="s">
        <v>40</v>
      </c>
      <c r="D400">
        <v>2015</v>
      </c>
      <c r="E400">
        <v>1.229987574853153</v>
      </c>
      <c r="F400">
        <v>0.74285153390220071</v>
      </c>
      <c r="G400">
        <f t="shared" si="6"/>
        <v>-0.48713604095095231</v>
      </c>
      <c r="H400">
        <v>0.14846969286853959</v>
      </c>
    </row>
    <row r="401" spans="1:8" x14ac:dyDescent="0.35">
      <c r="A401" t="s">
        <v>75</v>
      </c>
      <c r="B401" t="s">
        <v>48</v>
      </c>
      <c r="C401" t="s">
        <v>40</v>
      </c>
      <c r="D401">
        <v>2015</v>
      </c>
      <c r="E401">
        <v>0.6068597463795955</v>
      </c>
      <c r="F401">
        <v>0.74285153390220071</v>
      </c>
      <c r="G401">
        <f t="shared" si="6"/>
        <v>0.13599178752260521</v>
      </c>
      <c r="H401">
        <v>0.14846969286853959</v>
      </c>
    </row>
    <row r="402" spans="1:8" x14ac:dyDescent="0.35">
      <c r="A402" t="s">
        <v>75</v>
      </c>
      <c r="B402" t="s">
        <v>47</v>
      </c>
      <c r="C402" t="s">
        <v>38</v>
      </c>
      <c r="D402">
        <v>2016</v>
      </c>
      <c r="E402">
        <v>1.4512761867371271</v>
      </c>
      <c r="F402">
        <v>1.34543552139666</v>
      </c>
      <c r="G402">
        <f t="shared" si="6"/>
        <v>-0.1058406653404671</v>
      </c>
      <c r="H402">
        <v>0.150135604120086</v>
      </c>
    </row>
    <row r="403" spans="1:8" x14ac:dyDescent="0.35">
      <c r="A403" t="s">
        <v>75</v>
      </c>
      <c r="B403" t="s">
        <v>49</v>
      </c>
      <c r="C403" t="s">
        <v>38</v>
      </c>
      <c r="D403">
        <v>2016</v>
      </c>
      <c r="E403">
        <v>0.70784283945437565</v>
      </c>
      <c r="F403">
        <v>1.34543552139666</v>
      </c>
      <c r="G403">
        <f t="shared" si="6"/>
        <v>0.63759268194228436</v>
      </c>
      <c r="H403">
        <v>0.150135604120086</v>
      </c>
    </row>
    <row r="404" spans="1:8" x14ac:dyDescent="0.35">
      <c r="A404" t="s">
        <v>75</v>
      </c>
      <c r="B404" t="s">
        <v>48</v>
      </c>
      <c r="C404" t="s">
        <v>40</v>
      </c>
      <c r="D404">
        <v>2016</v>
      </c>
      <c r="E404">
        <v>1.4109778499366681</v>
      </c>
      <c r="F404">
        <v>1.34543552139666</v>
      </c>
      <c r="G404">
        <f t="shared" si="6"/>
        <v>-6.5542328540008077E-2</v>
      </c>
      <c r="H404">
        <v>0.150135604120086</v>
      </c>
    </row>
    <row r="405" spans="1:8" x14ac:dyDescent="0.35">
      <c r="A405" t="s">
        <v>75</v>
      </c>
      <c r="B405" t="s">
        <v>50</v>
      </c>
      <c r="C405" t="s">
        <v>40</v>
      </c>
      <c r="D405">
        <v>2016</v>
      </c>
      <c r="E405">
        <v>1.090462780977397</v>
      </c>
      <c r="F405">
        <v>1.34543552139666</v>
      </c>
      <c r="G405">
        <f t="shared" si="6"/>
        <v>0.25497274041926299</v>
      </c>
      <c r="H405">
        <v>0.150135604120086</v>
      </c>
    </row>
    <row r="406" spans="1:8" x14ac:dyDescent="0.35">
      <c r="A406" t="s">
        <v>75</v>
      </c>
      <c r="B406" t="s">
        <v>49</v>
      </c>
      <c r="C406" t="s">
        <v>38</v>
      </c>
      <c r="D406">
        <v>2017</v>
      </c>
      <c r="E406">
        <v>0.90288361690229468</v>
      </c>
      <c r="F406">
        <v>1.6777714333363121</v>
      </c>
      <c r="G406">
        <f t="shared" si="6"/>
        <v>0.77488781643401738</v>
      </c>
      <c r="H406">
        <v>0.14949041730184481</v>
      </c>
    </row>
    <row r="407" spans="1:8" x14ac:dyDescent="0.35">
      <c r="A407" t="s">
        <v>75</v>
      </c>
      <c r="B407" t="s">
        <v>51</v>
      </c>
      <c r="C407" t="s">
        <v>38</v>
      </c>
      <c r="D407">
        <v>2017</v>
      </c>
      <c r="E407">
        <v>1.454734323287576</v>
      </c>
      <c r="F407">
        <v>1.6777714333363121</v>
      </c>
      <c r="G407">
        <f t="shared" si="6"/>
        <v>0.22303711004873605</v>
      </c>
      <c r="H407">
        <v>0.14949041730184481</v>
      </c>
    </row>
    <row r="408" spans="1:8" x14ac:dyDescent="0.35">
      <c r="A408" t="s">
        <v>75</v>
      </c>
      <c r="B408" t="s">
        <v>50</v>
      </c>
      <c r="C408" t="s">
        <v>40</v>
      </c>
      <c r="D408">
        <v>2017</v>
      </c>
      <c r="E408">
        <v>1.33546021526687</v>
      </c>
      <c r="F408">
        <v>1.6777714333363121</v>
      </c>
      <c r="G408">
        <f t="shared" si="6"/>
        <v>0.34231121806944209</v>
      </c>
      <c r="H408">
        <v>0.14949041730184481</v>
      </c>
    </row>
    <row r="409" spans="1:8" x14ac:dyDescent="0.35">
      <c r="A409" t="s">
        <v>75</v>
      </c>
      <c r="B409" t="s">
        <v>52</v>
      </c>
      <c r="C409" t="s">
        <v>40</v>
      </c>
      <c r="D409">
        <v>2017</v>
      </c>
      <c r="E409">
        <v>0.92886361941262319</v>
      </c>
      <c r="F409">
        <v>1.6777714333363121</v>
      </c>
      <c r="G409">
        <f t="shared" si="6"/>
        <v>0.74890781392368888</v>
      </c>
      <c r="H409">
        <v>0.14949041730184481</v>
      </c>
    </row>
    <row r="410" spans="1:8" x14ac:dyDescent="0.35">
      <c r="A410" t="s">
        <v>75</v>
      </c>
      <c r="B410" t="s">
        <v>51</v>
      </c>
      <c r="C410" t="s">
        <v>38</v>
      </c>
      <c r="D410">
        <v>2018</v>
      </c>
      <c r="E410">
        <v>1.301033595779133</v>
      </c>
      <c r="F410">
        <v>0.67915616097696463</v>
      </c>
      <c r="G410">
        <f t="shared" si="6"/>
        <v>-0.62187743480216839</v>
      </c>
      <c r="H410">
        <v>0.1458968049432269</v>
      </c>
    </row>
    <row r="411" spans="1:8" x14ac:dyDescent="0.35">
      <c r="A411" t="s">
        <v>75</v>
      </c>
      <c r="B411" t="s">
        <v>53</v>
      </c>
      <c r="C411" t="s">
        <v>38</v>
      </c>
      <c r="D411">
        <v>2018</v>
      </c>
      <c r="E411">
        <v>1.148974792689472</v>
      </c>
      <c r="F411">
        <v>0.67915616097696463</v>
      </c>
      <c r="G411">
        <f t="shared" si="6"/>
        <v>-0.46981863171250737</v>
      </c>
      <c r="H411">
        <v>0.1458968049432269</v>
      </c>
    </row>
    <row r="412" spans="1:8" x14ac:dyDescent="0.35">
      <c r="A412" t="s">
        <v>75</v>
      </c>
      <c r="B412" t="s">
        <v>52</v>
      </c>
      <c r="C412" t="s">
        <v>40</v>
      </c>
      <c r="D412">
        <v>2018</v>
      </c>
      <c r="E412">
        <v>1.1322194305175119</v>
      </c>
      <c r="F412">
        <v>0.67915616097696463</v>
      </c>
      <c r="G412">
        <f t="shared" si="6"/>
        <v>-0.45306326954054732</v>
      </c>
      <c r="H412">
        <v>0.1458968049432269</v>
      </c>
    </row>
    <row r="413" spans="1:8" x14ac:dyDescent="0.35">
      <c r="A413" t="s">
        <v>75</v>
      </c>
      <c r="B413" t="s">
        <v>54</v>
      </c>
      <c r="C413" t="s">
        <v>40</v>
      </c>
      <c r="D413">
        <v>2018</v>
      </c>
      <c r="E413">
        <v>1.453547985332837</v>
      </c>
      <c r="F413">
        <v>0.67915616097696463</v>
      </c>
      <c r="G413">
        <f t="shared" si="6"/>
        <v>-0.77439182435587239</v>
      </c>
      <c r="H413">
        <v>0.1458968049432269</v>
      </c>
    </row>
    <row r="414" spans="1:8" x14ac:dyDescent="0.35">
      <c r="A414" t="s">
        <v>75</v>
      </c>
      <c r="B414" t="s">
        <v>53</v>
      </c>
      <c r="C414" t="s">
        <v>38</v>
      </c>
      <c r="D414">
        <v>2019</v>
      </c>
      <c r="E414">
        <v>1.1508168253350211</v>
      </c>
      <c r="F414">
        <v>0.41751152968335331</v>
      </c>
      <c r="G414">
        <f t="shared" si="6"/>
        <v>-0.73330529565166769</v>
      </c>
      <c r="H414">
        <v>0.14739048347028469</v>
      </c>
    </row>
    <row r="415" spans="1:8" x14ac:dyDescent="0.35">
      <c r="A415" t="s">
        <v>75</v>
      </c>
      <c r="B415" t="s">
        <v>55</v>
      </c>
      <c r="C415" t="s">
        <v>38</v>
      </c>
      <c r="D415">
        <v>2019</v>
      </c>
      <c r="E415">
        <v>0.1046834039854172</v>
      </c>
      <c r="F415">
        <v>0.41751152968335331</v>
      </c>
      <c r="G415">
        <f t="shared" si="6"/>
        <v>0.31282812569793611</v>
      </c>
      <c r="H415">
        <v>0.14739048347028469</v>
      </c>
    </row>
    <row r="416" spans="1:8" x14ac:dyDescent="0.35">
      <c r="A416" t="s">
        <v>75</v>
      </c>
      <c r="B416" t="s">
        <v>54</v>
      </c>
      <c r="C416" t="s">
        <v>40</v>
      </c>
      <c r="D416">
        <v>2019</v>
      </c>
      <c r="E416">
        <v>1.208894526316961</v>
      </c>
      <c r="F416">
        <v>0.41751152968335331</v>
      </c>
      <c r="G416">
        <f t="shared" si="6"/>
        <v>-0.79138299663360767</v>
      </c>
      <c r="H416">
        <v>0.14739048347028469</v>
      </c>
    </row>
    <row r="417" spans="1:8" x14ac:dyDescent="0.35">
      <c r="A417" t="s">
        <v>75</v>
      </c>
      <c r="B417" t="s">
        <v>56</v>
      </c>
      <c r="C417" t="s">
        <v>40</v>
      </c>
      <c r="D417">
        <v>2019</v>
      </c>
      <c r="E417">
        <v>0.1006276066420453</v>
      </c>
      <c r="F417">
        <v>0.41751152968335331</v>
      </c>
      <c r="G417">
        <f t="shared" si="6"/>
        <v>0.31688392304130802</v>
      </c>
      <c r="H417">
        <v>0.14739048347028469</v>
      </c>
    </row>
    <row r="418" spans="1:8" x14ac:dyDescent="0.35">
      <c r="A418" t="s">
        <v>75</v>
      </c>
      <c r="B418" t="s">
        <v>55</v>
      </c>
      <c r="C418" t="s">
        <v>38</v>
      </c>
      <c r="D418">
        <v>2020</v>
      </c>
      <c r="E418">
        <v>0.43236292909316631</v>
      </c>
      <c r="F418">
        <v>-9.3783767522421471</v>
      </c>
      <c r="G418">
        <f t="shared" si="6"/>
        <v>-9.8107396813353134</v>
      </c>
      <c r="H418">
        <v>0.15574566778244739</v>
      </c>
    </row>
    <row r="419" spans="1:8" x14ac:dyDescent="0.35">
      <c r="A419" t="s">
        <v>75</v>
      </c>
      <c r="B419" t="s">
        <v>57</v>
      </c>
      <c r="C419" t="s">
        <v>38</v>
      </c>
      <c r="D419">
        <v>2020</v>
      </c>
      <c r="E419">
        <v>-9.8515454699187543</v>
      </c>
      <c r="F419">
        <v>-9.3783767522421471</v>
      </c>
      <c r="G419">
        <f t="shared" si="6"/>
        <v>0.47316871767660729</v>
      </c>
      <c r="H419">
        <v>0.15574566778244739</v>
      </c>
    </row>
    <row r="420" spans="1:8" x14ac:dyDescent="0.35">
      <c r="A420" t="s">
        <v>75</v>
      </c>
      <c r="B420" t="s">
        <v>56</v>
      </c>
      <c r="C420" t="s">
        <v>40</v>
      </c>
      <c r="D420">
        <v>2020</v>
      </c>
      <c r="E420">
        <v>0.71178912334750599</v>
      </c>
      <c r="F420">
        <v>-9.3783767522421471</v>
      </c>
      <c r="G420">
        <f t="shared" si="6"/>
        <v>-10.090165875589653</v>
      </c>
      <c r="H420">
        <v>0.15574566778244739</v>
      </c>
    </row>
    <row r="421" spans="1:8" x14ac:dyDescent="0.35">
      <c r="A421" t="s">
        <v>75</v>
      </c>
      <c r="B421" t="s">
        <v>58</v>
      </c>
      <c r="C421" t="s">
        <v>40</v>
      </c>
      <c r="D421">
        <v>2020</v>
      </c>
      <c r="E421">
        <v>-9.517990850094149</v>
      </c>
      <c r="F421">
        <v>-9.3783767522421471</v>
      </c>
      <c r="G421">
        <f t="shared" si="6"/>
        <v>0.13961409785200196</v>
      </c>
      <c r="H421">
        <v>0.15574566778244739</v>
      </c>
    </row>
    <row r="422" spans="1:8" x14ac:dyDescent="0.35">
      <c r="A422" t="s">
        <v>75</v>
      </c>
      <c r="B422" t="s">
        <v>57</v>
      </c>
      <c r="C422" t="s">
        <v>38</v>
      </c>
      <c r="D422">
        <v>2021</v>
      </c>
      <c r="E422">
        <v>4.051033813756133</v>
      </c>
      <c r="F422">
        <v>8.4370671759064813</v>
      </c>
      <c r="G422">
        <f t="shared" si="6"/>
        <v>4.3860333621503482</v>
      </c>
      <c r="H422">
        <v>0.12785786405169189</v>
      </c>
    </row>
    <row r="423" spans="1:8" x14ac:dyDescent="0.35">
      <c r="A423" t="s">
        <v>75</v>
      </c>
      <c r="B423" t="s">
        <v>59</v>
      </c>
      <c r="C423" t="s">
        <v>38</v>
      </c>
      <c r="D423">
        <v>2021</v>
      </c>
      <c r="E423">
        <v>6.2292733128945343</v>
      </c>
      <c r="F423">
        <v>8.4370671759064813</v>
      </c>
      <c r="G423">
        <f t="shared" si="6"/>
        <v>2.2077938630119469</v>
      </c>
      <c r="H423">
        <v>0.12785786405169189</v>
      </c>
    </row>
    <row r="424" spans="1:8" x14ac:dyDescent="0.35">
      <c r="A424" t="s">
        <v>75</v>
      </c>
      <c r="B424" t="s">
        <v>58</v>
      </c>
      <c r="C424" t="s">
        <v>40</v>
      </c>
      <c r="D424">
        <v>2021</v>
      </c>
      <c r="E424">
        <v>6.5496569028856699</v>
      </c>
      <c r="F424">
        <v>8.4370671759064813</v>
      </c>
      <c r="G424">
        <f t="shared" si="6"/>
        <v>1.8874102730208113</v>
      </c>
      <c r="H424">
        <v>0.12785786405169189</v>
      </c>
    </row>
    <row r="425" spans="1:8" x14ac:dyDescent="0.35">
      <c r="A425" t="s">
        <v>75</v>
      </c>
      <c r="B425" t="s">
        <v>60</v>
      </c>
      <c r="C425" t="s">
        <v>40</v>
      </c>
      <c r="D425">
        <v>2021</v>
      </c>
      <c r="E425">
        <v>4.2068723885489323</v>
      </c>
      <c r="F425">
        <v>8.4370671759064813</v>
      </c>
      <c r="G425">
        <f t="shared" si="6"/>
        <v>4.2301947873575489</v>
      </c>
      <c r="H425">
        <v>0.12785786405169189</v>
      </c>
    </row>
    <row r="426" spans="1:8" x14ac:dyDescent="0.35">
      <c r="A426" t="s">
        <v>75</v>
      </c>
      <c r="B426" t="s">
        <v>59</v>
      </c>
      <c r="C426" t="s">
        <v>38</v>
      </c>
      <c r="D426">
        <v>2022</v>
      </c>
      <c r="E426">
        <v>4.2689191687874661</v>
      </c>
      <c r="F426">
        <v>4.8546134866977511</v>
      </c>
      <c r="G426">
        <f t="shared" si="6"/>
        <v>0.58569431791028492</v>
      </c>
      <c r="H426">
        <v>0.12232868683850651</v>
      </c>
    </row>
    <row r="427" spans="1:8" x14ac:dyDescent="0.35">
      <c r="A427" t="s">
        <v>75</v>
      </c>
      <c r="B427" t="s">
        <v>61</v>
      </c>
      <c r="C427" t="s">
        <v>38</v>
      </c>
      <c r="D427">
        <v>2022</v>
      </c>
      <c r="E427">
        <v>3.8268920279536989</v>
      </c>
      <c r="F427">
        <v>4.8546134866977511</v>
      </c>
      <c r="G427">
        <f t="shared" si="6"/>
        <v>1.0277214587440522</v>
      </c>
      <c r="H427">
        <v>0.12232868683850651</v>
      </c>
    </row>
    <row r="428" spans="1:8" x14ac:dyDescent="0.35">
      <c r="A428" t="s">
        <v>75</v>
      </c>
      <c r="B428" t="s">
        <v>60</v>
      </c>
      <c r="C428" t="s">
        <v>40</v>
      </c>
      <c r="D428">
        <v>2022</v>
      </c>
      <c r="E428">
        <v>4.3934586282645904</v>
      </c>
      <c r="F428">
        <v>4.8546134866977511</v>
      </c>
      <c r="G428">
        <f t="shared" si="6"/>
        <v>0.46115485843316062</v>
      </c>
      <c r="H428">
        <v>0.12232868683850651</v>
      </c>
    </row>
    <row r="429" spans="1:8" x14ac:dyDescent="0.35">
      <c r="A429" t="s">
        <v>75</v>
      </c>
      <c r="B429" t="s">
        <v>62</v>
      </c>
      <c r="C429" t="s">
        <v>40</v>
      </c>
      <c r="D429">
        <v>2022</v>
      </c>
      <c r="E429">
        <v>2.4256542804822261</v>
      </c>
      <c r="F429">
        <v>4.8546134866977511</v>
      </c>
      <c r="G429">
        <f t="shared" si="6"/>
        <v>2.428959206215525</v>
      </c>
      <c r="H429">
        <v>0.12232868683850651</v>
      </c>
    </row>
    <row r="430" spans="1:8" x14ac:dyDescent="0.35">
      <c r="A430" t="s">
        <v>75</v>
      </c>
      <c r="B430" t="s">
        <v>61</v>
      </c>
      <c r="C430" t="s">
        <v>38</v>
      </c>
      <c r="D430">
        <v>2023</v>
      </c>
      <c r="E430">
        <v>0.31473715860916851</v>
      </c>
      <c r="F430">
        <v>1.014274087639002</v>
      </c>
      <c r="G430">
        <f t="shared" si="6"/>
        <v>0.69953692902983344</v>
      </c>
      <c r="H430">
        <v>0.1070949889392518</v>
      </c>
    </row>
    <row r="431" spans="1:8" x14ac:dyDescent="0.35">
      <c r="A431" t="s">
        <v>75</v>
      </c>
      <c r="B431" t="s">
        <v>63</v>
      </c>
      <c r="C431" t="s">
        <v>38</v>
      </c>
      <c r="D431">
        <v>2023</v>
      </c>
      <c r="E431">
        <v>0.69157318051265015</v>
      </c>
      <c r="F431">
        <v>1.014274087639002</v>
      </c>
      <c r="G431">
        <f t="shared" si="6"/>
        <v>0.3227009071263518</v>
      </c>
      <c r="H431">
        <v>0.1070949889392518</v>
      </c>
    </row>
    <row r="432" spans="1:8" x14ac:dyDescent="0.35">
      <c r="A432" t="s">
        <v>75</v>
      </c>
      <c r="B432" t="s">
        <v>62</v>
      </c>
      <c r="C432" t="s">
        <v>40</v>
      </c>
      <c r="D432">
        <v>2023</v>
      </c>
      <c r="E432">
        <v>1.851291422718337</v>
      </c>
      <c r="F432">
        <v>1.014274087639002</v>
      </c>
      <c r="G432">
        <f t="shared" si="6"/>
        <v>-0.83701733507933507</v>
      </c>
      <c r="H432">
        <v>0.1070949889392518</v>
      </c>
    </row>
    <row r="433" spans="1:8" x14ac:dyDescent="0.35">
      <c r="A433" t="s">
        <v>75</v>
      </c>
      <c r="B433" t="s">
        <v>64</v>
      </c>
      <c r="C433" t="s">
        <v>40</v>
      </c>
      <c r="D433">
        <v>2023</v>
      </c>
      <c r="E433">
        <v>1.206598132351089</v>
      </c>
      <c r="F433">
        <v>1.014274087639002</v>
      </c>
      <c r="G433">
        <f t="shared" si="6"/>
        <v>-0.19232404471208708</v>
      </c>
      <c r="H433">
        <v>0.1070949889392518</v>
      </c>
    </row>
    <row r="434" spans="1:8" x14ac:dyDescent="0.35">
      <c r="A434" t="s">
        <v>75</v>
      </c>
      <c r="B434" t="s">
        <v>63</v>
      </c>
      <c r="C434" t="s">
        <v>38</v>
      </c>
      <c r="D434">
        <v>2024</v>
      </c>
      <c r="E434">
        <v>0.85219564942633497</v>
      </c>
      <c r="F434">
        <v>0.58463257989526929</v>
      </c>
      <c r="G434">
        <f t="shared" si="6"/>
        <v>-0.26756306953106568</v>
      </c>
      <c r="H434">
        <v>0.1181932096010781</v>
      </c>
    </row>
    <row r="435" spans="1:8" x14ac:dyDescent="0.35">
      <c r="A435" t="s">
        <v>75</v>
      </c>
      <c r="B435" t="s">
        <v>65</v>
      </c>
      <c r="C435" t="s">
        <v>38</v>
      </c>
      <c r="D435">
        <v>2024</v>
      </c>
      <c r="E435">
        <v>0.66875073104093463</v>
      </c>
      <c r="F435">
        <v>0.58463257989526929</v>
      </c>
      <c r="G435">
        <f t="shared" si="6"/>
        <v>-8.4118151145665343E-2</v>
      </c>
      <c r="H435">
        <v>0.1181932096010781</v>
      </c>
    </row>
    <row r="436" spans="1:8" x14ac:dyDescent="0.35">
      <c r="A436" t="s">
        <v>75</v>
      </c>
      <c r="B436" t="s">
        <v>64</v>
      </c>
      <c r="C436" t="s">
        <v>40</v>
      </c>
      <c r="D436">
        <v>2024</v>
      </c>
      <c r="E436">
        <v>1.088219792885559</v>
      </c>
      <c r="F436">
        <v>0.58463257989526929</v>
      </c>
      <c r="G436">
        <f t="shared" si="6"/>
        <v>-0.50358721299028975</v>
      </c>
      <c r="H436">
        <v>0.1181932096010781</v>
      </c>
    </row>
    <row r="437" spans="1:8" x14ac:dyDescent="0.35">
      <c r="A437" t="s">
        <v>75</v>
      </c>
      <c r="B437" t="s">
        <v>66</v>
      </c>
      <c r="C437" t="s">
        <v>40</v>
      </c>
      <c r="D437">
        <v>2024</v>
      </c>
      <c r="E437">
        <v>0.93648338218597083</v>
      </c>
      <c r="F437">
        <v>0.58463257989526929</v>
      </c>
      <c r="G437">
        <f t="shared" si="6"/>
        <v>-0.35185080229070154</v>
      </c>
      <c r="H437">
        <v>0.1181932096010781</v>
      </c>
    </row>
    <row r="438" spans="1:8" x14ac:dyDescent="0.35">
      <c r="A438" t="s">
        <v>75</v>
      </c>
      <c r="B438" t="s">
        <v>65</v>
      </c>
      <c r="C438" t="s">
        <v>38</v>
      </c>
      <c r="D438">
        <v>2025</v>
      </c>
      <c r="E438">
        <v>1.0376492446310339</v>
      </c>
      <c r="F438">
        <v>0.66135842759176278</v>
      </c>
      <c r="G438">
        <f t="shared" si="6"/>
        <v>-0.37629081703927114</v>
      </c>
      <c r="H438">
        <v>0.118071592713761</v>
      </c>
    </row>
    <row r="439" spans="1:8" x14ac:dyDescent="0.35">
      <c r="A439" t="s">
        <v>75</v>
      </c>
      <c r="B439" t="s">
        <v>71</v>
      </c>
      <c r="C439" t="s">
        <v>38</v>
      </c>
      <c r="D439">
        <v>2025</v>
      </c>
      <c r="E439">
        <v>0.35981622121454843</v>
      </c>
      <c r="F439">
        <v>0.66135842759176278</v>
      </c>
      <c r="G439">
        <f t="shared" si="6"/>
        <v>0.30154220637721435</v>
      </c>
      <c r="H439">
        <v>0.118071592713761</v>
      </c>
    </row>
    <row r="440" spans="1:8" x14ac:dyDescent="0.35">
      <c r="A440" t="s">
        <v>75</v>
      </c>
      <c r="B440" t="s">
        <v>66</v>
      </c>
      <c r="C440" t="s">
        <v>40</v>
      </c>
      <c r="D440">
        <v>2025</v>
      </c>
      <c r="E440">
        <v>1.0979449050216421</v>
      </c>
      <c r="F440">
        <v>0.66135842759176278</v>
      </c>
      <c r="G440">
        <f t="shared" si="6"/>
        <v>-0.43658647742987933</v>
      </c>
      <c r="H440">
        <v>0.118071592713761</v>
      </c>
    </row>
    <row r="441" spans="1:8" x14ac:dyDescent="0.35">
      <c r="A441" t="s">
        <v>75</v>
      </c>
      <c r="B441" t="s">
        <v>72</v>
      </c>
      <c r="C441" t="s">
        <v>40</v>
      </c>
      <c r="D441">
        <v>2025</v>
      </c>
      <c r="E441">
        <v>0.66447930597219873</v>
      </c>
      <c r="F441">
        <v>0.66135842759176278</v>
      </c>
      <c r="G441">
        <f t="shared" si="6"/>
        <v>-3.1208783804359541E-3</v>
      </c>
      <c r="H441">
        <v>0.118071592713761</v>
      </c>
    </row>
    <row r="442" spans="1:8" x14ac:dyDescent="0.35">
      <c r="A442" t="s">
        <v>76</v>
      </c>
      <c r="B442" t="s">
        <v>37</v>
      </c>
      <c r="C442" t="s">
        <v>38</v>
      </c>
      <c r="D442">
        <v>2011</v>
      </c>
      <c r="E442">
        <v>1.8081352289394561</v>
      </c>
      <c r="F442">
        <v>1.763265804751377</v>
      </c>
      <c r="G442">
        <f t="shared" si="6"/>
        <v>-4.4869424188079154E-2</v>
      </c>
      <c r="H442">
        <v>0.1715983572078652</v>
      </c>
    </row>
    <row r="443" spans="1:8" x14ac:dyDescent="0.35">
      <c r="A443" t="s">
        <v>76</v>
      </c>
      <c r="B443" t="s">
        <v>39</v>
      </c>
      <c r="C443" t="s">
        <v>40</v>
      </c>
      <c r="D443">
        <v>2011</v>
      </c>
      <c r="E443">
        <v>1.926005162138456</v>
      </c>
      <c r="F443">
        <v>1.763265804751377</v>
      </c>
      <c r="G443">
        <f t="shared" si="6"/>
        <v>-0.16273935738707901</v>
      </c>
      <c r="H443">
        <v>0.1715983572078652</v>
      </c>
    </row>
    <row r="444" spans="1:8" x14ac:dyDescent="0.35">
      <c r="A444" t="s">
        <v>76</v>
      </c>
      <c r="B444" t="s">
        <v>37</v>
      </c>
      <c r="C444" t="s">
        <v>38</v>
      </c>
      <c r="D444">
        <v>2012</v>
      </c>
      <c r="E444">
        <v>0.49861923570131422</v>
      </c>
      <c r="F444">
        <v>-0.98761966818776048</v>
      </c>
      <c r="G444">
        <f t="shared" si="6"/>
        <v>-1.4862389038890746</v>
      </c>
      <c r="H444">
        <v>0.18669096495815901</v>
      </c>
    </row>
    <row r="445" spans="1:8" x14ac:dyDescent="0.35">
      <c r="A445" t="s">
        <v>76</v>
      </c>
      <c r="B445" t="s">
        <v>41</v>
      </c>
      <c r="C445" t="s">
        <v>38</v>
      </c>
      <c r="D445">
        <v>2012</v>
      </c>
      <c r="E445">
        <v>-0.28000741980042099</v>
      </c>
      <c r="F445">
        <v>-0.98761966818776048</v>
      </c>
      <c r="G445">
        <f t="shared" si="6"/>
        <v>-0.70761224838733949</v>
      </c>
      <c r="H445">
        <v>0.18669096495815901</v>
      </c>
    </row>
    <row r="446" spans="1:8" x14ac:dyDescent="0.35">
      <c r="A446" t="s">
        <v>76</v>
      </c>
      <c r="B446" t="s">
        <v>39</v>
      </c>
      <c r="C446" t="s">
        <v>40</v>
      </c>
      <c r="D446">
        <v>2012</v>
      </c>
      <c r="E446">
        <v>1.661047212655653</v>
      </c>
      <c r="F446">
        <v>-0.98761966818776048</v>
      </c>
      <c r="G446">
        <f t="shared" si="6"/>
        <v>-2.6486668808434137</v>
      </c>
      <c r="H446">
        <v>0.18669096495815901</v>
      </c>
    </row>
    <row r="447" spans="1:8" x14ac:dyDescent="0.35">
      <c r="A447" t="s">
        <v>76</v>
      </c>
      <c r="B447" t="s">
        <v>42</v>
      </c>
      <c r="C447" t="s">
        <v>40</v>
      </c>
      <c r="D447">
        <v>2012</v>
      </c>
      <c r="E447">
        <v>-0.88737458554019044</v>
      </c>
      <c r="F447">
        <v>-0.98761966818776048</v>
      </c>
      <c r="G447">
        <f t="shared" si="6"/>
        <v>-0.10024508264757004</v>
      </c>
      <c r="H447">
        <v>0.18669096495815901</v>
      </c>
    </row>
    <row r="448" spans="1:8" x14ac:dyDescent="0.35">
      <c r="A448" t="s">
        <v>76</v>
      </c>
      <c r="B448" t="s">
        <v>41</v>
      </c>
      <c r="C448" t="s">
        <v>38</v>
      </c>
      <c r="D448">
        <v>2013</v>
      </c>
      <c r="E448">
        <v>0.25101306409311958</v>
      </c>
      <c r="F448">
        <v>1.2707283722487859E-2</v>
      </c>
      <c r="G448">
        <f t="shared" si="6"/>
        <v>-0.23830578037063171</v>
      </c>
      <c r="H448">
        <v>0.20925797503467411</v>
      </c>
    </row>
    <row r="449" spans="1:8" x14ac:dyDescent="0.35">
      <c r="A449" t="s">
        <v>76</v>
      </c>
      <c r="B449" t="s">
        <v>43</v>
      </c>
      <c r="C449" t="s">
        <v>38</v>
      </c>
      <c r="D449">
        <v>2013</v>
      </c>
      <c r="E449">
        <v>-0.9800045037945293</v>
      </c>
      <c r="F449">
        <v>1.2707283722487859E-2</v>
      </c>
      <c r="G449">
        <f t="shared" si="6"/>
        <v>0.99271178751701716</v>
      </c>
      <c r="H449">
        <v>0.20925797503467411</v>
      </c>
    </row>
    <row r="450" spans="1:8" x14ac:dyDescent="0.35">
      <c r="A450" t="s">
        <v>76</v>
      </c>
      <c r="B450" t="s">
        <v>42</v>
      </c>
      <c r="C450" t="s">
        <v>40</v>
      </c>
      <c r="D450">
        <v>2013</v>
      </c>
      <c r="E450">
        <v>0.70707026821927865</v>
      </c>
      <c r="F450">
        <v>1.2707283722487859E-2</v>
      </c>
      <c r="G450">
        <f t="shared" ref="G450:G513" si="7">IF(OR(F450="",E450=""),"",F450-E450)</f>
        <v>-0.69436298449679079</v>
      </c>
      <c r="H450">
        <v>0.20925797503467411</v>
      </c>
    </row>
    <row r="451" spans="1:8" x14ac:dyDescent="0.35">
      <c r="A451" t="s">
        <v>76</v>
      </c>
      <c r="B451" t="s">
        <v>44</v>
      </c>
      <c r="C451" t="s">
        <v>40</v>
      </c>
      <c r="D451">
        <v>2013</v>
      </c>
      <c r="E451">
        <v>-0.79000434577850553</v>
      </c>
      <c r="F451">
        <v>1.2707283722487859E-2</v>
      </c>
      <c r="G451">
        <f t="shared" si="7"/>
        <v>0.8027116295009934</v>
      </c>
      <c r="H451">
        <v>0.20925797503467411</v>
      </c>
    </row>
    <row r="452" spans="1:8" x14ac:dyDescent="0.35">
      <c r="A452" t="s">
        <v>76</v>
      </c>
      <c r="B452" t="s">
        <v>43</v>
      </c>
      <c r="C452" t="s">
        <v>38</v>
      </c>
      <c r="D452">
        <v>2014</v>
      </c>
      <c r="E452">
        <v>0.2460103096358246</v>
      </c>
      <c r="F452">
        <v>1.6013721912486829</v>
      </c>
      <c r="G452">
        <f t="shared" si="7"/>
        <v>1.3553618816128583</v>
      </c>
      <c r="H452">
        <v>0.20401315120496219</v>
      </c>
    </row>
    <row r="453" spans="1:8" x14ac:dyDescent="0.35">
      <c r="A453" t="s">
        <v>76</v>
      </c>
      <c r="B453" t="s">
        <v>45</v>
      </c>
      <c r="C453" t="s">
        <v>38</v>
      </c>
      <c r="D453">
        <v>2014</v>
      </c>
      <c r="E453">
        <v>0.87813009513062479</v>
      </c>
      <c r="F453">
        <v>1.6013721912486829</v>
      </c>
      <c r="G453">
        <f t="shared" si="7"/>
        <v>0.72324209611805812</v>
      </c>
      <c r="H453">
        <v>0.20401315120496219</v>
      </c>
    </row>
    <row r="454" spans="1:8" x14ac:dyDescent="0.35">
      <c r="A454" t="s">
        <v>76</v>
      </c>
      <c r="B454" t="s">
        <v>44</v>
      </c>
      <c r="C454" t="s">
        <v>40</v>
      </c>
      <c r="D454">
        <v>2014</v>
      </c>
      <c r="E454">
        <v>0.89594425952546075</v>
      </c>
      <c r="F454">
        <v>1.6013721912486829</v>
      </c>
      <c r="G454">
        <f t="shared" si="7"/>
        <v>0.70542793172322216</v>
      </c>
      <c r="H454">
        <v>0.20401315120496219</v>
      </c>
    </row>
    <row r="455" spans="1:8" x14ac:dyDescent="0.35">
      <c r="A455" t="s">
        <v>76</v>
      </c>
      <c r="B455" t="s">
        <v>46</v>
      </c>
      <c r="C455" t="s">
        <v>40</v>
      </c>
      <c r="D455">
        <v>2014</v>
      </c>
      <c r="E455">
        <v>1.1634467886850299</v>
      </c>
      <c r="F455">
        <v>1.6013721912486829</v>
      </c>
      <c r="G455">
        <f t="shared" si="7"/>
        <v>0.43792540256365298</v>
      </c>
      <c r="H455">
        <v>0.20401315120496219</v>
      </c>
    </row>
    <row r="456" spans="1:8" x14ac:dyDescent="0.35">
      <c r="A456" t="s">
        <v>76</v>
      </c>
      <c r="B456" t="s">
        <v>45</v>
      </c>
      <c r="C456" t="s">
        <v>38</v>
      </c>
      <c r="D456">
        <v>2015</v>
      </c>
      <c r="E456">
        <v>1.4152411951803721</v>
      </c>
      <c r="F456">
        <v>2.075992985655045</v>
      </c>
      <c r="G456">
        <f t="shared" si="7"/>
        <v>0.66075179047467292</v>
      </c>
      <c r="H456">
        <v>0.19984521342183281</v>
      </c>
    </row>
    <row r="457" spans="1:8" x14ac:dyDescent="0.35">
      <c r="A457" t="s">
        <v>76</v>
      </c>
      <c r="B457" t="s">
        <v>47</v>
      </c>
      <c r="C457" t="s">
        <v>38</v>
      </c>
      <c r="D457">
        <v>2015</v>
      </c>
      <c r="E457">
        <v>2.048080115775686</v>
      </c>
      <c r="F457">
        <v>2.075992985655045</v>
      </c>
      <c r="G457">
        <f t="shared" si="7"/>
        <v>2.7912869879358926E-2</v>
      </c>
      <c r="H457">
        <v>0.19984521342183281</v>
      </c>
    </row>
    <row r="458" spans="1:8" x14ac:dyDescent="0.35">
      <c r="A458" t="s">
        <v>76</v>
      </c>
      <c r="B458" t="s">
        <v>46</v>
      </c>
      <c r="C458" t="s">
        <v>40</v>
      </c>
      <c r="D458">
        <v>2015</v>
      </c>
      <c r="E458">
        <v>1.3587126188379759</v>
      </c>
      <c r="F458">
        <v>2.075992985655045</v>
      </c>
      <c r="G458">
        <f t="shared" si="7"/>
        <v>0.71728036681706908</v>
      </c>
      <c r="H458">
        <v>0.19984521342183281</v>
      </c>
    </row>
    <row r="459" spans="1:8" x14ac:dyDescent="0.35">
      <c r="A459" t="s">
        <v>76</v>
      </c>
      <c r="B459" t="s">
        <v>48</v>
      </c>
      <c r="C459" t="s">
        <v>40</v>
      </c>
      <c r="D459">
        <v>2015</v>
      </c>
      <c r="E459">
        <v>1.634744403265187</v>
      </c>
      <c r="F459">
        <v>2.075992985655045</v>
      </c>
      <c r="G459">
        <f t="shared" si="7"/>
        <v>0.44124858238985798</v>
      </c>
      <c r="H459">
        <v>0.19984521342183281</v>
      </c>
    </row>
    <row r="460" spans="1:8" x14ac:dyDescent="0.35">
      <c r="A460" t="s">
        <v>76</v>
      </c>
      <c r="B460" t="s">
        <v>47</v>
      </c>
      <c r="C460" t="s">
        <v>38</v>
      </c>
      <c r="D460">
        <v>2016</v>
      </c>
      <c r="E460">
        <v>2.1325986777734669</v>
      </c>
      <c r="F460">
        <v>2.3909782656438301</v>
      </c>
      <c r="G460">
        <f t="shared" si="7"/>
        <v>0.25837958787036319</v>
      </c>
      <c r="H460">
        <v>0.19060538891127871</v>
      </c>
    </row>
    <row r="461" spans="1:8" x14ac:dyDescent="0.35">
      <c r="A461" t="s">
        <v>76</v>
      </c>
      <c r="B461" t="s">
        <v>49</v>
      </c>
      <c r="C461" t="s">
        <v>38</v>
      </c>
      <c r="D461">
        <v>2016</v>
      </c>
      <c r="E461">
        <v>1.6589744219452249</v>
      </c>
      <c r="F461">
        <v>2.3909782656438301</v>
      </c>
      <c r="G461">
        <f t="shared" si="7"/>
        <v>0.73200384369860516</v>
      </c>
      <c r="H461">
        <v>0.19060538891127871</v>
      </c>
    </row>
    <row r="462" spans="1:8" x14ac:dyDescent="0.35">
      <c r="A462" t="s">
        <v>76</v>
      </c>
      <c r="B462" t="s">
        <v>48</v>
      </c>
      <c r="C462" t="s">
        <v>40</v>
      </c>
      <c r="D462">
        <v>2016</v>
      </c>
      <c r="E462">
        <v>1.7327119888610909</v>
      </c>
      <c r="F462">
        <v>2.3909782656438301</v>
      </c>
      <c r="G462">
        <f t="shared" si="7"/>
        <v>0.65826627678273919</v>
      </c>
      <c r="H462">
        <v>0.19060538891127871</v>
      </c>
    </row>
    <row r="463" spans="1:8" x14ac:dyDescent="0.35">
      <c r="A463" t="s">
        <v>76</v>
      </c>
      <c r="B463" t="s">
        <v>50</v>
      </c>
      <c r="C463" t="s">
        <v>40</v>
      </c>
      <c r="D463">
        <v>2016</v>
      </c>
      <c r="E463">
        <v>1.6774792555238389</v>
      </c>
      <c r="F463">
        <v>2.3909782656438301</v>
      </c>
      <c r="G463">
        <f t="shared" si="7"/>
        <v>0.71349901011999117</v>
      </c>
      <c r="H463">
        <v>0.19060538891127871</v>
      </c>
    </row>
    <row r="464" spans="1:8" x14ac:dyDescent="0.35">
      <c r="A464" t="s">
        <v>76</v>
      </c>
      <c r="B464" t="s">
        <v>49</v>
      </c>
      <c r="C464" t="s">
        <v>38</v>
      </c>
      <c r="D464">
        <v>2017</v>
      </c>
      <c r="E464">
        <v>1.6517530585588249</v>
      </c>
      <c r="F464">
        <v>2.7431906089065579</v>
      </c>
      <c r="G464">
        <f t="shared" si="7"/>
        <v>1.0914375503477329</v>
      </c>
      <c r="H464">
        <v>0.18168337186651121</v>
      </c>
    </row>
    <row r="465" spans="1:8" x14ac:dyDescent="0.35">
      <c r="A465" t="s">
        <v>76</v>
      </c>
      <c r="B465" t="s">
        <v>51</v>
      </c>
      <c r="C465" t="s">
        <v>38</v>
      </c>
      <c r="D465">
        <v>2017</v>
      </c>
      <c r="E465">
        <v>3.2081591137887999</v>
      </c>
      <c r="F465">
        <v>2.7431906089065579</v>
      </c>
      <c r="G465">
        <f t="shared" si="7"/>
        <v>-0.46496850488224206</v>
      </c>
      <c r="H465">
        <v>0.18168337186651121</v>
      </c>
    </row>
    <row r="466" spans="1:8" x14ac:dyDescent="0.35">
      <c r="A466" t="s">
        <v>76</v>
      </c>
      <c r="B466" t="s">
        <v>50</v>
      </c>
      <c r="C466" t="s">
        <v>40</v>
      </c>
      <c r="D466">
        <v>2017</v>
      </c>
      <c r="E466">
        <v>1.9694041267229729</v>
      </c>
      <c r="F466">
        <v>2.7431906089065579</v>
      </c>
      <c r="G466">
        <f t="shared" si="7"/>
        <v>0.77378648218358492</v>
      </c>
      <c r="H466">
        <v>0.18168337186651121</v>
      </c>
    </row>
    <row r="467" spans="1:8" x14ac:dyDescent="0.35">
      <c r="A467" t="s">
        <v>76</v>
      </c>
      <c r="B467" t="s">
        <v>52</v>
      </c>
      <c r="C467" t="s">
        <v>40</v>
      </c>
      <c r="D467">
        <v>2017</v>
      </c>
      <c r="E467">
        <v>2.1108256212513781</v>
      </c>
      <c r="F467">
        <v>2.7431906089065579</v>
      </c>
      <c r="G467">
        <f t="shared" si="7"/>
        <v>0.63236498765517979</v>
      </c>
      <c r="H467">
        <v>0.18168337186651121</v>
      </c>
    </row>
    <row r="468" spans="1:8" x14ac:dyDescent="0.35">
      <c r="A468" t="s">
        <v>76</v>
      </c>
      <c r="B468" t="s">
        <v>51</v>
      </c>
      <c r="C468" t="s">
        <v>38</v>
      </c>
      <c r="D468">
        <v>2018</v>
      </c>
      <c r="E468">
        <v>2.719855882122268</v>
      </c>
      <c r="F468">
        <v>2.2276489335745251</v>
      </c>
      <c r="G468">
        <f t="shared" si="7"/>
        <v>-0.49220694854774294</v>
      </c>
      <c r="H468">
        <v>0.17426099357607169</v>
      </c>
    </row>
    <row r="469" spans="1:8" x14ac:dyDescent="0.35">
      <c r="A469" t="s">
        <v>76</v>
      </c>
      <c r="B469" t="s">
        <v>53</v>
      </c>
      <c r="C469" t="s">
        <v>38</v>
      </c>
      <c r="D469">
        <v>2018</v>
      </c>
      <c r="E469">
        <v>2.836804692292016</v>
      </c>
      <c r="F469">
        <v>2.2276489335745251</v>
      </c>
      <c r="G469">
        <f t="shared" si="7"/>
        <v>-0.60915575871749095</v>
      </c>
      <c r="H469">
        <v>0.17426099357607169</v>
      </c>
    </row>
    <row r="470" spans="1:8" x14ac:dyDescent="0.35">
      <c r="A470" t="s">
        <v>76</v>
      </c>
      <c r="B470" t="s">
        <v>52</v>
      </c>
      <c r="C470" t="s">
        <v>40</v>
      </c>
      <c r="D470">
        <v>2018</v>
      </c>
      <c r="E470">
        <v>1.81696463155987</v>
      </c>
      <c r="F470">
        <v>2.2276489335745251</v>
      </c>
      <c r="G470">
        <f t="shared" si="7"/>
        <v>0.41068430201465511</v>
      </c>
      <c r="H470">
        <v>0.17426099357607169</v>
      </c>
    </row>
    <row r="471" spans="1:8" x14ac:dyDescent="0.35">
      <c r="A471" t="s">
        <v>76</v>
      </c>
      <c r="B471" t="s">
        <v>54</v>
      </c>
      <c r="C471" t="s">
        <v>40</v>
      </c>
      <c r="D471">
        <v>2018</v>
      </c>
      <c r="E471">
        <v>2.9504045313044398</v>
      </c>
      <c r="F471">
        <v>2.2276489335745251</v>
      </c>
      <c r="G471">
        <f t="shared" si="7"/>
        <v>-0.72275559772991471</v>
      </c>
      <c r="H471">
        <v>0.17426099357607169</v>
      </c>
    </row>
    <row r="472" spans="1:8" x14ac:dyDescent="0.35">
      <c r="A472" t="s">
        <v>76</v>
      </c>
      <c r="B472" t="s">
        <v>53</v>
      </c>
      <c r="C472" t="s">
        <v>38</v>
      </c>
      <c r="D472">
        <v>2019</v>
      </c>
      <c r="E472">
        <v>2.3973855170303038</v>
      </c>
      <c r="F472">
        <v>2.2687921571426761</v>
      </c>
      <c r="G472">
        <f t="shared" si="7"/>
        <v>-0.12859335988762766</v>
      </c>
      <c r="H472">
        <v>0.17313412187867469</v>
      </c>
    </row>
    <row r="473" spans="1:8" x14ac:dyDescent="0.35">
      <c r="A473" t="s">
        <v>76</v>
      </c>
      <c r="B473" t="s">
        <v>55</v>
      </c>
      <c r="C473" t="s">
        <v>38</v>
      </c>
      <c r="D473">
        <v>2019</v>
      </c>
      <c r="E473">
        <v>1.699934171052897</v>
      </c>
      <c r="F473">
        <v>2.2687921571426761</v>
      </c>
      <c r="G473">
        <f t="shared" si="7"/>
        <v>0.56885798608977911</v>
      </c>
      <c r="H473">
        <v>0.17313412187867469</v>
      </c>
    </row>
    <row r="474" spans="1:8" x14ac:dyDescent="0.35">
      <c r="A474" t="s">
        <v>76</v>
      </c>
      <c r="B474" t="s">
        <v>54</v>
      </c>
      <c r="C474" t="s">
        <v>40</v>
      </c>
      <c r="D474">
        <v>2019</v>
      </c>
      <c r="E474">
        <v>2.5903398154754731</v>
      </c>
      <c r="F474">
        <v>2.2687921571426761</v>
      </c>
      <c r="G474">
        <f t="shared" si="7"/>
        <v>-0.32154765833279697</v>
      </c>
      <c r="H474">
        <v>0.17313412187867469</v>
      </c>
    </row>
    <row r="475" spans="1:8" x14ac:dyDescent="0.35">
      <c r="A475" t="s">
        <v>76</v>
      </c>
      <c r="B475" t="s">
        <v>56</v>
      </c>
      <c r="C475" t="s">
        <v>40</v>
      </c>
      <c r="D475">
        <v>2019</v>
      </c>
      <c r="E475">
        <v>1.627911133653104</v>
      </c>
      <c r="F475">
        <v>2.2687921571426761</v>
      </c>
      <c r="G475">
        <f t="shared" si="7"/>
        <v>0.6408810234895721</v>
      </c>
      <c r="H475">
        <v>0.17313412187867469</v>
      </c>
    </row>
    <row r="476" spans="1:8" x14ac:dyDescent="0.35">
      <c r="A476" t="s">
        <v>76</v>
      </c>
      <c r="B476" t="s">
        <v>55</v>
      </c>
      <c r="C476" t="s">
        <v>38</v>
      </c>
      <c r="D476">
        <v>2020</v>
      </c>
      <c r="E476">
        <v>1.2831214058191649</v>
      </c>
      <c r="F476">
        <v>-3.9039509434828492</v>
      </c>
      <c r="G476">
        <f t="shared" si="7"/>
        <v>-5.1870723493020137</v>
      </c>
      <c r="H476">
        <v>0.18034013840432031</v>
      </c>
    </row>
    <row r="477" spans="1:8" x14ac:dyDescent="0.35">
      <c r="A477" t="s">
        <v>76</v>
      </c>
      <c r="B477" t="s">
        <v>57</v>
      </c>
      <c r="C477" t="s">
        <v>38</v>
      </c>
      <c r="D477">
        <v>2020</v>
      </c>
      <c r="E477">
        <v>-5.3222217587985954</v>
      </c>
      <c r="F477">
        <v>-3.9039509434828492</v>
      </c>
      <c r="G477">
        <f t="shared" si="7"/>
        <v>1.4182708153157462</v>
      </c>
      <c r="H477">
        <v>0.18034013840432031</v>
      </c>
    </row>
    <row r="478" spans="1:8" x14ac:dyDescent="0.35">
      <c r="A478" t="s">
        <v>76</v>
      </c>
      <c r="B478" t="s">
        <v>56</v>
      </c>
      <c r="C478" t="s">
        <v>40</v>
      </c>
      <c r="D478">
        <v>2020</v>
      </c>
      <c r="E478">
        <v>1.619436814413677</v>
      </c>
      <c r="F478">
        <v>-3.9039509434828492</v>
      </c>
      <c r="G478">
        <f t="shared" si="7"/>
        <v>-5.5233877578965265</v>
      </c>
      <c r="H478">
        <v>0.18034013840432031</v>
      </c>
    </row>
    <row r="479" spans="1:8" x14ac:dyDescent="0.35">
      <c r="A479" t="s">
        <v>76</v>
      </c>
      <c r="B479" t="s">
        <v>58</v>
      </c>
      <c r="C479" t="s">
        <v>40</v>
      </c>
      <c r="D479">
        <v>2020</v>
      </c>
      <c r="E479">
        <v>-6.8478963820636896</v>
      </c>
      <c r="F479">
        <v>-3.9039509434828492</v>
      </c>
      <c r="G479">
        <f t="shared" si="7"/>
        <v>2.9439454385808403</v>
      </c>
      <c r="H479">
        <v>0.18034013840432031</v>
      </c>
    </row>
    <row r="480" spans="1:8" x14ac:dyDescent="0.35">
      <c r="A480" t="s">
        <v>76</v>
      </c>
      <c r="B480" t="s">
        <v>57</v>
      </c>
      <c r="C480" t="s">
        <v>38</v>
      </c>
      <c r="D480">
        <v>2021</v>
      </c>
      <c r="E480">
        <v>2.161323818880434</v>
      </c>
      <c r="F480">
        <v>6.0197643563294596</v>
      </c>
      <c r="G480">
        <f t="shared" si="7"/>
        <v>3.8584405374490256</v>
      </c>
      <c r="H480">
        <v>0.17060593737291579</v>
      </c>
    </row>
    <row r="481" spans="1:8" x14ac:dyDescent="0.35">
      <c r="A481" t="s">
        <v>76</v>
      </c>
      <c r="B481" t="s">
        <v>59</v>
      </c>
      <c r="C481" t="s">
        <v>38</v>
      </c>
      <c r="D481">
        <v>2021</v>
      </c>
      <c r="E481">
        <v>3.9728248180522558</v>
      </c>
      <c r="F481">
        <v>6.0197643563294596</v>
      </c>
      <c r="G481">
        <f t="shared" si="7"/>
        <v>2.0469395382772038</v>
      </c>
      <c r="H481">
        <v>0.17060593737291579</v>
      </c>
    </row>
    <row r="482" spans="1:8" x14ac:dyDescent="0.35">
      <c r="A482" t="s">
        <v>76</v>
      </c>
      <c r="B482" t="s">
        <v>58</v>
      </c>
      <c r="C482" t="s">
        <v>40</v>
      </c>
      <c r="D482">
        <v>2021</v>
      </c>
      <c r="E482">
        <v>4.963640025345617</v>
      </c>
      <c r="F482">
        <v>6.0197643563294596</v>
      </c>
      <c r="G482">
        <f t="shared" si="7"/>
        <v>1.0561243309838426</v>
      </c>
      <c r="H482">
        <v>0.17060593737291579</v>
      </c>
    </row>
    <row r="483" spans="1:8" x14ac:dyDescent="0.35">
      <c r="A483" t="s">
        <v>76</v>
      </c>
      <c r="B483" t="s">
        <v>60</v>
      </c>
      <c r="C483" t="s">
        <v>40</v>
      </c>
      <c r="D483">
        <v>2021</v>
      </c>
      <c r="E483">
        <v>2.3382369164345769</v>
      </c>
      <c r="F483">
        <v>6.0197643563294596</v>
      </c>
      <c r="G483">
        <f t="shared" si="7"/>
        <v>3.6815274398948827</v>
      </c>
      <c r="H483">
        <v>0.17060593737291579</v>
      </c>
    </row>
    <row r="484" spans="1:8" x14ac:dyDescent="0.35">
      <c r="A484" t="s">
        <v>76</v>
      </c>
      <c r="B484" t="s">
        <v>59</v>
      </c>
      <c r="C484" t="s">
        <v>38</v>
      </c>
      <c r="D484">
        <v>2022</v>
      </c>
      <c r="E484">
        <v>3.3489770835561039</v>
      </c>
      <c r="F484">
        <v>4.8892912104023152</v>
      </c>
      <c r="G484">
        <f t="shared" si="7"/>
        <v>1.5403141268462113</v>
      </c>
      <c r="H484">
        <v>0.1723953161408304</v>
      </c>
    </row>
    <row r="485" spans="1:8" x14ac:dyDescent="0.35">
      <c r="A485" t="s">
        <v>76</v>
      </c>
      <c r="B485" t="s">
        <v>61</v>
      </c>
      <c r="C485" t="s">
        <v>38</v>
      </c>
      <c r="D485">
        <v>2022</v>
      </c>
      <c r="E485">
        <v>4.6490196630740721</v>
      </c>
      <c r="F485">
        <v>4.8892912104023152</v>
      </c>
      <c r="G485">
        <f t="shared" si="7"/>
        <v>0.24027154732824307</v>
      </c>
      <c r="H485">
        <v>0.1723953161408304</v>
      </c>
    </row>
    <row r="486" spans="1:8" x14ac:dyDescent="0.35">
      <c r="A486" t="s">
        <v>76</v>
      </c>
      <c r="B486" t="s">
        <v>60</v>
      </c>
      <c r="C486" t="s">
        <v>40</v>
      </c>
      <c r="D486">
        <v>2022</v>
      </c>
      <c r="E486">
        <v>3.5790486712876879</v>
      </c>
      <c r="F486">
        <v>4.8892912104023152</v>
      </c>
      <c r="G486">
        <f t="shared" si="7"/>
        <v>1.3102425391146273</v>
      </c>
      <c r="H486">
        <v>0.1723953161408304</v>
      </c>
    </row>
    <row r="487" spans="1:8" x14ac:dyDescent="0.35">
      <c r="A487" t="s">
        <v>76</v>
      </c>
      <c r="B487" t="s">
        <v>62</v>
      </c>
      <c r="C487" t="s">
        <v>40</v>
      </c>
      <c r="D487">
        <v>2022</v>
      </c>
      <c r="E487">
        <v>3.271330674458595</v>
      </c>
      <c r="F487">
        <v>4.8892912104023152</v>
      </c>
      <c r="G487">
        <f t="shared" si="7"/>
        <v>1.6179605359437201</v>
      </c>
      <c r="H487">
        <v>0.1723953161408304</v>
      </c>
    </row>
    <row r="488" spans="1:8" x14ac:dyDescent="0.35">
      <c r="A488" t="s">
        <v>76</v>
      </c>
      <c r="B488" t="s">
        <v>61</v>
      </c>
      <c r="C488" t="s">
        <v>38</v>
      </c>
      <c r="D488">
        <v>2023</v>
      </c>
      <c r="E488">
        <v>0.64857323528075828</v>
      </c>
      <c r="F488">
        <v>-0.58469355622177965</v>
      </c>
      <c r="G488">
        <f t="shared" si="7"/>
        <v>-1.2332667915025379</v>
      </c>
      <c r="H488">
        <v>0.16855357686097391</v>
      </c>
    </row>
    <row r="489" spans="1:8" x14ac:dyDescent="0.35">
      <c r="A489" t="s">
        <v>76</v>
      </c>
      <c r="B489" t="s">
        <v>63</v>
      </c>
      <c r="C489" t="s">
        <v>38</v>
      </c>
      <c r="D489">
        <v>2023</v>
      </c>
      <c r="E489">
        <v>0.5799247285826814</v>
      </c>
      <c r="F489">
        <v>-0.58469355622177965</v>
      </c>
      <c r="G489">
        <f t="shared" si="7"/>
        <v>-1.1646182848044611</v>
      </c>
      <c r="H489">
        <v>0.16855357686097391</v>
      </c>
    </row>
    <row r="490" spans="1:8" x14ac:dyDescent="0.35">
      <c r="A490" t="s">
        <v>76</v>
      </c>
      <c r="B490" t="s">
        <v>62</v>
      </c>
      <c r="C490" t="s">
        <v>40</v>
      </c>
      <c r="D490">
        <v>2023</v>
      </c>
      <c r="E490">
        <v>1.5682500170195011</v>
      </c>
      <c r="F490">
        <v>-0.58469355622177965</v>
      </c>
      <c r="G490">
        <f t="shared" si="7"/>
        <v>-2.1529435732412807</v>
      </c>
      <c r="H490">
        <v>0.16855357686097391</v>
      </c>
    </row>
    <row r="491" spans="1:8" x14ac:dyDescent="0.35">
      <c r="A491" t="s">
        <v>76</v>
      </c>
      <c r="B491" t="s">
        <v>64</v>
      </c>
      <c r="C491" t="s">
        <v>40</v>
      </c>
      <c r="D491">
        <v>2023</v>
      </c>
      <c r="E491">
        <v>1.8009941751683021</v>
      </c>
      <c r="F491">
        <v>-0.58469355622177965</v>
      </c>
      <c r="G491">
        <f t="shared" si="7"/>
        <v>-2.3856877313900817</v>
      </c>
      <c r="H491">
        <v>0.16855357686097391</v>
      </c>
    </row>
    <row r="492" spans="1:8" x14ac:dyDescent="0.35">
      <c r="A492" t="s">
        <v>76</v>
      </c>
      <c r="B492" t="s">
        <v>63</v>
      </c>
      <c r="C492" t="s">
        <v>38</v>
      </c>
      <c r="D492">
        <v>2024</v>
      </c>
      <c r="E492">
        <v>1.090974188365412</v>
      </c>
      <c r="F492">
        <v>1.058640812818894</v>
      </c>
      <c r="G492">
        <f t="shared" si="7"/>
        <v>-3.2333375546518051E-2</v>
      </c>
      <c r="H492">
        <v>0.16819795598684001</v>
      </c>
    </row>
    <row r="493" spans="1:8" x14ac:dyDescent="0.35">
      <c r="A493" t="s">
        <v>76</v>
      </c>
      <c r="B493" t="s">
        <v>65</v>
      </c>
      <c r="C493" t="s">
        <v>38</v>
      </c>
      <c r="D493">
        <v>2024</v>
      </c>
      <c r="E493">
        <v>0.84134331866276835</v>
      </c>
      <c r="F493">
        <v>1.058640812818894</v>
      </c>
      <c r="G493">
        <f t="shared" si="7"/>
        <v>0.21729749415612565</v>
      </c>
      <c r="H493">
        <v>0.16819795598684001</v>
      </c>
    </row>
    <row r="494" spans="1:8" x14ac:dyDescent="0.35">
      <c r="A494" t="s">
        <v>76</v>
      </c>
      <c r="B494" t="s">
        <v>64</v>
      </c>
      <c r="C494" t="s">
        <v>40</v>
      </c>
      <c r="D494">
        <v>2024</v>
      </c>
      <c r="E494">
        <v>1.181076174566176</v>
      </c>
      <c r="F494">
        <v>1.058640812818894</v>
      </c>
      <c r="G494">
        <f t="shared" si="7"/>
        <v>-0.12243536174728198</v>
      </c>
      <c r="H494">
        <v>0.16819795598684001</v>
      </c>
    </row>
    <row r="495" spans="1:8" x14ac:dyDescent="0.35">
      <c r="A495" t="s">
        <v>76</v>
      </c>
      <c r="B495" t="s">
        <v>66</v>
      </c>
      <c r="C495" t="s">
        <v>40</v>
      </c>
      <c r="D495">
        <v>2024</v>
      </c>
      <c r="E495">
        <v>0.76042118074215459</v>
      </c>
      <c r="F495">
        <v>1.058640812818894</v>
      </c>
      <c r="G495">
        <f t="shared" si="7"/>
        <v>0.2982196320767394</v>
      </c>
      <c r="H495">
        <v>0.16819795598684001</v>
      </c>
    </row>
    <row r="496" spans="1:8" x14ac:dyDescent="0.35">
      <c r="A496" t="s">
        <v>77</v>
      </c>
      <c r="B496" t="s">
        <v>37</v>
      </c>
      <c r="C496" t="s">
        <v>38</v>
      </c>
      <c r="D496">
        <v>2011</v>
      </c>
      <c r="E496">
        <v>-1.8696006757531689</v>
      </c>
      <c r="F496">
        <v>-1.7283467654708611</v>
      </c>
      <c r="G496">
        <f t="shared" si="7"/>
        <v>0.14125391028230783</v>
      </c>
      <c r="H496">
        <v>0.1324422843256379</v>
      </c>
    </row>
    <row r="497" spans="1:8" x14ac:dyDescent="0.35">
      <c r="A497" t="s">
        <v>77</v>
      </c>
      <c r="B497" t="s">
        <v>39</v>
      </c>
      <c r="C497" t="s">
        <v>40</v>
      </c>
      <c r="D497">
        <v>2011</v>
      </c>
      <c r="E497">
        <v>-2.2032240541474901</v>
      </c>
      <c r="F497">
        <v>-1.7283467654708611</v>
      </c>
      <c r="G497">
        <f t="shared" si="7"/>
        <v>0.47487728867662904</v>
      </c>
      <c r="H497">
        <v>0.1324422843256379</v>
      </c>
    </row>
    <row r="498" spans="1:8" x14ac:dyDescent="0.35">
      <c r="A498" t="s">
        <v>77</v>
      </c>
      <c r="B498" t="s">
        <v>37</v>
      </c>
      <c r="C498" t="s">
        <v>38</v>
      </c>
      <c r="D498">
        <v>2012</v>
      </c>
      <c r="E498">
        <v>-3.035670582279193</v>
      </c>
      <c r="F498">
        <v>-4.1352247921585192</v>
      </c>
      <c r="G498">
        <f t="shared" si="7"/>
        <v>-1.0995542098793263</v>
      </c>
      <c r="H498">
        <v>0.15448284624209199</v>
      </c>
    </row>
    <row r="499" spans="1:8" x14ac:dyDescent="0.35">
      <c r="A499" t="s">
        <v>77</v>
      </c>
      <c r="B499" t="s">
        <v>41</v>
      </c>
      <c r="C499" t="s">
        <v>38</v>
      </c>
      <c r="D499">
        <v>2012</v>
      </c>
      <c r="E499">
        <v>-2.9592221038484801</v>
      </c>
      <c r="F499">
        <v>-4.1352247921585192</v>
      </c>
      <c r="G499">
        <f t="shared" si="7"/>
        <v>-1.1760026883100392</v>
      </c>
      <c r="H499">
        <v>0.15448284624209199</v>
      </c>
    </row>
    <row r="500" spans="1:8" x14ac:dyDescent="0.35">
      <c r="A500" t="s">
        <v>77</v>
      </c>
      <c r="B500" t="s">
        <v>39</v>
      </c>
      <c r="C500" t="s">
        <v>40</v>
      </c>
      <c r="D500">
        <v>2012</v>
      </c>
      <c r="E500">
        <v>-1.7542339094107959</v>
      </c>
      <c r="F500">
        <v>-4.1352247921585192</v>
      </c>
      <c r="G500">
        <f t="shared" si="7"/>
        <v>-2.3809908827477235</v>
      </c>
      <c r="H500">
        <v>0.15448284624209199</v>
      </c>
    </row>
    <row r="501" spans="1:8" x14ac:dyDescent="0.35">
      <c r="A501" t="s">
        <v>77</v>
      </c>
      <c r="B501" t="s">
        <v>42</v>
      </c>
      <c r="C501" t="s">
        <v>40</v>
      </c>
      <c r="D501">
        <v>2012</v>
      </c>
      <c r="E501">
        <v>-3.2622256936120531</v>
      </c>
      <c r="F501">
        <v>-4.1352247921585192</v>
      </c>
      <c r="G501">
        <f t="shared" si="7"/>
        <v>-0.87299909854646618</v>
      </c>
      <c r="H501">
        <v>0.15448284624209199</v>
      </c>
    </row>
    <row r="502" spans="1:8" x14ac:dyDescent="0.35">
      <c r="A502" t="s">
        <v>77</v>
      </c>
      <c r="B502" t="s">
        <v>41</v>
      </c>
      <c r="C502" t="s">
        <v>38</v>
      </c>
      <c r="D502">
        <v>2013</v>
      </c>
      <c r="E502">
        <v>-0.99451273527885187</v>
      </c>
      <c r="F502">
        <v>-0.98897197690870997</v>
      </c>
      <c r="G502">
        <f t="shared" si="7"/>
        <v>5.5407583701418961E-3</v>
      </c>
      <c r="H502">
        <v>0.15875367403053001</v>
      </c>
    </row>
    <row r="503" spans="1:8" x14ac:dyDescent="0.35">
      <c r="A503" t="s">
        <v>77</v>
      </c>
      <c r="B503" t="s">
        <v>43</v>
      </c>
      <c r="C503" t="s">
        <v>38</v>
      </c>
      <c r="D503">
        <v>2013</v>
      </c>
      <c r="E503">
        <v>-1.7638843604673491</v>
      </c>
      <c r="F503">
        <v>-0.98897197690870997</v>
      </c>
      <c r="G503">
        <f t="shared" si="7"/>
        <v>0.77491238355863912</v>
      </c>
      <c r="H503">
        <v>0.15875367403053001</v>
      </c>
    </row>
    <row r="504" spans="1:8" x14ac:dyDescent="0.35">
      <c r="A504" t="s">
        <v>77</v>
      </c>
      <c r="B504" t="s">
        <v>42</v>
      </c>
      <c r="C504" t="s">
        <v>40</v>
      </c>
      <c r="D504">
        <v>2013</v>
      </c>
      <c r="E504">
        <v>0.25474465246075878</v>
      </c>
      <c r="F504">
        <v>-0.98897197690870997</v>
      </c>
      <c r="G504">
        <f t="shared" si="7"/>
        <v>-1.2437166293694688</v>
      </c>
      <c r="H504">
        <v>0.15875367403053001</v>
      </c>
    </row>
    <row r="505" spans="1:8" x14ac:dyDescent="0.35">
      <c r="A505" t="s">
        <v>77</v>
      </c>
      <c r="B505" t="s">
        <v>44</v>
      </c>
      <c r="C505" t="s">
        <v>40</v>
      </c>
      <c r="D505">
        <v>2013</v>
      </c>
      <c r="E505">
        <v>-2.3430661136081392</v>
      </c>
      <c r="F505">
        <v>-0.98897197690870997</v>
      </c>
      <c r="G505">
        <f t="shared" si="7"/>
        <v>1.3540941366994292</v>
      </c>
      <c r="H505">
        <v>0.15875367403053001</v>
      </c>
    </row>
    <row r="506" spans="1:8" x14ac:dyDescent="0.35">
      <c r="A506" t="s">
        <v>77</v>
      </c>
      <c r="B506" t="s">
        <v>43</v>
      </c>
      <c r="C506" t="s">
        <v>38</v>
      </c>
      <c r="D506">
        <v>2014</v>
      </c>
      <c r="E506">
        <v>0.77627138458356004</v>
      </c>
      <c r="F506">
        <v>0.73862541356536338</v>
      </c>
      <c r="G506">
        <f t="shared" si="7"/>
        <v>-3.7645971018196667E-2</v>
      </c>
      <c r="H506">
        <v>0.16205320636764509</v>
      </c>
    </row>
    <row r="507" spans="1:8" x14ac:dyDescent="0.35">
      <c r="A507" t="s">
        <v>77</v>
      </c>
      <c r="B507" t="s">
        <v>45</v>
      </c>
      <c r="C507" t="s">
        <v>38</v>
      </c>
      <c r="D507">
        <v>2014</v>
      </c>
      <c r="E507">
        <v>0.93766267530348557</v>
      </c>
      <c r="F507">
        <v>0.73862541356536338</v>
      </c>
      <c r="G507">
        <f t="shared" si="7"/>
        <v>-0.1990372617381222</v>
      </c>
      <c r="H507">
        <v>0.16205320636764509</v>
      </c>
    </row>
    <row r="508" spans="1:8" x14ac:dyDescent="0.35">
      <c r="A508" t="s">
        <v>77</v>
      </c>
      <c r="B508" t="s">
        <v>44</v>
      </c>
      <c r="C508" t="s">
        <v>40</v>
      </c>
      <c r="D508">
        <v>2014</v>
      </c>
      <c r="E508">
        <v>0.55862666597106259</v>
      </c>
      <c r="F508">
        <v>0.73862541356536338</v>
      </c>
      <c r="G508">
        <f t="shared" si="7"/>
        <v>0.17999874759430079</v>
      </c>
      <c r="H508">
        <v>0.16205320636764509</v>
      </c>
    </row>
    <row r="509" spans="1:8" x14ac:dyDescent="0.35">
      <c r="A509" t="s">
        <v>77</v>
      </c>
      <c r="B509" t="s">
        <v>46</v>
      </c>
      <c r="C509" t="s">
        <v>40</v>
      </c>
      <c r="D509">
        <v>2014</v>
      </c>
      <c r="E509">
        <v>1.244291809650244</v>
      </c>
      <c r="F509">
        <v>0.73862541356536338</v>
      </c>
      <c r="G509">
        <f t="shared" si="7"/>
        <v>-0.50566639608488062</v>
      </c>
      <c r="H509">
        <v>0.16205320636764509</v>
      </c>
    </row>
    <row r="510" spans="1:8" x14ac:dyDescent="0.35">
      <c r="A510" t="s">
        <v>77</v>
      </c>
      <c r="B510" t="s">
        <v>45</v>
      </c>
      <c r="C510" t="s">
        <v>38</v>
      </c>
      <c r="D510">
        <v>2015</v>
      </c>
      <c r="E510">
        <v>1.29819266835165</v>
      </c>
      <c r="F510">
        <v>1.5772755552952269</v>
      </c>
      <c r="G510">
        <f t="shared" si="7"/>
        <v>0.27908288694357686</v>
      </c>
      <c r="H510">
        <v>0.15554637618713571</v>
      </c>
    </row>
    <row r="511" spans="1:8" x14ac:dyDescent="0.35">
      <c r="A511" t="s">
        <v>77</v>
      </c>
      <c r="B511" t="s">
        <v>47</v>
      </c>
      <c r="C511" t="s">
        <v>38</v>
      </c>
      <c r="D511">
        <v>2015</v>
      </c>
      <c r="E511">
        <v>1.741329419958926</v>
      </c>
      <c r="F511">
        <v>1.5772755552952269</v>
      </c>
      <c r="G511">
        <f t="shared" si="7"/>
        <v>-0.16405386466369909</v>
      </c>
      <c r="H511">
        <v>0.15554637618713571</v>
      </c>
    </row>
    <row r="512" spans="1:8" x14ac:dyDescent="0.35">
      <c r="A512" t="s">
        <v>77</v>
      </c>
      <c r="B512" t="s">
        <v>46</v>
      </c>
      <c r="C512" t="s">
        <v>40</v>
      </c>
      <c r="D512">
        <v>2015</v>
      </c>
      <c r="E512">
        <v>1.4931874273763861</v>
      </c>
      <c r="F512">
        <v>1.5772755552952269</v>
      </c>
      <c r="G512">
        <f t="shared" si="7"/>
        <v>8.4088127918840794E-2</v>
      </c>
      <c r="H512">
        <v>0.15554637618713571</v>
      </c>
    </row>
    <row r="513" spans="1:8" x14ac:dyDescent="0.35">
      <c r="A513" t="s">
        <v>77</v>
      </c>
      <c r="B513" t="s">
        <v>48</v>
      </c>
      <c r="C513" t="s">
        <v>40</v>
      </c>
      <c r="D513">
        <v>2015</v>
      </c>
      <c r="E513">
        <v>1.6418853965775471</v>
      </c>
      <c r="F513">
        <v>1.5772755552952269</v>
      </c>
      <c r="G513">
        <f t="shared" si="7"/>
        <v>-6.4609841282320168E-2</v>
      </c>
      <c r="H513">
        <v>0.15554637618713571</v>
      </c>
    </row>
    <row r="514" spans="1:8" x14ac:dyDescent="0.35">
      <c r="A514" t="s">
        <v>77</v>
      </c>
      <c r="B514" t="s">
        <v>47</v>
      </c>
      <c r="C514" t="s">
        <v>38</v>
      </c>
      <c r="D514">
        <v>2016</v>
      </c>
      <c r="E514">
        <v>1.659048842216615</v>
      </c>
      <c r="F514">
        <v>1.9843922204112789</v>
      </c>
      <c r="G514">
        <f t="shared" ref="G514:G549" si="8">IF(OR(F514="",E514=""),"",F514-E514)</f>
        <v>0.32534337819466397</v>
      </c>
      <c r="H514">
        <v>0.14130583113852541</v>
      </c>
    </row>
    <row r="515" spans="1:8" x14ac:dyDescent="0.35">
      <c r="A515" t="s">
        <v>77</v>
      </c>
      <c r="B515" t="s">
        <v>49</v>
      </c>
      <c r="C515" t="s">
        <v>38</v>
      </c>
      <c r="D515">
        <v>2016</v>
      </c>
      <c r="E515">
        <v>0.92930181879138374</v>
      </c>
      <c r="F515">
        <v>1.9843922204112789</v>
      </c>
      <c r="G515">
        <f t="shared" si="8"/>
        <v>1.0550904016198952</v>
      </c>
      <c r="H515">
        <v>0.14130583113852541</v>
      </c>
    </row>
    <row r="516" spans="1:8" x14ac:dyDescent="0.35">
      <c r="A516" t="s">
        <v>77</v>
      </c>
      <c r="B516" t="s">
        <v>48</v>
      </c>
      <c r="C516" t="s">
        <v>40</v>
      </c>
      <c r="D516">
        <v>2016</v>
      </c>
      <c r="E516">
        <v>1.838363161189682</v>
      </c>
      <c r="F516">
        <v>1.9843922204112789</v>
      </c>
      <c r="G516">
        <f t="shared" si="8"/>
        <v>0.14602905922159692</v>
      </c>
      <c r="H516">
        <v>0.14130583113852541</v>
      </c>
    </row>
    <row r="517" spans="1:8" x14ac:dyDescent="0.35">
      <c r="A517" t="s">
        <v>77</v>
      </c>
      <c r="B517" t="s">
        <v>50</v>
      </c>
      <c r="C517" t="s">
        <v>40</v>
      </c>
      <c r="D517">
        <v>2016</v>
      </c>
      <c r="E517">
        <v>1.458222731677794</v>
      </c>
      <c r="F517">
        <v>1.9843922204112789</v>
      </c>
      <c r="G517">
        <f t="shared" si="8"/>
        <v>0.5261694887334849</v>
      </c>
      <c r="H517">
        <v>0.14130583113852541</v>
      </c>
    </row>
    <row r="518" spans="1:8" x14ac:dyDescent="0.35">
      <c r="A518" t="s">
        <v>77</v>
      </c>
      <c r="B518" t="s">
        <v>49</v>
      </c>
      <c r="C518" t="s">
        <v>38</v>
      </c>
      <c r="D518">
        <v>2017</v>
      </c>
      <c r="E518">
        <v>1.2443844685501531</v>
      </c>
      <c r="F518">
        <v>3.260896558994415</v>
      </c>
      <c r="G518">
        <f t="shared" si="8"/>
        <v>2.0165120904442619</v>
      </c>
      <c r="H518">
        <v>0.1419919770087415</v>
      </c>
    </row>
    <row r="519" spans="1:8" x14ac:dyDescent="0.35">
      <c r="A519" t="s">
        <v>77</v>
      </c>
      <c r="B519" t="s">
        <v>51</v>
      </c>
      <c r="C519" t="s">
        <v>38</v>
      </c>
      <c r="D519">
        <v>2017</v>
      </c>
      <c r="E519">
        <v>2.6293844522458749</v>
      </c>
      <c r="F519">
        <v>3.260896558994415</v>
      </c>
      <c r="G519">
        <f t="shared" si="8"/>
        <v>0.63151210674854008</v>
      </c>
      <c r="H519">
        <v>0.1419919770087415</v>
      </c>
    </row>
    <row r="520" spans="1:8" x14ac:dyDescent="0.35">
      <c r="A520" t="s">
        <v>77</v>
      </c>
      <c r="B520" t="s">
        <v>50</v>
      </c>
      <c r="C520" t="s">
        <v>40</v>
      </c>
      <c r="D520">
        <v>2017</v>
      </c>
      <c r="E520">
        <v>1.7439816750679069</v>
      </c>
      <c r="F520">
        <v>3.260896558994415</v>
      </c>
      <c r="G520">
        <f t="shared" si="8"/>
        <v>1.5169148839265081</v>
      </c>
      <c r="H520">
        <v>0.1419919770087415</v>
      </c>
    </row>
    <row r="521" spans="1:8" x14ac:dyDescent="0.35">
      <c r="A521" t="s">
        <v>77</v>
      </c>
      <c r="B521" t="s">
        <v>52</v>
      </c>
      <c r="C521" t="s">
        <v>40</v>
      </c>
      <c r="D521">
        <v>2017</v>
      </c>
      <c r="E521">
        <v>1.838683940143615</v>
      </c>
      <c r="F521">
        <v>3.260896558994415</v>
      </c>
      <c r="G521">
        <f t="shared" si="8"/>
        <v>1.4222126188508</v>
      </c>
      <c r="H521">
        <v>0.1419919770087415</v>
      </c>
    </row>
    <row r="522" spans="1:8" x14ac:dyDescent="0.35">
      <c r="A522" t="s">
        <v>77</v>
      </c>
      <c r="B522" t="s">
        <v>51</v>
      </c>
      <c r="C522" t="s">
        <v>38</v>
      </c>
      <c r="D522">
        <v>2018</v>
      </c>
      <c r="E522">
        <v>2.0625112156605669</v>
      </c>
      <c r="F522">
        <v>2.903725267458769</v>
      </c>
      <c r="G522">
        <f t="shared" si="8"/>
        <v>0.84121405179820208</v>
      </c>
      <c r="H522">
        <v>0.13948003480297469</v>
      </c>
    </row>
    <row r="523" spans="1:8" x14ac:dyDescent="0.35">
      <c r="A523" t="s">
        <v>77</v>
      </c>
      <c r="B523" t="s">
        <v>53</v>
      </c>
      <c r="C523" t="s">
        <v>38</v>
      </c>
      <c r="D523">
        <v>2018</v>
      </c>
      <c r="E523">
        <v>2.1672748154352162</v>
      </c>
      <c r="F523">
        <v>2.903725267458769</v>
      </c>
      <c r="G523">
        <f t="shared" si="8"/>
        <v>0.73645045202355286</v>
      </c>
      <c r="H523">
        <v>0.13948003480297469</v>
      </c>
    </row>
    <row r="524" spans="1:8" x14ac:dyDescent="0.35">
      <c r="A524" t="s">
        <v>77</v>
      </c>
      <c r="B524" t="s">
        <v>52</v>
      </c>
      <c r="C524" t="s">
        <v>40</v>
      </c>
      <c r="D524">
        <v>2018</v>
      </c>
      <c r="E524">
        <v>1.5677461936429939</v>
      </c>
      <c r="F524">
        <v>2.903725267458769</v>
      </c>
      <c r="G524">
        <f t="shared" si="8"/>
        <v>1.3359790738157751</v>
      </c>
      <c r="H524">
        <v>0.13948003480297469</v>
      </c>
    </row>
    <row r="525" spans="1:8" x14ac:dyDescent="0.35">
      <c r="A525" t="s">
        <v>77</v>
      </c>
      <c r="B525" t="s">
        <v>54</v>
      </c>
      <c r="C525" t="s">
        <v>40</v>
      </c>
      <c r="D525">
        <v>2018</v>
      </c>
      <c r="E525">
        <v>2.3337380052623979</v>
      </c>
      <c r="F525">
        <v>2.903725267458769</v>
      </c>
      <c r="G525">
        <f t="shared" si="8"/>
        <v>0.56998726219637108</v>
      </c>
      <c r="H525">
        <v>0.13948003480297469</v>
      </c>
    </row>
    <row r="526" spans="1:8" x14ac:dyDescent="0.35">
      <c r="A526" t="s">
        <v>77</v>
      </c>
      <c r="B526" t="s">
        <v>53</v>
      </c>
      <c r="C526" t="s">
        <v>38</v>
      </c>
      <c r="D526">
        <v>2019</v>
      </c>
      <c r="E526">
        <v>1.839454993980616</v>
      </c>
      <c r="F526">
        <v>2.7086922955372188</v>
      </c>
      <c r="G526">
        <f t="shared" si="8"/>
        <v>0.86923730155660284</v>
      </c>
      <c r="H526">
        <v>0.1380850606401679</v>
      </c>
    </row>
    <row r="527" spans="1:8" x14ac:dyDescent="0.35">
      <c r="A527" t="s">
        <v>77</v>
      </c>
      <c r="B527" t="s">
        <v>55</v>
      </c>
      <c r="C527" t="s">
        <v>38</v>
      </c>
      <c r="D527">
        <v>2019</v>
      </c>
      <c r="E527">
        <v>1.950475273387009</v>
      </c>
      <c r="F527">
        <v>2.7086922955372188</v>
      </c>
      <c r="G527">
        <f t="shared" si="8"/>
        <v>0.75821702215020981</v>
      </c>
      <c r="H527">
        <v>0.1380850606401679</v>
      </c>
    </row>
    <row r="528" spans="1:8" x14ac:dyDescent="0.35">
      <c r="A528" t="s">
        <v>77</v>
      </c>
      <c r="B528" t="s">
        <v>54</v>
      </c>
      <c r="C528" t="s">
        <v>40</v>
      </c>
      <c r="D528">
        <v>2019</v>
      </c>
      <c r="E528">
        <v>2.0372674050813671</v>
      </c>
      <c r="F528">
        <v>2.7086922955372188</v>
      </c>
      <c r="G528">
        <f t="shared" si="8"/>
        <v>0.67142489045585174</v>
      </c>
      <c r="H528">
        <v>0.1380850606401679</v>
      </c>
    </row>
    <row r="529" spans="1:8" x14ac:dyDescent="0.35">
      <c r="A529" t="s">
        <v>77</v>
      </c>
      <c r="B529" t="s">
        <v>56</v>
      </c>
      <c r="C529" t="s">
        <v>40</v>
      </c>
      <c r="D529">
        <v>2019</v>
      </c>
      <c r="E529">
        <v>1.672451894689297</v>
      </c>
      <c r="F529">
        <v>2.7086922955372188</v>
      </c>
      <c r="G529">
        <f t="shared" si="8"/>
        <v>1.0362404008479218</v>
      </c>
      <c r="H529">
        <v>0.1380850606401679</v>
      </c>
    </row>
    <row r="530" spans="1:8" x14ac:dyDescent="0.35">
      <c r="A530" t="s">
        <v>77</v>
      </c>
      <c r="B530" t="s">
        <v>55</v>
      </c>
      <c r="C530" t="s">
        <v>38</v>
      </c>
      <c r="D530">
        <v>2020</v>
      </c>
      <c r="E530">
        <v>1.699885517193356</v>
      </c>
      <c r="F530">
        <v>-8.5609032033360464</v>
      </c>
      <c r="G530">
        <f t="shared" si="8"/>
        <v>-10.260788720529403</v>
      </c>
      <c r="H530">
        <v>0.14810212813728671</v>
      </c>
    </row>
    <row r="531" spans="1:8" x14ac:dyDescent="0.35">
      <c r="A531" t="s">
        <v>77</v>
      </c>
      <c r="B531" t="s">
        <v>57</v>
      </c>
      <c r="C531" t="s">
        <v>38</v>
      </c>
      <c r="D531">
        <v>2020</v>
      </c>
      <c r="E531">
        <v>-9.2905567939445373</v>
      </c>
      <c r="F531">
        <v>-8.5609032033360464</v>
      </c>
      <c r="G531">
        <f t="shared" si="8"/>
        <v>0.72965359060849089</v>
      </c>
      <c r="H531">
        <v>0.14810212813728671</v>
      </c>
    </row>
    <row r="532" spans="1:8" x14ac:dyDescent="0.35">
      <c r="A532" t="s">
        <v>77</v>
      </c>
      <c r="B532" t="s">
        <v>56</v>
      </c>
      <c r="C532" t="s">
        <v>40</v>
      </c>
      <c r="D532">
        <v>2020</v>
      </c>
      <c r="E532">
        <v>1.7153996309464681</v>
      </c>
      <c r="F532">
        <v>-8.5609032033360464</v>
      </c>
      <c r="G532">
        <f t="shared" si="8"/>
        <v>-10.276302834282514</v>
      </c>
      <c r="H532">
        <v>0.14810212813728671</v>
      </c>
    </row>
    <row r="533" spans="1:8" x14ac:dyDescent="0.35">
      <c r="A533" t="s">
        <v>77</v>
      </c>
      <c r="B533" t="s">
        <v>58</v>
      </c>
      <c r="C533" t="s">
        <v>40</v>
      </c>
      <c r="D533">
        <v>2020</v>
      </c>
      <c r="E533">
        <v>-6.7651809613411107</v>
      </c>
      <c r="F533">
        <v>-8.5609032033360464</v>
      </c>
      <c r="G533">
        <f t="shared" si="8"/>
        <v>-1.7957222419949357</v>
      </c>
      <c r="H533">
        <v>0.14810212813728671</v>
      </c>
    </row>
    <row r="534" spans="1:8" x14ac:dyDescent="0.35">
      <c r="A534" t="s">
        <v>77</v>
      </c>
      <c r="B534" t="s">
        <v>57</v>
      </c>
      <c r="C534" t="s">
        <v>38</v>
      </c>
      <c r="D534">
        <v>2021</v>
      </c>
      <c r="E534">
        <v>5.3606609364002189</v>
      </c>
      <c r="F534">
        <v>5.4098373027499997</v>
      </c>
      <c r="G534">
        <f t="shared" si="8"/>
        <v>4.9176366349780842E-2</v>
      </c>
      <c r="H534">
        <v>0.15193398171114969</v>
      </c>
    </row>
    <row r="535" spans="1:8" x14ac:dyDescent="0.35">
      <c r="A535" t="s">
        <v>77</v>
      </c>
      <c r="B535" t="s">
        <v>59</v>
      </c>
      <c r="C535" t="s">
        <v>38</v>
      </c>
      <c r="D535">
        <v>2021</v>
      </c>
      <c r="E535">
        <v>4.5428064601391371</v>
      </c>
      <c r="F535">
        <v>5.4098373027499997</v>
      </c>
      <c r="G535">
        <f t="shared" si="8"/>
        <v>0.86703084261086261</v>
      </c>
      <c r="H535">
        <v>0.15193398171114969</v>
      </c>
    </row>
    <row r="536" spans="1:8" x14ac:dyDescent="0.35">
      <c r="A536" t="s">
        <v>77</v>
      </c>
      <c r="B536" t="s">
        <v>58</v>
      </c>
      <c r="C536" t="s">
        <v>40</v>
      </c>
      <c r="D536">
        <v>2021</v>
      </c>
      <c r="E536">
        <v>5.8179091621113344</v>
      </c>
      <c r="F536">
        <v>5.4098373027499997</v>
      </c>
      <c r="G536">
        <f t="shared" si="8"/>
        <v>-0.40807185936133461</v>
      </c>
      <c r="H536">
        <v>0.15193398171114969</v>
      </c>
    </row>
    <row r="537" spans="1:8" x14ac:dyDescent="0.35">
      <c r="A537" t="s">
        <v>77</v>
      </c>
      <c r="B537" t="s">
        <v>60</v>
      </c>
      <c r="C537" t="s">
        <v>40</v>
      </c>
      <c r="D537">
        <v>2021</v>
      </c>
      <c r="E537">
        <v>3.9441078773994498</v>
      </c>
      <c r="F537">
        <v>5.4098373027499997</v>
      </c>
      <c r="G537">
        <f t="shared" si="8"/>
        <v>1.46572942535055</v>
      </c>
      <c r="H537">
        <v>0.15193398171114969</v>
      </c>
    </row>
    <row r="538" spans="1:8" x14ac:dyDescent="0.35">
      <c r="A538" t="s">
        <v>77</v>
      </c>
      <c r="B538" t="s">
        <v>59</v>
      </c>
      <c r="C538" t="s">
        <v>38</v>
      </c>
      <c r="D538">
        <v>2022</v>
      </c>
      <c r="E538">
        <v>5.3212657228810967</v>
      </c>
      <c r="F538">
        <v>6.7526124502433778</v>
      </c>
      <c r="G538">
        <f t="shared" si="8"/>
        <v>1.4313467273622811</v>
      </c>
      <c r="H538">
        <v>0.14461475316746991</v>
      </c>
    </row>
    <row r="539" spans="1:8" x14ac:dyDescent="0.35">
      <c r="A539" t="s">
        <v>77</v>
      </c>
      <c r="B539" t="s">
        <v>61</v>
      </c>
      <c r="C539" t="s">
        <v>38</v>
      </c>
      <c r="D539">
        <v>2022</v>
      </c>
      <c r="E539">
        <v>6.5861251608809734</v>
      </c>
      <c r="F539">
        <v>6.7526124502433778</v>
      </c>
      <c r="G539">
        <f t="shared" si="8"/>
        <v>0.16648728936240431</v>
      </c>
      <c r="H539">
        <v>0.14461475316746991</v>
      </c>
    </row>
    <row r="540" spans="1:8" x14ac:dyDescent="0.35">
      <c r="A540" t="s">
        <v>77</v>
      </c>
      <c r="B540" t="s">
        <v>60</v>
      </c>
      <c r="C540" t="s">
        <v>40</v>
      </c>
      <c r="D540">
        <v>2022</v>
      </c>
      <c r="E540">
        <v>5.0988792351265078</v>
      </c>
      <c r="F540">
        <v>6.7526124502433778</v>
      </c>
      <c r="G540">
        <f t="shared" si="8"/>
        <v>1.65373321511687</v>
      </c>
      <c r="H540">
        <v>0.14461475316746991</v>
      </c>
    </row>
    <row r="541" spans="1:8" x14ac:dyDescent="0.35">
      <c r="A541" t="s">
        <v>77</v>
      </c>
      <c r="B541" t="s">
        <v>62</v>
      </c>
      <c r="C541" t="s">
        <v>40</v>
      </c>
      <c r="D541">
        <v>2022</v>
      </c>
      <c r="E541">
        <v>5.8054687081874778</v>
      </c>
      <c r="F541">
        <v>6.7526124502433778</v>
      </c>
      <c r="G541">
        <f t="shared" si="8"/>
        <v>0.94714374205589991</v>
      </c>
      <c r="H541">
        <v>0.14461475316746991</v>
      </c>
    </row>
    <row r="542" spans="1:8" x14ac:dyDescent="0.35">
      <c r="A542" t="s">
        <v>77</v>
      </c>
      <c r="B542" t="s">
        <v>61</v>
      </c>
      <c r="C542" t="s">
        <v>38</v>
      </c>
      <c r="D542">
        <v>2023</v>
      </c>
      <c r="E542">
        <v>0.71696140778811923</v>
      </c>
      <c r="F542">
        <v>3.0529202104847739</v>
      </c>
      <c r="G542">
        <f t="shared" si="8"/>
        <v>2.3359588026966547</v>
      </c>
      <c r="H542">
        <v>0.13707314166650111</v>
      </c>
    </row>
    <row r="543" spans="1:8" x14ac:dyDescent="0.35">
      <c r="A543" t="s">
        <v>77</v>
      </c>
      <c r="B543" t="s">
        <v>63</v>
      </c>
      <c r="C543" t="s">
        <v>38</v>
      </c>
      <c r="D543">
        <v>2023</v>
      </c>
      <c r="E543">
        <v>2.226883105497079</v>
      </c>
      <c r="F543">
        <v>3.0529202104847739</v>
      </c>
      <c r="G543">
        <f t="shared" si="8"/>
        <v>0.82603710498769489</v>
      </c>
      <c r="H543">
        <v>0.13707314166650111</v>
      </c>
    </row>
    <row r="544" spans="1:8" x14ac:dyDescent="0.35">
      <c r="A544" t="s">
        <v>77</v>
      </c>
      <c r="B544" t="s">
        <v>62</v>
      </c>
      <c r="C544" t="s">
        <v>40</v>
      </c>
      <c r="D544">
        <v>2023</v>
      </c>
      <c r="E544">
        <v>2.6604918870074319</v>
      </c>
      <c r="F544">
        <v>3.0529202104847739</v>
      </c>
      <c r="G544">
        <f t="shared" si="8"/>
        <v>0.39242832347734202</v>
      </c>
      <c r="H544">
        <v>0.13707314166650111</v>
      </c>
    </row>
    <row r="545" spans="1:8" x14ac:dyDescent="0.35">
      <c r="A545" t="s">
        <v>77</v>
      </c>
      <c r="B545" t="s">
        <v>64</v>
      </c>
      <c r="C545" t="s">
        <v>40</v>
      </c>
      <c r="D545">
        <v>2023</v>
      </c>
      <c r="E545">
        <v>2.4387614512581202</v>
      </c>
      <c r="F545">
        <v>3.0529202104847739</v>
      </c>
      <c r="G545">
        <f t="shared" si="8"/>
        <v>0.61415875922665375</v>
      </c>
      <c r="H545">
        <v>0.13707314166650111</v>
      </c>
    </row>
    <row r="546" spans="1:8" x14ac:dyDescent="0.35">
      <c r="A546" t="s">
        <v>77</v>
      </c>
      <c r="B546" t="s">
        <v>63</v>
      </c>
      <c r="C546" t="s">
        <v>38</v>
      </c>
      <c r="D546">
        <v>2024</v>
      </c>
      <c r="E546">
        <v>1.3133477904788251</v>
      </c>
      <c r="F546">
        <v>2.1904072780361381</v>
      </c>
      <c r="G546">
        <f t="shared" si="8"/>
        <v>0.877059487557313</v>
      </c>
      <c r="H546">
        <v>8.6782381012711671E-2</v>
      </c>
    </row>
    <row r="547" spans="1:8" x14ac:dyDescent="0.35">
      <c r="A547" t="s">
        <v>77</v>
      </c>
      <c r="B547" t="s">
        <v>65</v>
      </c>
      <c r="C547" t="s">
        <v>38</v>
      </c>
      <c r="D547">
        <v>2024</v>
      </c>
      <c r="E547">
        <v>1.6514732694230541</v>
      </c>
      <c r="F547">
        <v>2.1904072780361381</v>
      </c>
      <c r="G547">
        <f t="shared" si="8"/>
        <v>0.53893400861308405</v>
      </c>
      <c r="H547">
        <v>8.6782381012711671E-2</v>
      </c>
    </row>
    <row r="548" spans="1:8" x14ac:dyDescent="0.35">
      <c r="A548" t="s">
        <v>77</v>
      </c>
      <c r="B548" t="s">
        <v>64</v>
      </c>
      <c r="C548" t="s">
        <v>40</v>
      </c>
      <c r="D548">
        <v>2024</v>
      </c>
      <c r="E548">
        <v>1.7569161258840891</v>
      </c>
      <c r="F548">
        <v>2.1904072780361381</v>
      </c>
      <c r="G548">
        <f t="shared" si="8"/>
        <v>0.43349115215204903</v>
      </c>
      <c r="H548">
        <v>8.6782381012711671E-2</v>
      </c>
    </row>
    <row r="549" spans="1:8" x14ac:dyDescent="0.35">
      <c r="A549" t="s">
        <v>77</v>
      </c>
      <c r="B549" t="s">
        <v>66</v>
      </c>
      <c r="C549" t="s">
        <v>40</v>
      </c>
      <c r="D549">
        <v>2024</v>
      </c>
      <c r="E549">
        <v>1.734179743438991</v>
      </c>
      <c r="F549">
        <v>2.1904072780361381</v>
      </c>
      <c r="G549">
        <f t="shared" si="8"/>
        <v>0.45622753459714716</v>
      </c>
      <c r="H549">
        <v>8.6782381012711671E-2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09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5</v>
      </c>
    </row>
    <row r="2" spans="1:8" x14ac:dyDescent="0.35">
      <c r="A2" t="s">
        <v>36</v>
      </c>
      <c r="B2" t="s">
        <v>55</v>
      </c>
      <c r="C2" t="s">
        <v>38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0.17076349956742379</v>
      </c>
    </row>
    <row r="3" spans="1:8" x14ac:dyDescent="0.35">
      <c r="A3" t="s">
        <v>36</v>
      </c>
      <c r="B3" t="s">
        <v>57</v>
      </c>
      <c r="C3" t="s">
        <v>38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0.17076349956742379</v>
      </c>
    </row>
    <row r="4" spans="1:8" x14ac:dyDescent="0.35">
      <c r="A4" t="s">
        <v>36</v>
      </c>
      <c r="B4" t="s">
        <v>56</v>
      </c>
      <c r="C4" t="s">
        <v>40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0.17076349956742379</v>
      </c>
    </row>
    <row r="5" spans="1:8" x14ac:dyDescent="0.35">
      <c r="A5" t="s">
        <v>36</v>
      </c>
      <c r="B5" t="s">
        <v>58</v>
      </c>
      <c r="C5" t="s">
        <v>40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0.17076349956742379</v>
      </c>
    </row>
    <row r="6" spans="1:8" x14ac:dyDescent="0.35">
      <c r="A6" t="s">
        <v>36</v>
      </c>
      <c r="B6" t="s">
        <v>57</v>
      </c>
      <c r="C6" t="s">
        <v>38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0.1559916018212551</v>
      </c>
    </row>
    <row r="7" spans="1:8" x14ac:dyDescent="0.35">
      <c r="A7" t="s">
        <v>36</v>
      </c>
      <c r="B7" t="s">
        <v>59</v>
      </c>
      <c r="C7" t="s">
        <v>38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0.1559916018212551</v>
      </c>
    </row>
    <row r="8" spans="1:8" x14ac:dyDescent="0.35">
      <c r="A8" t="s">
        <v>36</v>
      </c>
      <c r="B8" t="s">
        <v>58</v>
      </c>
      <c r="C8" t="s">
        <v>40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0.1559916018212551</v>
      </c>
    </row>
    <row r="9" spans="1:8" x14ac:dyDescent="0.35">
      <c r="A9" t="s">
        <v>36</v>
      </c>
      <c r="B9" t="s">
        <v>60</v>
      </c>
      <c r="C9" t="s">
        <v>40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0.1559916018212551</v>
      </c>
    </row>
    <row r="10" spans="1:8" x14ac:dyDescent="0.35">
      <c r="A10" t="s">
        <v>36</v>
      </c>
      <c r="B10" t="s">
        <v>59</v>
      </c>
      <c r="C10" t="s">
        <v>38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0.15603500394963879</v>
      </c>
    </row>
    <row r="11" spans="1:8" x14ac:dyDescent="0.35">
      <c r="A11" t="s">
        <v>36</v>
      </c>
      <c r="B11" t="s">
        <v>61</v>
      </c>
      <c r="C11" t="s">
        <v>38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0.15603500394963879</v>
      </c>
    </row>
    <row r="12" spans="1:8" x14ac:dyDescent="0.35">
      <c r="A12" t="s">
        <v>36</v>
      </c>
      <c r="B12" t="s">
        <v>60</v>
      </c>
      <c r="C12" t="s">
        <v>40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0.15603500394963879</v>
      </c>
    </row>
    <row r="13" spans="1:8" x14ac:dyDescent="0.35">
      <c r="A13" t="s">
        <v>36</v>
      </c>
      <c r="B13" t="s">
        <v>62</v>
      </c>
      <c r="C13" t="s">
        <v>40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0.15603500394963879</v>
      </c>
    </row>
    <row r="14" spans="1:8" x14ac:dyDescent="0.35">
      <c r="A14" t="s">
        <v>36</v>
      </c>
      <c r="B14" t="s">
        <v>61</v>
      </c>
      <c r="C14" t="s">
        <v>38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0.1673103527784183</v>
      </c>
    </row>
    <row r="15" spans="1:8" x14ac:dyDescent="0.35">
      <c r="A15" t="s">
        <v>36</v>
      </c>
      <c r="B15" t="s">
        <v>63</v>
      </c>
      <c r="C15" t="s">
        <v>38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0.1673103527784183</v>
      </c>
    </row>
    <row r="16" spans="1:8" x14ac:dyDescent="0.35">
      <c r="A16" t="s">
        <v>36</v>
      </c>
      <c r="B16" t="s">
        <v>62</v>
      </c>
      <c r="C16" t="s">
        <v>40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0.1673103527784183</v>
      </c>
    </row>
    <row r="17" spans="1:8" x14ac:dyDescent="0.35">
      <c r="A17" t="s">
        <v>36</v>
      </c>
      <c r="B17" t="s">
        <v>64</v>
      </c>
      <c r="C17" t="s">
        <v>40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0.1673103527784183</v>
      </c>
    </row>
    <row r="18" spans="1:8" x14ac:dyDescent="0.35">
      <c r="A18" t="s">
        <v>36</v>
      </c>
      <c r="B18" t="s">
        <v>63</v>
      </c>
      <c r="C18" t="s">
        <v>38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0.17496495406425419</v>
      </c>
    </row>
    <row r="19" spans="1:8" x14ac:dyDescent="0.35">
      <c r="A19" t="s">
        <v>36</v>
      </c>
      <c r="B19" t="s">
        <v>65</v>
      </c>
      <c r="C19" t="s">
        <v>38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0.17496495406425419</v>
      </c>
    </row>
    <row r="20" spans="1:8" x14ac:dyDescent="0.35">
      <c r="A20" t="s">
        <v>36</v>
      </c>
      <c r="B20" t="s">
        <v>64</v>
      </c>
      <c r="C20" t="s">
        <v>40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0.17496495406425419</v>
      </c>
    </row>
    <row r="21" spans="1:8" x14ac:dyDescent="0.35">
      <c r="A21" t="s">
        <v>36</v>
      </c>
      <c r="B21" t="s">
        <v>66</v>
      </c>
      <c r="C21" t="s">
        <v>40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0.17496495406425419</v>
      </c>
    </row>
    <row r="22" spans="1:8" x14ac:dyDescent="0.35">
      <c r="A22" t="s">
        <v>67</v>
      </c>
      <c r="B22" t="s">
        <v>55</v>
      </c>
      <c r="C22" t="s">
        <v>38</v>
      </c>
      <c r="D22">
        <v>2020</v>
      </c>
      <c r="E22">
        <v>0.96034482213216421</v>
      </c>
      <c r="F22">
        <v>-4.9116764965584894</v>
      </c>
      <c r="G22">
        <f t="shared" si="0"/>
        <v>-5.8720213186906536</v>
      </c>
      <c r="H22">
        <v>0.14451633046915729</v>
      </c>
    </row>
    <row r="23" spans="1:8" x14ac:dyDescent="0.35">
      <c r="A23" t="s">
        <v>67</v>
      </c>
      <c r="B23" t="s">
        <v>57</v>
      </c>
      <c r="C23" t="s">
        <v>38</v>
      </c>
      <c r="D23">
        <v>2020</v>
      </c>
      <c r="E23">
        <v>-8.420158667688538</v>
      </c>
      <c r="F23">
        <v>-4.9116764965584894</v>
      </c>
      <c r="G23">
        <f t="shared" si="0"/>
        <v>3.5084821711300487</v>
      </c>
      <c r="H23">
        <v>0.14451633046915729</v>
      </c>
    </row>
    <row r="24" spans="1:8" x14ac:dyDescent="0.35">
      <c r="A24" t="s">
        <v>67</v>
      </c>
      <c r="B24" t="s">
        <v>56</v>
      </c>
      <c r="C24" t="s">
        <v>40</v>
      </c>
      <c r="D24">
        <v>2020</v>
      </c>
      <c r="E24">
        <v>1.199077085455502</v>
      </c>
      <c r="F24">
        <v>-4.9116764965584894</v>
      </c>
      <c r="G24">
        <f t="shared" si="0"/>
        <v>-6.1107535820139915</v>
      </c>
      <c r="H24">
        <v>0.14451633046915729</v>
      </c>
    </row>
    <row r="25" spans="1:8" x14ac:dyDescent="0.35">
      <c r="A25" t="s">
        <v>67</v>
      </c>
      <c r="B25" t="s">
        <v>58</v>
      </c>
      <c r="C25" t="s">
        <v>40</v>
      </c>
      <c r="D25">
        <v>2020</v>
      </c>
      <c r="E25">
        <v>-7.1575995247655024</v>
      </c>
      <c r="F25">
        <v>-4.9116764965584894</v>
      </c>
      <c r="G25">
        <f t="shared" si="0"/>
        <v>2.2459230282070131</v>
      </c>
      <c r="H25">
        <v>0.14451633046915729</v>
      </c>
    </row>
    <row r="26" spans="1:8" x14ac:dyDescent="0.35">
      <c r="A26" t="s">
        <v>67</v>
      </c>
      <c r="B26" t="s">
        <v>57</v>
      </c>
      <c r="C26" t="s">
        <v>38</v>
      </c>
      <c r="D26">
        <v>2021</v>
      </c>
      <c r="E26">
        <v>4.1239049795648741</v>
      </c>
      <c r="F26">
        <v>6.0667175798443678</v>
      </c>
      <c r="G26">
        <f t="shared" si="0"/>
        <v>1.9428126002794937</v>
      </c>
      <c r="H26">
        <v>0.14637497707145941</v>
      </c>
    </row>
    <row r="27" spans="1:8" x14ac:dyDescent="0.35">
      <c r="A27" t="s">
        <v>67</v>
      </c>
      <c r="B27" t="s">
        <v>59</v>
      </c>
      <c r="C27" t="s">
        <v>38</v>
      </c>
      <c r="D27">
        <v>2021</v>
      </c>
      <c r="E27">
        <v>5.9836029339416452</v>
      </c>
      <c r="F27">
        <v>6.0667175798443678</v>
      </c>
      <c r="G27">
        <f t="shared" si="0"/>
        <v>8.311464590272255E-2</v>
      </c>
      <c r="H27">
        <v>0.14637497707145941</v>
      </c>
    </row>
    <row r="28" spans="1:8" x14ac:dyDescent="0.35">
      <c r="A28" t="s">
        <v>67</v>
      </c>
      <c r="B28" t="s">
        <v>58</v>
      </c>
      <c r="C28" t="s">
        <v>40</v>
      </c>
      <c r="D28">
        <v>2021</v>
      </c>
      <c r="E28">
        <v>6.6899129841448302</v>
      </c>
      <c r="F28">
        <v>6.0667175798443678</v>
      </c>
      <c r="G28">
        <f t="shared" si="0"/>
        <v>-0.62319540430046239</v>
      </c>
      <c r="H28">
        <v>0.14637497707145941</v>
      </c>
    </row>
    <row r="29" spans="1:8" x14ac:dyDescent="0.35">
      <c r="A29" t="s">
        <v>67</v>
      </c>
      <c r="B29" t="s">
        <v>60</v>
      </c>
      <c r="C29" t="s">
        <v>40</v>
      </c>
      <c r="D29">
        <v>2021</v>
      </c>
      <c r="E29">
        <v>4.5423071463688514</v>
      </c>
      <c r="F29">
        <v>6.0667175798443678</v>
      </c>
      <c r="G29">
        <f t="shared" si="0"/>
        <v>1.5244104334755164</v>
      </c>
      <c r="H29">
        <v>0.14637497707145941</v>
      </c>
    </row>
    <row r="30" spans="1:8" x14ac:dyDescent="0.35">
      <c r="A30" t="s">
        <v>67</v>
      </c>
      <c r="B30" t="s">
        <v>59</v>
      </c>
      <c r="C30" t="s">
        <v>38</v>
      </c>
      <c r="D30">
        <v>2022</v>
      </c>
      <c r="E30">
        <v>2.6471364529380592</v>
      </c>
      <c r="F30">
        <v>3.945716681463399</v>
      </c>
      <c r="G30">
        <f t="shared" si="0"/>
        <v>1.2985802285253398</v>
      </c>
      <c r="H30">
        <v>0.14806210436677841</v>
      </c>
    </row>
    <row r="31" spans="1:8" x14ac:dyDescent="0.35">
      <c r="A31" t="s">
        <v>67</v>
      </c>
      <c r="B31" t="s">
        <v>61</v>
      </c>
      <c r="C31" t="s">
        <v>38</v>
      </c>
      <c r="D31">
        <v>2022</v>
      </c>
      <c r="E31">
        <v>2.8171147512312089</v>
      </c>
      <c r="F31">
        <v>3.945716681463399</v>
      </c>
      <c r="G31">
        <f t="shared" si="0"/>
        <v>1.1286019302321901</v>
      </c>
      <c r="H31">
        <v>0.14806210436677841</v>
      </c>
    </row>
    <row r="32" spans="1:8" x14ac:dyDescent="0.35">
      <c r="A32" t="s">
        <v>67</v>
      </c>
      <c r="B32" t="s">
        <v>60</v>
      </c>
      <c r="C32" t="s">
        <v>40</v>
      </c>
      <c r="D32">
        <v>2022</v>
      </c>
      <c r="E32">
        <v>3.671117125209777</v>
      </c>
      <c r="F32">
        <v>3.945716681463399</v>
      </c>
      <c r="G32">
        <f t="shared" si="0"/>
        <v>0.27459955625362209</v>
      </c>
      <c r="H32">
        <v>0.14806210436677841</v>
      </c>
    </row>
    <row r="33" spans="1:8" x14ac:dyDescent="0.35">
      <c r="A33" t="s">
        <v>67</v>
      </c>
      <c r="B33" t="s">
        <v>62</v>
      </c>
      <c r="C33" t="s">
        <v>40</v>
      </c>
      <c r="D33">
        <v>2022</v>
      </c>
      <c r="E33">
        <v>2.0165795618690252</v>
      </c>
      <c r="F33">
        <v>3.945716681463399</v>
      </c>
      <c r="G33">
        <f t="shared" si="0"/>
        <v>1.9291371195943738</v>
      </c>
      <c r="H33">
        <v>0.14806210436677841</v>
      </c>
    </row>
    <row r="34" spans="1:8" x14ac:dyDescent="0.35">
      <c r="A34" t="s">
        <v>67</v>
      </c>
      <c r="B34" t="s">
        <v>61</v>
      </c>
      <c r="C34" t="s">
        <v>38</v>
      </c>
      <c r="D34">
        <v>2023</v>
      </c>
      <c r="E34">
        <v>0.1608186912456899</v>
      </c>
      <c r="F34">
        <v>1.5491827810755261</v>
      </c>
      <c r="G34">
        <f t="shared" si="0"/>
        <v>1.3883640898298362</v>
      </c>
      <c r="H34">
        <v>0.14690436069296811</v>
      </c>
    </row>
    <row r="35" spans="1:8" x14ac:dyDescent="0.35">
      <c r="A35" t="s">
        <v>67</v>
      </c>
      <c r="B35" t="s">
        <v>63</v>
      </c>
      <c r="C35" t="s">
        <v>38</v>
      </c>
      <c r="D35">
        <v>2023</v>
      </c>
      <c r="E35">
        <v>1.44096095579862</v>
      </c>
      <c r="F35">
        <v>1.5491827810755261</v>
      </c>
      <c r="G35">
        <f t="shared" si="0"/>
        <v>0.10822182527690605</v>
      </c>
      <c r="H35">
        <v>0.14690436069296811</v>
      </c>
    </row>
    <row r="36" spans="1:8" x14ac:dyDescent="0.35">
      <c r="A36" t="s">
        <v>67</v>
      </c>
      <c r="B36" t="s">
        <v>62</v>
      </c>
      <c r="C36" t="s">
        <v>40</v>
      </c>
      <c r="D36">
        <v>2023</v>
      </c>
      <c r="E36">
        <v>1.7766240808305469</v>
      </c>
      <c r="F36">
        <v>1.5491827810755261</v>
      </c>
      <c r="G36">
        <f t="shared" si="0"/>
        <v>-0.22744129975502081</v>
      </c>
      <c r="H36">
        <v>0.14690436069296811</v>
      </c>
    </row>
    <row r="37" spans="1:8" x14ac:dyDescent="0.35">
      <c r="A37" t="s">
        <v>67</v>
      </c>
      <c r="B37" t="s">
        <v>64</v>
      </c>
      <c r="C37" t="s">
        <v>40</v>
      </c>
      <c r="D37">
        <v>2023</v>
      </c>
      <c r="E37">
        <v>1.2330728065618859</v>
      </c>
      <c r="F37">
        <v>1.5491827810755261</v>
      </c>
      <c r="G37">
        <f t="shared" si="0"/>
        <v>0.3161099745136402</v>
      </c>
      <c r="H37">
        <v>0.14690436069296811</v>
      </c>
    </row>
    <row r="38" spans="1:8" x14ac:dyDescent="0.35">
      <c r="A38" t="s">
        <v>67</v>
      </c>
      <c r="B38" t="s">
        <v>63</v>
      </c>
      <c r="C38" t="s">
        <v>38</v>
      </c>
      <c r="D38">
        <v>2024</v>
      </c>
      <c r="E38">
        <v>1.366814397179428</v>
      </c>
      <c r="F38">
        <v>1.0917584184985489</v>
      </c>
      <c r="G38">
        <f t="shared" si="0"/>
        <v>-0.27505597868087905</v>
      </c>
      <c r="H38">
        <v>0.16444982264139649</v>
      </c>
    </row>
    <row r="39" spans="1:8" x14ac:dyDescent="0.35">
      <c r="A39" t="s">
        <v>67</v>
      </c>
      <c r="B39" t="s">
        <v>65</v>
      </c>
      <c r="C39" t="s">
        <v>38</v>
      </c>
      <c r="D39">
        <v>2024</v>
      </c>
      <c r="E39">
        <v>1.144309940913812</v>
      </c>
      <c r="F39">
        <v>1.0917584184985489</v>
      </c>
      <c r="G39">
        <f t="shared" si="0"/>
        <v>-5.2551522415263063E-2</v>
      </c>
      <c r="H39">
        <v>0.16444982264139649</v>
      </c>
    </row>
    <row r="40" spans="1:8" x14ac:dyDescent="0.35">
      <c r="A40" t="s">
        <v>67</v>
      </c>
      <c r="B40" t="s">
        <v>64</v>
      </c>
      <c r="C40" t="s">
        <v>40</v>
      </c>
      <c r="D40">
        <v>2024</v>
      </c>
      <c r="E40">
        <v>1.3611844962323929</v>
      </c>
      <c r="F40">
        <v>1.0917584184985489</v>
      </c>
      <c r="G40">
        <f t="shared" si="0"/>
        <v>-0.26942607773384397</v>
      </c>
      <c r="H40">
        <v>0.16444982264139649</v>
      </c>
    </row>
    <row r="41" spans="1:8" x14ac:dyDescent="0.35">
      <c r="A41" t="s">
        <v>67</v>
      </c>
      <c r="B41" t="s">
        <v>66</v>
      </c>
      <c r="C41" t="s">
        <v>40</v>
      </c>
      <c r="D41">
        <v>2024</v>
      </c>
      <c r="E41">
        <v>1.2741731353000501</v>
      </c>
      <c r="F41">
        <v>1.0917584184985489</v>
      </c>
      <c r="G41">
        <f t="shared" si="0"/>
        <v>-0.18241471680150112</v>
      </c>
      <c r="H41">
        <v>0.16444982264139649</v>
      </c>
    </row>
    <row r="42" spans="1:8" x14ac:dyDescent="0.35">
      <c r="A42" t="s">
        <v>68</v>
      </c>
      <c r="B42" t="s">
        <v>55</v>
      </c>
      <c r="C42" t="s">
        <v>38</v>
      </c>
      <c r="D42">
        <v>2020</v>
      </c>
      <c r="E42">
        <v>1.0098419735112829</v>
      </c>
      <c r="F42">
        <v>-4.5019012679871278</v>
      </c>
      <c r="G42">
        <f t="shared" si="0"/>
        <v>-5.5117432414984107</v>
      </c>
      <c r="H42">
        <v>8.1815293370048725E-2</v>
      </c>
    </row>
    <row r="43" spans="1:8" x14ac:dyDescent="0.35">
      <c r="A43" t="s">
        <v>68</v>
      </c>
      <c r="B43" t="s">
        <v>57</v>
      </c>
      <c r="C43" t="s">
        <v>38</v>
      </c>
      <c r="D43">
        <v>2020</v>
      </c>
      <c r="E43">
        <v>-5.5682040725027582</v>
      </c>
      <c r="F43">
        <v>-4.5019012679871278</v>
      </c>
      <c r="G43">
        <f t="shared" si="0"/>
        <v>1.0663028045156304</v>
      </c>
      <c r="H43">
        <v>8.1815293370048725E-2</v>
      </c>
    </row>
    <row r="44" spans="1:8" x14ac:dyDescent="0.35">
      <c r="A44" t="s">
        <v>68</v>
      </c>
      <c r="B44" t="s">
        <v>56</v>
      </c>
      <c r="C44" t="s">
        <v>40</v>
      </c>
      <c r="D44">
        <v>2020</v>
      </c>
      <c r="E44">
        <v>1.5458815393741829</v>
      </c>
      <c r="F44">
        <v>-4.5019012679871278</v>
      </c>
      <c r="G44">
        <f t="shared" si="0"/>
        <v>-6.0477828073613109</v>
      </c>
      <c r="H44">
        <v>8.1815293370048725E-2</v>
      </c>
    </row>
    <row r="45" spans="1:8" x14ac:dyDescent="0.35">
      <c r="A45" t="s">
        <v>68</v>
      </c>
      <c r="B45" t="s">
        <v>58</v>
      </c>
      <c r="C45" t="s">
        <v>40</v>
      </c>
      <c r="D45">
        <v>2020</v>
      </c>
      <c r="E45">
        <v>-6.4695771848944261</v>
      </c>
      <c r="F45">
        <v>-4.5019012679871278</v>
      </c>
      <c r="G45">
        <f t="shared" si="0"/>
        <v>1.9676759169072984</v>
      </c>
      <c r="H45">
        <v>8.1815293370048725E-2</v>
      </c>
    </row>
    <row r="46" spans="1:8" x14ac:dyDescent="0.35">
      <c r="A46" t="s">
        <v>68</v>
      </c>
      <c r="B46" t="s">
        <v>57</v>
      </c>
      <c r="C46" t="s">
        <v>38</v>
      </c>
      <c r="D46">
        <v>2021</v>
      </c>
      <c r="E46">
        <v>3.5168418141955371</v>
      </c>
      <c r="F46">
        <v>3.8314526417859192</v>
      </c>
      <c r="G46">
        <f t="shared" si="0"/>
        <v>0.31461082759038206</v>
      </c>
      <c r="H46">
        <v>8.3727042533414536E-2</v>
      </c>
    </row>
    <row r="47" spans="1:8" x14ac:dyDescent="0.35">
      <c r="A47" t="s">
        <v>68</v>
      </c>
      <c r="B47" t="s">
        <v>59</v>
      </c>
      <c r="C47" t="s">
        <v>38</v>
      </c>
      <c r="D47">
        <v>2021</v>
      </c>
      <c r="E47">
        <v>2.7343389231728081</v>
      </c>
      <c r="F47">
        <v>3.8314526417859192</v>
      </c>
      <c r="G47">
        <f t="shared" si="0"/>
        <v>1.097113718613111</v>
      </c>
      <c r="H47">
        <v>8.3727042533414536E-2</v>
      </c>
    </row>
    <row r="48" spans="1:8" x14ac:dyDescent="0.35">
      <c r="A48" t="s">
        <v>68</v>
      </c>
      <c r="B48" t="s">
        <v>58</v>
      </c>
      <c r="C48" t="s">
        <v>40</v>
      </c>
      <c r="D48">
        <v>2021</v>
      </c>
      <c r="E48">
        <v>5.8723795390502653</v>
      </c>
      <c r="F48">
        <v>3.8314526417859192</v>
      </c>
      <c r="G48">
        <f t="shared" si="0"/>
        <v>-2.0409268972643462</v>
      </c>
      <c r="H48">
        <v>8.3727042533414536E-2</v>
      </c>
    </row>
    <row r="49" spans="1:8" x14ac:dyDescent="0.35">
      <c r="A49" t="s">
        <v>68</v>
      </c>
      <c r="B49" t="s">
        <v>60</v>
      </c>
      <c r="C49" t="s">
        <v>40</v>
      </c>
      <c r="D49">
        <v>2021</v>
      </c>
      <c r="E49">
        <v>3.405406776981335</v>
      </c>
      <c r="F49">
        <v>3.8314526417859192</v>
      </c>
      <c r="G49">
        <f t="shared" si="0"/>
        <v>0.42604586480458417</v>
      </c>
      <c r="H49">
        <v>8.3727042533414536E-2</v>
      </c>
    </row>
    <row r="50" spans="1:8" x14ac:dyDescent="0.35">
      <c r="A50" t="s">
        <v>68</v>
      </c>
      <c r="B50" t="s">
        <v>59</v>
      </c>
      <c r="C50" t="s">
        <v>38</v>
      </c>
      <c r="D50">
        <v>2022</v>
      </c>
      <c r="E50">
        <v>4.5927784434600882</v>
      </c>
      <c r="F50">
        <v>1.931834126476093</v>
      </c>
      <c r="G50">
        <f t="shared" si="0"/>
        <v>-2.6609443169839953</v>
      </c>
      <c r="H50">
        <v>8.4524514070205975E-2</v>
      </c>
    </row>
    <row r="51" spans="1:8" x14ac:dyDescent="0.35">
      <c r="A51" t="s">
        <v>68</v>
      </c>
      <c r="B51" t="s">
        <v>61</v>
      </c>
      <c r="C51" t="s">
        <v>38</v>
      </c>
      <c r="D51">
        <v>2022</v>
      </c>
      <c r="E51">
        <v>1.55845355711639</v>
      </c>
      <c r="F51">
        <v>1.931834126476093</v>
      </c>
      <c r="G51">
        <f t="shared" si="0"/>
        <v>0.37338056935970299</v>
      </c>
      <c r="H51">
        <v>8.4524514070205975E-2</v>
      </c>
    </row>
    <row r="52" spans="1:8" x14ac:dyDescent="0.35">
      <c r="A52" t="s">
        <v>68</v>
      </c>
      <c r="B52" t="s">
        <v>60</v>
      </c>
      <c r="C52" t="s">
        <v>40</v>
      </c>
      <c r="D52">
        <v>2022</v>
      </c>
      <c r="E52">
        <v>4.0547699734103224</v>
      </c>
      <c r="F52">
        <v>1.931834126476093</v>
      </c>
      <c r="G52">
        <f t="shared" si="0"/>
        <v>-2.1229358469342294</v>
      </c>
      <c r="H52">
        <v>8.4524514070205975E-2</v>
      </c>
    </row>
    <row r="53" spans="1:8" x14ac:dyDescent="0.35">
      <c r="A53" t="s">
        <v>68</v>
      </c>
      <c r="B53" t="s">
        <v>62</v>
      </c>
      <c r="C53" t="s">
        <v>40</v>
      </c>
      <c r="D53">
        <v>2022</v>
      </c>
      <c r="E53">
        <v>1.5579683422439761</v>
      </c>
      <c r="F53">
        <v>1.931834126476093</v>
      </c>
      <c r="G53">
        <f t="shared" si="0"/>
        <v>0.37386578423211692</v>
      </c>
      <c r="H53">
        <v>8.4524514070205975E-2</v>
      </c>
    </row>
    <row r="54" spans="1:8" x14ac:dyDescent="0.35">
      <c r="A54" t="s">
        <v>68</v>
      </c>
      <c r="B54" t="s">
        <v>61</v>
      </c>
      <c r="C54" t="s">
        <v>38</v>
      </c>
      <c r="D54">
        <v>2023</v>
      </c>
      <c r="E54">
        <v>-0.62595524483003429</v>
      </c>
      <c r="F54">
        <v>-0.81689108427086243</v>
      </c>
      <c r="G54">
        <f t="shared" si="0"/>
        <v>-0.19093583944082815</v>
      </c>
      <c r="H54">
        <v>8.1127962753161406E-2</v>
      </c>
    </row>
    <row r="55" spans="1:8" x14ac:dyDescent="0.35">
      <c r="A55" t="s">
        <v>68</v>
      </c>
      <c r="B55" t="s">
        <v>63</v>
      </c>
      <c r="C55" t="s">
        <v>38</v>
      </c>
      <c r="D55">
        <v>2023</v>
      </c>
      <c r="E55">
        <v>-0.27334918709761569</v>
      </c>
      <c r="F55">
        <v>-0.81689108427086243</v>
      </c>
      <c r="G55">
        <f t="shared" si="0"/>
        <v>-0.54354189717324675</v>
      </c>
      <c r="H55">
        <v>8.1127962753161406E-2</v>
      </c>
    </row>
    <row r="56" spans="1:8" x14ac:dyDescent="0.35">
      <c r="A56" t="s">
        <v>68</v>
      </c>
      <c r="B56" t="s">
        <v>62</v>
      </c>
      <c r="C56" t="s">
        <v>40</v>
      </c>
      <c r="D56">
        <v>2023</v>
      </c>
      <c r="E56">
        <v>2.4090316591396821</v>
      </c>
      <c r="F56">
        <v>-0.81689108427086243</v>
      </c>
      <c r="G56">
        <f t="shared" si="0"/>
        <v>-3.2259227434105444</v>
      </c>
      <c r="H56">
        <v>8.1127962753161406E-2</v>
      </c>
    </row>
    <row r="57" spans="1:8" x14ac:dyDescent="0.35">
      <c r="A57" t="s">
        <v>68</v>
      </c>
      <c r="B57" t="s">
        <v>64</v>
      </c>
      <c r="C57" t="s">
        <v>40</v>
      </c>
      <c r="D57">
        <v>2023</v>
      </c>
      <c r="E57">
        <v>0.18957305278237691</v>
      </c>
      <c r="F57">
        <v>-0.81689108427086243</v>
      </c>
      <c r="G57">
        <f t="shared" si="0"/>
        <v>-1.0064641370532392</v>
      </c>
      <c r="H57">
        <v>8.1127962753161406E-2</v>
      </c>
    </row>
    <row r="58" spans="1:8" x14ac:dyDescent="0.35">
      <c r="A58" t="s">
        <v>68</v>
      </c>
      <c r="B58" t="s">
        <v>63</v>
      </c>
      <c r="C58" t="s">
        <v>38</v>
      </c>
      <c r="D58">
        <v>2024</v>
      </c>
      <c r="E58">
        <v>0.80450584510622924</v>
      </c>
      <c r="F58">
        <v>4.0523394564314849E-2</v>
      </c>
      <c r="G58">
        <f t="shared" si="0"/>
        <v>-0.76398245054191438</v>
      </c>
      <c r="H58">
        <v>8.6916760469719023E-2</v>
      </c>
    </row>
    <row r="59" spans="1:8" x14ac:dyDescent="0.35">
      <c r="A59" t="s">
        <v>68</v>
      </c>
      <c r="B59" t="s">
        <v>65</v>
      </c>
      <c r="C59" t="s">
        <v>38</v>
      </c>
      <c r="D59">
        <v>2024</v>
      </c>
      <c r="E59">
        <v>-0.1114510968873272</v>
      </c>
      <c r="F59">
        <v>4.0523394564314849E-2</v>
      </c>
      <c r="G59">
        <f t="shared" si="0"/>
        <v>0.15197449145164205</v>
      </c>
      <c r="H59">
        <v>8.6916760469719023E-2</v>
      </c>
    </row>
    <row r="60" spans="1:8" x14ac:dyDescent="0.35">
      <c r="A60" t="s">
        <v>68</v>
      </c>
      <c r="B60" t="s">
        <v>64</v>
      </c>
      <c r="C60" t="s">
        <v>40</v>
      </c>
      <c r="D60">
        <v>2024</v>
      </c>
      <c r="E60">
        <v>1.358688832068133</v>
      </c>
      <c r="F60">
        <v>4.0523394564314849E-2</v>
      </c>
      <c r="G60">
        <f t="shared" si="0"/>
        <v>-1.3181654375038181</v>
      </c>
      <c r="H60">
        <v>8.6916760469719023E-2</v>
      </c>
    </row>
    <row r="61" spans="1:8" x14ac:dyDescent="0.35">
      <c r="A61" t="s">
        <v>68</v>
      </c>
      <c r="B61" t="s">
        <v>66</v>
      </c>
      <c r="C61" t="s">
        <v>40</v>
      </c>
      <c r="D61">
        <v>2024</v>
      </c>
      <c r="E61">
        <v>0.12753656568900151</v>
      </c>
      <c r="F61">
        <v>4.0523394564314849E-2</v>
      </c>
      <c r="G61">
        <f t="shared" si="0"/>
        <v>-8.7013171124686664E-2</v>
      </c>
      <c r="H61">
        <v>8.6916760469719023E-2</v>
      </c>
    </row>
    <row r="62" spans="1:8" x14ac:dyDescent="0.35">
      <c r="A62" t="s">
        <v>69</v>
      </c>
      <c r="B62" t="s">
        <v>55</v>
      </c>
      <c r="C62" t="s">
        <v>38</v>
      </c>
      <c r="D62">
        <v>2020</v>
      </c>
      <c r="E62">
        <v>1.490576223487361</v>
      </c>
      <c r="F62">
        <v>-11.58616521695834</v>
      </c>
      <c r="G62">
        <f t="shared" si="0"/>
        <v>-13.076741440445701</v>
      </c>
      <c r="H62">
        <v>0.14433972800453609</v>
      </c>
    </row>
    <row r="63" spans="1:8" x14ac:dyDescent="0.35">
      <c r="A63" t="s">
        <v>69</v>
      </c>
      <c r="B63" t="s">
        <v>57</v>
      </c>
      <c r="C63" t="s">
        <v>38</v>
      </c>
      <c r="D63">
        <v>2020</v>
      </c>
      <c r="E63">
        <v>-12.410533977614319</v>
      </c>
      <c r="F63">
        <v>-11.58616521695834</v>
      </c>
      <c r="G63">
        <f t="shared" si="0"/>
        <v>0.82436876065597886</v>
      </c>
      <c r="H63">
        <v>0.14433972800453609</v>
      </c>
    </row>
    <row r="64" spans="1:8" x14ac:dyDescent="0.35">
      <c r="A64" t="s">
        <v>69</v>
      </c>
      <c r="B64" t="s">
        <v>56</v>
      </c>
      <c r="C64" t="s">
        <v>40</v>
      </c>
      <c r="D64">
        <v>2020</v>
      </c>
      <c r="E64">
        <v>1.863359760106897</v>
      </c>
      <c r="F64">
        <v>-11.58616521695834</v>
      </c>
      <c r="G64">
        <f t="shared" si="0"/>
        <v>-13.449524977065238</v>
      </c>
      <c r="H64">
        <v>0.14433972800453609</v>
      </c>
    </row>
    <row r="65" spans="1:8" x14ac:dyDescent="0.35">
      <c r="A65" t="s">
        <v>69</v>
      </c>
      <c r="B65" t="s">
        <v>58</v>
      </c>
      <c r="C65" t="s">
        <v>40</v>
      </c>
      <c r="D65">
        <v>2020</v>
      </c>
      <c r="E65">
        <v>-9.3843459766278272</v>
      </c>
      <c r="F65">
        <v>-11.58616521695834</v>
      </c>
      <c r="G65">
        <f t="shared" si="0"/>
        <v>-2.2018192403305132</v>
      </c>
      <c r="H65">
        <v>0.14433972800453609</v>
      </c>
    </row>
    <row r="66" spans="1:8" x14ac:dyDescent="0.35">
      <c r="A66" t="s">
        <v>69</v>
      </c>
      <c r="B66" t="s">
        <v>57</v>
      </c>
      <c r="C66" t="s">
        <v>38</v>
      </c>
      <c r="D66">
        <v>2021</v>
      </c>
      <c r="E66">
        <v>5.3508536215682634</v>
      </c>
      <c r="F66">
        <v>6.4693143142877041</v>
      </c>
      <c r="G66">
        <f t="shared" ref="G66:G129" si="1">IF(OR(F66="",E66=""),"",F66-E66)</f>
        <v>1.1184606927194407</v>
      </c>
      <c r="H66">
        <v>0.15242426670940859</v>
      </c>
    </row>
    <row r="67" spans="1:8" x14ac:dyDescent="0.35">
      <c r="A67" t="s">
        <v>69</v>
      </c>
      <c r="B67" t="s">
        <v>59</v>
      </c>
      <c r="C67" t="s">
        <v>38</v>
      </c>
      <c r="D67">
        <v>2021</v>
      </c>
      <c r="E67">
        <v>4.6234510847103616</v>
      </c>
      <c r="F67">
        <v>6.4693143142877041</v>
      </c>
      <c r="G67">
        <f t="shared" si="1"/>
        <v>1.8458632295773425</v>
      </c>
      <c r="H67">
        <v>0.15242426670940859</v>
      </c>
    </row>
    <row r="68" spans="1:8" x14ac:dyDescent="0.35">
      <c r="A68" t="s">
        <v>69</v>
      </c>
      <c r="B68" t="s">
        <v>58</v>
      </c>
      <c r="C68" t="s">
        <v>40</v>
      </c>
      <c r="D68">
        <v>2021</v>
      </c>
      <c r="E68">
        <v>6.9761759541974167</v>
      </c>
      <c r="F68">
        <v>6.4693143142877041</v>
      </c>
      <c r="G68">
        <f t="shared" si="1"/>
        <v>-0.50686163990971256</v>
      </c>
      <c r="H68">
        <v>0.15242426670940859</v>
      </c>
    </row>
    <row r="69" spans="1:8" x14ac:dyDescent="0.35">
      <c r="A69" t="s">
        <v>69</v>
      </c>
      <c r="B69" t="s">
        <v>60</v>
      </c>
      <c r="C69" t="s">
        <v>40</v>
      </c>
      <c r="D69">
        <v>2021</v>
      </c>
      <c r="E69">
        <v>5.8812532644924698</v>
      </c>
      <c r="F69">
        <v>6.4693143142877041</v>
      </c>
      <c r="G69">
        <f t="shared" si="1"/>
        <v>0.58806104979523433</v>
      </c>
      <c r="H69">
        <v>0.15242426670940859</v>
      </c>
    </row>
    <row r="70" spans="1:8" x14ac:dyDescent="0.35">
      <c r="A70" t="s">
        <v>69</v>
      </c>
      <c r="B70" t="s">
        <v>59</v>
      </c>
      <c r="C70" t="s">
        <v>38</v>
      </c>
      <c r="D70">
        <v>2022</v>
      </c>
      <c r="E70">
        <v>5.5278236152833893</v>
      </c>
      <c r="F70">
        <v>6.1757125573772758</v>
      </c>
      <c r="G70">
        <f t="shared" si="1"/>
        <v>0.64788894209388648</v>
      </c>
      <c r="H70">
        <v>0.14409521444535101</v>
      </c>
    </row>
    <row r="71" spans="1:8" x14ac:dyDescent="0.35">
      <c r="A71" t="s">
        <v>69</v>
      </c>
      <c r="B71" t="s">
        <v>61</v>
      </c>
      <c r="C71" t="s">
        <v>38</v>
      </c>
      <c r="D71">
        <v>2022</v>
      </c>
      <c r="E71">
        <v>4.547669246739372</v>
      </c>
      <c r="F71">
        <v>6.1757125573772758</v>
      </c>
      <c r="G71">
        <f t="shared" si="1"/>
        <v>1.6280433106379038</v>
      </c>
      <c r="H71">
        <v>0.14409521444535101</v>
      </c>
    </row>
    <row r="72" spans="1:8" x14ac:dyDescent="0.35">
      <c r="A72" t="s">
        <v>69</v>
      </c>
      <c r="B72" t="s">
        <v>60</v>
      </c>
      <c r="C72" t="s">
        <v>40</v>
      </c>
      <c r="D72">
        <v>2022</v>
      </c>
      <c r="E72">
        <v>6.7779918001151573</v>
      </c>
      <c r="F72">
        <v>6.1757125573772758</v>
      </c>
      <c r="G72">
        <f t="shared" si="1"/>
        <v>-0.60227924273788158</v>
      </c>
      <c r="H72">
        <v>0.14409521444535101</v>
      </c>
    </row>
    <row r="73" spans="1:8" x14ac:dyDescent="0.35">
      <c r="A73" t="s">
        <v>69</v>
      </c>
      <c r="B73" t="s">
        <v>62</v>
      </c>
      <c r="C73" t="s">
        <v>40</v>
      </c>
      <c r="D73">
        <v>2022</v>
      </c>
      <c r="E73">
        <v>4.0260894815609127</v>
      </c>
      <c r="F73">
        <v>6.1757125573772758</v>
      </c>
      <c r="G73">
        <f t="shared" si="1"/>
        <v>2.149623075816363</v>
      </c>
      <c r="H73">
        <v>0.14409521444535101</v>
      </c>
    </row>
    <row r="74" spans="1:8" x14ac:dyDescent="0.35">
      <c r="A74" t="s">
        <v>69</v>
      </c>
      <c r="B74" t="s">
        <v>61</v>
      </c>
      <c r="C74" t="s">
        <v>38</v>
      </c>
      <c r="D74">
        <v>2023</v>
      </c>
      <c r="E74">
        <v>0.95503996038659444</v>
      </c>
      <c r="F74">
        <v>2.4309784639696339</v>
      </c>
      <c r="G74">
        <f t="shared" si="1"/>
        <v>1.4759385035830395</v>
      </c>
      <c r="H74">
        <v>0.14973134678937389</v>
      </c>
    </row>
    <row r="75" spans="1:8" x14ac:dyDescent="0.35">
      <c r="A75" t="s">
        <v>69</v>
      </c>
      <c r="B75" t="s">
        <v>63</v>
      </c>
      <c r="C75" t="s">
        <v>38</v>
      </c>
      <c r="D75">
        <v>2023</v>
      </c>
      <c r="E75">
        <v>2.3654844972287088</v>
      </c>
      <c r="F75">
        <v>2.4309784639696339</v>
      </c>
      <c r="G75">
        <f t="shared" si="1"/>
        <v>6.5493966740925114E-2</v>
      </c>
      <c r="H75">
        <v>0.14973134678937389</v>
      </c>
    </row>
    <row r="76" spans="1:8" x14ac:dyDescent="0.35">
      <c r="A76" t="s">
        <v>69</v>
      </c>
      <c r="B76" t="s">
        <v>62</v>
      </c>
      <c r="C76" t="s">
        <v>40</v>
      </c>
      <c r="D76">
        <v>2023</v>
      </c>
      <c r="E76">
        <v>3.3729684974310499</v>
      </c>
      <c r="F76">
        <v>2.4309784639696339</v>
      </c>
      <c r="G76">
        <f t="shared" si="1"/>
        <v>-0.94199003346141597</v>
      </c>
      <c r="H76">
        <v>0.14973134678937389</v>
      </c>
    </row>
    <row r="77" spans="1:8" x14ac:dyDescent="0.35">
      <c r="A77" t="s">
        <v>69</v>
      </c>
      <c r="B77" t="s">
        <v>64</v>
      </c>
      <c r="C77" t="s">
        <v>40</v>
      </c>
      <c r="D77">
        <v>2023</v>
      </c>
      <c r="E77">
        <v>1.9366811763456671</v>
      </c>
      <c r="F77">
        <v>2.4309784639696339</v>
      </c>
      <c r="G77">
        <f t="shared" si="1"/>
        <v>0.49429728762396685</v>
      </c>
      <c r="H77">
        <v>0.14973134678937389</v>
      </c>
    </row>
    <row r="78" spans="1:8" x14ac:dyDescent="0.35">
      <c r="A78" t="s">
        <v>69</v>
      </c>
      <c r="B78" t="s">
        <v>63</v>
      </c>
      <c r="C78" t="s">
        <v>38</v>
      </c>
      <c r="D78">
        <v>2024</v>
      </c>
      <c r="E78">
        <v>1.660542743130144</v>
      </c>
      <c r="F78">
        <v>3.3969031373447791</v>
      </c>
      <c r="G78">
        <f t="shared" si="1"/>
        <v>1.7363603942146351</v>
      </c>
      <c r="H78">
        <v>0.1495725835123897</v>
      </c>
    </row>
    <row r="79" spans="1:8" x14ac:dyDescent="0.35">
      <c r="A79" t="s">
        <v>69</v>
      </c>
      <c r="B79" t="s">
        <v>65</v>
      </c>
      <c r="C79" t="s">
        <v>38</v>
      </c>
      <c r="D79">
        <v>2024</v>
      </c>
      <c r="E79">
        <v>2.966936931003072</v>
      </c>
      <c r="F79">
        <v>3.3969031373447791</v>
      </c>
      <c r="G79">
        <f t="shared" si="1"/>
        <v>0.42996620634170712</v>
      </c>
      <c r="H79">
        <v>0.1495725835123897</v>
      </c>
    </row>
    <row r="80" spans="1:8" x14ac:dyDescent="0.35">
      <c r="A80" t="s">
        <v>69</v>
      </c>
      <c r="B80" t="s">
        <v>64</v>
      </c>
      <c r="C80" t="s">
        <v>40</v>
      </c>
      <c r="D80">
        <v>2024</v>
      </c>
      <c r="E80">
        <v>1.9648768473316871</v>
      </c>
      <c r="F80">
        <v>3.3969031373447791</v>
      </c>
      <c r="G80">
        <f t="shared" si="1"/>
        <v>1.432026290013092</v>
      </c>
      <c r="H80">
        <v>0.1495725835123897</v>
      </c>
    </row>
    <row r="81" spans="1:8" x14ac:dyDescent="0.35">
      <c r="A81" t="s">
        <v>69</v>
      </c>
      <c r="B81" t="s">
        <v>66</v>
      </c>
      <c r="C81" t="s">
        <v>40</v>
      </c>
      <c r="D81">
        <v>2024</v>
      </c>
      <c r="E81">
        <v>2.1447304612078222</v>
      </c>
      <c r="F81">
        <v>3.3969031373447791</v>
      </c>
      <c r="G81">
        <f t="shared" si="1"/>
        <v>1.2521726761369569</v>
      </c>
      <c r="H81">
        <v>0.1495725835123897</v>
      </c>
    </row>
    <row r="82" spans="1:8" x14ac:dyDescent="0.35">
      <c r="A82" t="s">
        <v>70</v>
      </c>
      <c r="B82" t="s">
        <v>55</v>
      </c>
      <c r="C82" t="s">
        <v>38</v>
      </c>
      <c r="D82">
        <v>2020</v>
      </c>
      <c r="E82">
        <v>1.1013866566023991</v>
      </c>
      <c r="F82">
        <v>-2.5216639551613449</v>
      </c>
      <c r="G82">
        <f t="shared" si="1"/>
        <v>-3.6230506117637438</v>
      </c>
      <c r="H82">
        <v>0.1073708050236772</v>
      </c>
    </row>
    <row r="83" spans="1:8" x14ac:dyDescent="0.35">
      <c r="A83" t="s">
        <v>70</v>
      </c>
      <c r="B83" t="s">
        <v>57</v>
      </c>
      <c r="C83" t="s">
        <v>38</v>
      </c>
      <c r="D83">
        <v>2020</v>
      </c>
      <c r="E83">
        <v>-4.2712767573150012</v>
      </c>
      <c r="F83">
        <v>-2.5216639551613449</v>
      </c>
      <c r="G83">
        <f t="shared" si="1"/>
        <v>1.7496128021536563</v>
      </c>
      <c r="H83">
        <v>0.1073708050236772</v>
      </c>
    </row>
    <row r="84" spans="1:8" x14ac:dyDescent="0.35">
      <c r="A84" t="s">
        <v>70</v>
      </c>
      <c r="B84" t="s">
        <v>56</v>
      </c>
      <c r="C84" t="s">
        <v>40</v>
      </c>
      <c r="D84">
        <v>2020</v>
      </c>
      <c r="E84">
        <v>1.1658655715774511</v>
      </c>
      <c r="F84">
        <v>-2.5216639551613449</v>
      </c>
      <c r="G84">
        <f t="shared" si="1"/>
        <v>-3.6875295267387962</v>
      </c>
      <c r="H84">
        <v>0.1073708050236772</v>
      </c>
    </row>
    <row r="85" spans="1:8" x14ac:dyDescent="0.35">
      <c r="A85" t="s">
        <v>70</v>
      </c>
      <c r="B85" t="s">
        <v>58</v>
      </c>
      <c r="C85" t="s">
        <v>40</v>
      </c>
      <c r="D85">
        <v>2020</v>
      </c>
      <c r="E85">
        <v>-6.3340086382144829</v>
      </c>
      <c r="F85">
        <v>-2.5216639551613449</v>
      </c>
      <c r="G85">
        <f t="shared" si="1"/>
        <v>3.812344683053138</v>
      </c>
      <c r="H85">
        <v>0.1073708050236772</v>
      </c>
    </row>
    <row r="86" spans="1:8" x14ac:dyDescent="0.35">
      <c r="A86" t="s">
        <v>70</v>
      </c>
      <c r="B86" t="s">
        <v>57</v>
      </c>
      <c r="C86" t="s">
        <v>38</v>
      </c>
      <c r="D86">
        <v>2021</v>
      </c>
      <c r="E86">
        <v>2.900169440971712</v>
      </c>
      <c r="F86">
        <v>2.6415720090220192</v>
      </c>
      <c r="G86">
        <f t="shared" si="1"/>
        <v>-0.25859743194969287</v>
      </c>
      <c r="H86">
        <v>0.1058271604938272</v>
      </c>
    </row>
    <row r="87" spans="1:8" x14ac:dyDescent="0.35">
      <c r="A87" t="s">
        <v>70</v>
      </c>
      <c r="B87" t="s">
        <v>59</v>
      </c>
      <c r="C87" t="s">
        <v>38</v>
      </c>
      <c r="D87">
        <v>2021</v>
      </c>
      <c r="E87">
        <v>3.4041276267937399</v>
      </c>
      <c r="F87">
        <v>2.6415720090220192</v>
      </c>
      <c r="G87">
        <f t="shared" si="1"/>
        <v>-0.76255561777172076</v>
      </c>
      <c r="H87">
        <v>0.1058271604938272</v>
      </c>
    </row>
    <row r="88" spans="1:8" x14ac:dyDescent="0.35">
      <c r="A88" t="s">
        <v>70</v>
      </c>
      <c r="B88" t="s">
        <v>58</v>
      </c>
      <c r="C88" t="s">
        <v>40</v>
      </c>
      <c r="D88">
        <v>2021</v>
      </c>
      <c r="E88">
        <v>3.6735608188213531</v>
      </c>
      <c r="F88">
        <v>2.6415720090220192</v>
      </c>
      <c r="G88">
        <f t="shared" si="1"/>
        <v>-1.0319888097993339</v>
      </c>
      <c r="H88">
        <v>0.1058271604938272</v>
      </c>
    </row>
    <row r="89" spans="1:8" x14ac:dyDescent="0.35">
      <c r="A89" t="s">
        <v>70</v>
      </c>
      <c r="B89" t="s">
        <v>60</v>
      </c>
      <c r="C89" t="s">
        <v>40</v>
      </c>
      <c r="D89">
        <v>2021</v>
      </c>
      <c r="E89">
        <v>2.739564988065335</v>
      </c>
      <c r="F89">
        <v>2.6415720090220192</v>
      </c>
      <c r="G89">
        <f t="shared" si="1"/>
        <v>-9.7992979043315831E-2</v>
      </c>
      <c r="H89">
        <v>0.1058271604938272</v>
      </c>
    </row>
    <row r="90" spans="1:8" x14ac:dyDescent="0.35">
      <c r="A90" t="s">
        <v>70</v>
      </c>
      <c r="B90" t="s">
        <v>59</v>
      </c>
      <c r="C90" t="s">
        <v>38</v>
      </c>
      <c r="D90">
        <v>2022</v>
      </c>
      <c r="E90">
        <v>2.8272245866406638</v>
      </c>
      <c r="F90">
        <v>0.76006291556467176</v>
      </c>
      <c r="G90">
        <f t="shared" si="1"/>
        <v>-2.0671616710759921</v>
      </c>
      <c r="H90">
        <v>9.9421084704448506E-2</v>
      </c>
    </row>
    <row r="91" spans="1:8" x14ac:dyDescent="0.35">
      <c r="A91" t="s">
        <v>70</v>
      </c>
      <c r="B91" t="s">
        <v>61</v>
      </c>
      <c r="C91" t="s">
        <v>38</v>
      </c>
      <c r="D91">
        <v>2022</v>
      </c>
      <c r="E91">
        <v>2.327853537647107</v>
      </c>
      <c r="F91">
        <v>0.76006291556467176</v>
      </c>
      <c r="G91">
        <f t="shared" si="1"/>
        <v>-1.5677906220824354</v>
      </c>
      <c r="H91">
        <v>9.9421084704448506E-2</v>
      </c>
    </row>
    <row r="92" spans="1:8" x14ac:dyDescent="0.35">
      <c r="A92" t="s">
        <v>70</v>
      </c>
      <c r="B92" t="s">
        <v>60</v>
      </c>
      <c r="C92" t="s">
        <v>40</v>
      </c>
      <c r="D92">
        <v>2022</v>
      </c>
      <c r="E92">
        <v>2.7517012411305108</v>
      </c>
      <c r="F92">
        <v>0.76006291556467176</v>
      </c>
      <c r="G92">
        <f t="shared" si="1"/>
        <v>-1.9916383255658392</v>
      </c>
      <c r="H92">
        <v>9.9421084704448506E-2</v>
      </c>
    </row>
    <row r="93" spans="1:8" x14ac:dyDescent="0.35">
      <c r="A93" t="s">
        <v>70</v>
      </c>
      <c r="B93" t="s">
        <v>62</v>
      </c>
      <c r="C93" t="s">
        <v>40</v>
      </c>
      <c r="D93">
        <v>2022</v>
      </c>
      <c r="E93">
        <v>1.603112304026943</v>
      </c>
      <c r="F93">
        <v>0.76006291556467176</v>
      </c>
      <c r="G93">
        <f t="shared" si="1"/>
        <v>-0.84304938846227129</v>
      </c>
      <c r="H93">
        <v>9.9421084704448506E-2</v>
      </c>
    </row>
    <row r="94" spans="1:8" x14ac:dyDescent="0.35">
      <c r="A94" t="s">
        <v>70</v>
      </c>
      <c r="B94" t="s">
        <v>61</v>
      </c>
      <c r="C94" t="s">
        <v>38</v>
      </c>
      <c r="D94">
        <v>2023</v>
      </c>
      <c r="E94">
        <v>0.23998786112824361</v>
      </c>
      <c r="F94">
        <v>-1.2980054053073831</v>
      </c>
      <c r="G94">
        <f t="shared" si="1"/>
        <v>-1.5379932664356266</v>
      </c>
      <c r="H94">
        <v>0.1132453544983484</v>
      </c>
    </row>
    <row r="95" spans="1:8" x14ac:dyDescent="0.35">
      <c r="A95" t="s">
        <v>70</v>
      </c>
      <c r="B95" t="s">
        <v>63</v>
      </c>
      <c r="C95" t="s">
        <v>38</v>
      </c>
      <c r="D95">
        <v>2023</v>
      </c>
      <c r="E95">
        <v>0.13705974715647609</v>
      </c>
      <c r="F95">
        <v>-1.2980054053073831</v>
      </c>
      <c r="G95">
        <f t="shared" si="1"/>
        <v>-1.4350651524638591</v>
      </c>
      <c r="H95">
        <v>0.1132453544983484</v>
      </c>
    </row>
    <row r="96" spans="1:8" x14ac:dyDescent="0.35">
      <c r="A96" t="s">
        <v>70</v>
      </c>
      <c r="B96" t="s">
        <v>62</v>
      </c>
      <c r="C96" t="s">
        <v>40</v>
      </c>
      <c r="D96">
        <v>2023</v>
      </c>
      <c r="E96">
        <v>1.664320363648697</v>
      </c>
      <c r="F96">
        <v>-1.2980054053073831</v>
      </c>
      <c r="G96">
        <f t="shared" si="1"/>
        <v>-2.96232576895608</v>
      </c>
      <c r="H96">
        <v>0.1132453544983484</v>
      </c>
    </row>
    <row r="97" spans="1:8" x14ac:dyDescent="0.35">
      <c r="A97" t="s">
        <v>70</v>
      </c>
      <c r="B97" t="s">
        <v>64</v>
      </c>
      <c r="C97" t="s">
        <v>40</v>
      </c>
      <c r="D97">
        <v>2023</v>
      </c>
      <c r="E97">
        <v>0.1978909161836295</v>
      </c>
      <c r="F97">
        <v>-1.2980054053073831</v>
      </c>
      <c r="G97">
        <f t="shared" si="1"/>
        <v>-1.4958963214910126</v>
      </c>
      <c r="H97">
        <v>0.1132453544983484</v>
      </c>
    </row>
    <row r="98" spans="1:8" x14ac:dyDescent="0.35">
      <c r="A98" t="s">
        <v>70</v>
      </c>
      <c r="B98" t="s">
        <v>63</v>
      </c>
      <c r="C98" t="s">
        <v>38</v>
      </c>
      <c r="D98">
        <v>2024</v>
      </c>
      <c r="E98">
        <v>0.82599219561030335</v>
      </c>
      <c r="F98">
        <v>0.8814466149882676</v>
      </c>
      <c r="G98">
        <f t="shared" si="1"/>
        <v>5.5454419377964248E-2</v>
      </c>
      <c r="H98">
        <v>0.14071954748750329</v>
      </c>
    </row>
    <row r="99" spans="1:8" x14ac:dyDescent="0.35">
      <c r="A99" t="s">
        <v>70</v>
      </c>
      <c r="B99" t="s">
        <v>65</v>
      </c>
      <c r="C99" t="s">
        <v>38</v>
      </c>
      <c r="D99">
        <v>2024</v>
      </c>
      <c r="E99">
        <v>-0.27816035844419051</v>
      </c>
      <c r="F99">
        <v>0.8814466149882676</v>
      </c>
      <c r="G99">
        <f t="shared" si="1"/>
        <v>1.1596069734324581</v>
      </c>
      <c r="H99">
        <v>0.14071954748750329</v>
      </c>
    </row>
    <row r="100" spans="1:8" x14ac:dyDescent="0.35">
      <c r="A100" t="s">
        <v>70</v>
      </c>
      <c r="B100" t="s">
        <v>64</v>
      </c>
      <c r="C100" t="s">
        <v>40</v>
      </c>
      <c r="D100">
        <v>2024</v>
      </c>
      <c r="E100">
        <v>1.375433393552461</v>
      </c>
      <c r="F100">
        <v>0.8814466149882676</v>
      </c>
      <c r="G100">
        <f t="shared" si="1"/>
        <v>-0.49398677856419337</v>
      </c>
      <c r="H100">
        <v>0.14071954748750329</v>
      </c>
    </row>
    <row r="101" spans="1:8" x14ac:dyDescent="0.35">
      <c r="A101" t="s">
        <v>70</v>
      </c>
      <c r="B101" t="s">
        <v>66</v>
      </c>
      <c r="C101" t="s">
        <v>40</v>
      </c>
      <c r="D101">
        <v>2024</v>
      </c>
      <c r="E101">
        <v>3.9573385924840387E-2</v>
      </c>
      <c r="F101">
        <v>0.8814466149882676</v>
      </c>
      <c r="G101">
        <f t="shared" si="1"/>
        <v>0.84187322906342721</v>
      </c>
      <c r="H101">
        <v>0.14071954748750329</v>
      </c>
    </row>
    <row r="102" spans="1:8" x14ac:dyDescent="0.35">
      <c r="A102" t="s">
        <v>70</v>
      </c>
      <c r="B102" t="s">
        <v>65</v>
      </c>
      <c r="C102" t="s">
        <v>38</v>
      </c>
      <c r="D102">
        <v>2025</v>
      </c>
      <c r="E102">
        <v>1.544507858030109</v>
      </c>
      <c r="F102">
        <v>0.79990149121373022</v>
      </c>
      <c r="G102">
        <f t="shared" si="1"/>
        <v>-0.74460636681637882</v>
      </c>
      <c r="H102">
        <v>0.14533763099499511</v>
      </c>
    </row>
    <row r="103" spans="1:8" x14ac:dyDescent="0.35">
      <c r="A103" t="s">
        <v>70</v>
      </c>
      <c r="B103" t="s">
        <v>71</v>
      </c>
      <c r="C103" t="s">
        <v>38</v>
      </c>
      <c r="D103">
        <v>2025</v>
      </c>
      <c r="E103">
        <v>7.5720238361931536E-2</v>
      </c>
      <c r="F103">
        <v>0.79990149121373022</v>
      </c>
      <c r="G103">
        <f t="shared" si="1"/>
        <v>0.72418125285179868</v>
      </c>
      <c r="H103">
        <v>0.14533763099499511</v>
      </c>
    </row>
    <row r="104" spans="1:8" x14ac:dyDescent="0.35">
      <c r="A104" t="s">
        <v>70</v>
      </c>
      <c r="B104" t="s">
        <v>66</v>
      </c>
      <c r="C104" t="s">
        <v>40</v>
      </c>
      <c r="D104">
        <v>2025</v>
      </c>
      <c r="E104">
        <v>1.3606562692519699</v>
      </c>
      <c r="F104">
        <v>0.79990149121373022</v>
      </c>
      <c r="G104">
        <f t="shared" si="1"/>
        <v>-0.5607547780382397</v>
      </c>
      <c r="H104">
        <v>0.14533763099499511</v>
      </c>
    </row>
    <row r="105" spans="1:8" x14ac:dyDescent="0.35">
      <c r="A105" t="s">
        <v>70</v>
      </c>
      <c r="B105" t="s">
        <v>72</v>
      </c>
      <c r="C105" t="s">
        <v>40</v>
      </c>
      <c r="D105">
        <v>2025</v>
      </c>
      <c r="E105">
        <v>0.97596362509042578</v>
      </c>
      <c r="F105">
        <v>0.79990149121373022</v>
      </c>
      <c r="G105">
        <f t="shared" si="1"/>
        <v>-0.17606213387669556</v>
      </c>
      <c r="H105">
        <v>0.14533763099499511</v>
      </c>
    </row>
    <row r="106" spans="1:8" x14ac:dyDescent="0.35">
      <c r="A106" t="s">
        <v>73</v>
      </c>
      <c r="B106" t="s">
        <v>55</v>
      </c>
      <c r="C106" t="s">
        <v>38</v>
      </c>
      <c r="D106">
        <v>2020</v>
      </c>
      <c r="E106">
        <v>1.285387661815784</v>
      </c>
      <c r="F106">
        <v>-7.9120138942178206</v>
      </c>
      <c r="G106">
        <f t="shared" si="1"/>
        <v>-9.1974015560336042</v>
      </c>
      <c r="H106">
        <v>0.16587155074328949</v>
      </c>
    </row>
    <row r="107" spans="1:8" x14ac:dyDescent="0.35">
      <c r="A107" t="s">
        <v>73</v>
      </c>
      <c r="B107" t="s">
        <v>57</v>
      </c>
      <c r="C107" t="s">
        <v>38</v>
      </c>
      <c r="D107">
        <v>2020</v>
      </c>
      <c r="E107">
        <v>-9.3511426009976422</v>
      </c>
      <c r="F107">
        <v>-7.9120138942178206</v>
      </c>
      <c r="G107">
        <f t="shared" si="1"/>
        <v>1.4391287067798215</v>
      </c>
      <c r="H107">
        <v>0.16587155074328949</v>
      </c>
    </row>
    <row r="108" spans="1:8" x14ac:dyDescent="0.35">
      <c r="A108" t="s">
        <v>73</v>
      </c>
      <c r="B108" t="s">
        <v>56</v>
      </c>
      <c r="C108" t="s">
        <v>40</v>
      </c>
      <c r="D108">
        <v>2020</v>
      </c>
      <c r="E108">
        <v>1.503749975943047</v>
      </c>
      <c r="F108">
        <v>-7.9120138942178206</v>
      </c>
      <c r="G108">
        <f t="shared" si="1"/>
        <v>-9.4157638701608679</v>
      </c>
      <c r="H108">
        <v>0.16587155074328949</v>
      </c>
    </row>
    <row r="109" spans="1:8" x14ac:dyDescent="0.35">
      <c r="A109" t="s">
        <v>73</v>
      </c>
      <c r="B109" t="s">
        <v>58</v>
      </c>
      <c r="C109" t="s">
        <v>40</v>
      </c>
      <c r="D109">
        <v>2020</v>
      </c>
      <c r="E109">
        <v>-8.2482980854368328</v>
      </c>
      <c r="F109">
        <v>-7.9120138942178206</v>
      </c>
      <c r="G109">
        <f t="shared" si="1"/>
        <v>0.33628419121901221</v>
      </c>
      <c r="H109">
        <v>0.16587155074328949</v>
      </c>
    </row>
    <row r="110" spans="1:8" x14ac:dyDescent="0.35">
      <c r="A110" t="s">
        <v>73</v>
      </c>
      <c r="B110" t="s">
        <v>57</v>
      </c>
      <c r="C110" t="s">
        <v>38</v>
      </c>
      <c r="D110">
        <v>2021</v>
      </c>
      <c r="E110">
        <v>5.7952659026178077</v>
      </c>
      <c r="F110">
        <v>6.5701884772546428</v>
      </c>
      <c r="G110">
        <f t="shared" si="1"/>
        <v>0.77492257463683512</v>
      </c>
      <c r="H110">
        <v>0.16207230967799771</v>
      </c>
    </row>
    <row r="111" spans="1:8" x14ac:dyDescent="0.35">
      <c r="A111" t="s">
        <v>73</v>
      </c>
      <c r="B111" t="s">
        <v>59</v>
      </c>
      <c r="C111" t="s">
        <v>38</v>
      </c>
      <c r="D111">
        <v>2021</v>
      </c>
      <c r="E111">
        <v>6.5425794292067074</v>
      </c>
      <c r="F111">
        <v>6.5701884772546428</v>
      </c>
      <c r="G111">
        <f t="shared" si="1"/>
        <v>2.7609048047935403E-2</v>
      </c>
      <c r="H111">
        <v>0.16207230967799771</v>
      </c>
    </row>
    <row r="112" spans="1:8" x14ac:dyDescent="0.35">
      <c r="A112" t="s">
        <v>73</v>
      </c>
      <c r="B112" t="s">
        <v>58</v>
      </c>
      <c r="C112" t="s">
        <v>40</v>
      </c>
      <c r="D112">
        <v>2021</v>
      </c>
      <c r="E112">
        <v>7.4011344913377686</v>
      </c>
      <c r="F112">
        <v>6.5701884772546428</v>
      </c>
      <c r="G112">
        <f t="shared" si="1"/>
        <v>-0.83094601408312574</v>
      </c>
      <c r="H112">
        <v>0.16207230967799771</v>
      </c>
    </row>
    <row r="113" spans="1:8" x14ac:dyDescent="0.35">
      <c r="A113" t="s">
        <v>73</v>
      </c>
      <c r="B113" t="s">
        <v>60</v>
      </c>
      <c r="C113" t="s">
        <v>40</v>
      </c>
      <c r="D113">
        <v>2021</v>
      </c>
      <c r="E113">
        <v>5.7147026734028614</v>
      </c>
      <c r="F113">
        <v>6.5701884772546428</v>
      </c>
      <c r="G113">
        <f t="shared" si="1"/>
        <v>0.85548580385178141</v>
      </c>
      <c r="H113">
        <v>0.16207230967799771</v>
      </c>
    </row>
    <row r="114" spans="1:8" x14ac:dyDescent="0.35">
      <c r="A114" t="s">
        <v>73</v>
      </c>
      <c r="B114" t="s">
        <v>59</v>
      </c>
      <c r="C114" t="s">
        <v>38</v>
      </c>
      <c r="D114">
        <v>2022</v>
      </c>
      <c r="E114">
        <v>3.7661475579403141</v>
      </c>
      <c r="F114">
        <v>2.761671160127166</v>
      </c>
      <c r="G114">
        <f t="shared" si="1"/>
        <v>-1.0044763978131481</v>
      </c>
      <c r="H114">
        <v>0.1686231784194008</v>
      </c>
    </row>
    <row r="115" spans="1:8" x14ac:dyDescent="0.35">
      <c r="A115" t="s">
        <v>73</v>
      </c>
      <c r="B115" t="s">
        <v>61</v>
      </c>
      <c r="C115" t="s">
        <v>38</v>
      </c>
      <c r="D115">
        <v>2022</v>
      </c>
      <c r="E115">
        <v>2.6294584401195249</v>
      </c>
      <c r="F115">
        <v>2.761671160127166</v>
      </c>
      <c r="G115">
        <f t="shared" si="1"/>
        <v>0.13221272000764106</v>
      </c>
      <c r="H115">
        <v>0.1686231784194008</v>
      </c>
    </row>
    <row r="116" spans="1:8" x14ac:dyDescent="0.35">
      <c r="A116" t="s">
        <v>73</v>
      </c>
      <c r="B116" t="s">
        <v>60</v>
      </c>
      <c r="C116" t="s">
        <v>40</v>
      </c>
      <c r="D116">
        <v>2022</v>
      </c>
      <c r="E116">
        <v>4.2114770737248453</v>
      </c>
      <c r="F116">
        <v>2.761671160127166</v>
      </c>
      <c r="G116">
        <f t="shared" si="1"/>
        <v>-1.4498059135976793</v>
      </c>
      <c r="H116">
        <v>0.1686231784194008</v>
      </c>
    </row>
    <row r="117" spans="1:8" x14ac:dyDescent="0.35">
      <c r="A117" t="s">
        <v>73</v>
      </c>
      <c r="B117" t="s">
        <v>62</v>
      </c>
      <c r="C117" t="s">
        <v>40</v>
      </c>
      <c r="D117">
        <v>2022</v>
      </c>
      <c r="E117">
        <v>3.0989524183168582</v>
      </c>
      <c r="F117">
        <v>2.761671160127166</v>
      </c>
      <c r="G117">
        <f t="shared" si="1"/>
        <v>-0.33728125818969223</v>
      </c>
      <c r="H117">
        <v>0.1686231784194008</v>
      </c>
    </row>
    <row r="118" spans="1:8" x14ac:dyDescent="0.35">
      <c r="A118" t="s">
        <v>73</v>
      </c>
      <c r="B118" t="s">
        <v>61</v>
      </c>
      <c r="C118" t="s">
        <v>38</v>
      </c>
      <c r="D118">
        <v>2023</v>
      </c>
      <c r="E118">
        <v>0.43950651458626311</v>
      </c>
      <c r="F118">
        <v>1.8022470831755071</v>
      </c>
      <c r="G118">
        <f t="shared" si="1"/>
        <v>1.362740568589244</v>
      </c>
      <c r="H118">
        <v>0.17349510563338269</v>
      </c>
    </row>
    <row r="119" spans="1:8" x14ac:dyDescent="0.35">
      <c r="A119" t="s">
        <v>73</v>
      </c>
      <c r="B119" t="s">
        <v>63</v>
      </c>
      <c r="C119" t="s">
        <v>38</v>
      </c>
      <c r="D119">
        <v>2023</v>
      </c>
      <c r="E119">
        <v>1.0022762950343991</v>
      </c>
      <c r="F119">
        <v>1.8022470831755071</v>
      </c>
      <c r="G119">
        <f t="shared" si="1"/>
        <v>0.799970788141108</v>
      </c>
      <c r="H119">
        <v>0.17349510563338269</v>
      </c>
    </row>
    <row r="120" spans="1:8" x14ac:dyDescent="0.35">
      <c r="A120" t="s">
        <v>73</v>
      </c>
      <c r="B120" t="s">
        <v>62</v>
      </c>
      <c r="C120" t="s">
        <v>40</v>
      </c>
      <c r="D120">
        <v>2023</v>
      </c>
      <c r="E120">
        <v>1.7691091240616961</v>
      </c>
      <c r="F120">
        <v>1.8022470831755071</v>
      </c>
      <c r="G120">
        <f t="shared" si="1"/>
        <v>3.3137959113811011E-2</v>
      </c>
      <c r="H120">
        <v>0.17349510563338269</v>
      </c>
    </row>
    <row r="121" spans="1:8" x14ac:dyDescent="0.35">
      <c r="A121" t="s">
        <v>73</v>
      </c>
      <c r="B121" t="s">
        <v>64</v>
      </c>
      <c r="C121" t="s">
        <v>40</v>
      </c>
      <c r="D121">
        <v>2023</v>
      </c>
      <c r="E121">
        <v>0.72426026364131868</v>
      </c>
      <c r="F121">
        <v>1.8022470831755071</v>
      </c>
      <c r="G121">
        <f t="shared" si="1"/>
        <v>1.0779868195341884</v>
      </c>
      <c r="H121">
        <v>0.17349510563338269</v>
      </c>
    </row>
    <row r="122" spans="1:8" x14ac:dyDescent="0.35">
      <c r="A122" t="s">
        <v>73</v>
      </c>
      <c r="B122" t="s">
        <v>63</v>
      </c>
      <c r="C122" t="s">
        <v>38</v>
      </c>
      <c r="D122">
        <v>2024</v>
      </c>
      <c r="E122">
        <v>1.2470954330068731</v>
      </c>
      <c r="F122">
        <v>1.4144828845553741</v>
      </c>
      <c r="G122">
        <f t="shared" si="1"/>
        <v>0.16738745154850099</v>
      </c>
      <c r="H122">
        <v>0.18372354991229151</v>
      </c>
    </row>
    <row r="123" spans="1:8" x14ac:dyDescent="0.35">
      <c r="A123" t="s">
        <v>73</v>
      </c>
      <c r="B123" t="s">
        <v>65</v>
      </c>
      <c r="C123" t="s">
        <v>38</v>
      </c>
      <c r="D123">
        <v>2024</v>
      </c>
      <c r="E123">
        <v>1.13903040986485</v>
      </c>
      <c r="F123">
        <v>1.4144828845553741</v>
      </c>
      <c r="G123">
        <f t="shared" si="1"/>
        <v>0.27545247469052403</v>
      </c>
      <c r="H123">
        <v>0.18372354991229151</v>
      </c>
    </row>
    <row r="124" spans="1:8" x14ac:dyDescent="0.35">
      <c r="A124" t="s">
        <v>73</v>
      </c>
      <c r="B124" t="s">
        <v>64</v>
      </c>
      <c r="C124" t="s">
        <v>40</v>
      </c>
      <c r="D124">
        <v>2024</v>
      </c>
      <c r="E124">
        <v>1.41860461240253</v>
      </c>
      <c r="F124">
        <v>1.4144828845553741</v>
      </c>
      <c r="G124">
        <f t="shared" si="1"/>
        <v>-4.1217278471559204E-3</v>
      </c>
      <c r="H124">
        <v>0.18372354991229151</v>
      </c>
    </row>
    <row r="125" spans="1:8" x14ac:dyDescent="0.35">
      <c r="A125" t="s">
        <v>73</v>
      </c>
      <c r="B125" t="s">
        <v>66</v>
      </c>
      <c r="C125" t="s">
        <v>40</v>
      </c>
      <c r="D125">
        <v>2024</v>
      </c>
      <c r="E125">
        <v>0.72851910514837304</v>
      </c>
      <c r="F125">
        <v>1.4144828845553741</v>
      </c>
      <c r="G125">
        <f t="shared" si="1"/>
        <v>0.68596377940700104</v>
      </c>
      <c r="H125">
        <v>0.18372354991229151</v>
      </c>
    </row>
    <row r="126" spans="1:8" x14ac:dyDescent="0.35">
      <c r="A126" t="s">
        <v>74</v>
      </c>
      <c r="B126" t="s">
        <v>55</v>
      </c>
      <c r="C126" t="s">
        <v>38</v>
      </c>
      <c r="D126">
        <v>2020</v>
      </c>
      <c r="E126">
        <v>3.528571869780794</v>
      </c>
      <c r="F126">
        <v>6.9863814303713827</v>
      </c>
      <c r="G126">
        <f t="shared" si="1"/>
        <v>3.4578095605905887</v>
      </c>
      <c r="H126">
        <v>0.3780372329247822</v>
      </c>
    </row>
    <row r="127" spans="1:8" x14ac:dyDescent="0.35">
      <c r="A127" t="s">
        <v>74</v>
      </c>
      <c r="B127" t="s">
        <v>57</v>
      </c>
      <c r="C127" t="s">
        <v>38</v>
      </c>
      <c r="D127">
        <v>2020</v>
      </c>
      <c r="E127">
        <v>-2.3373996171914708</v>
      </c>
      <c r="F127">
        <v>6.9863814303713827</v>
      </c>
      <c r="G127">
        <f t="shared" si="1"/>
        <v>9.3237810475628535</v>
      </c>
      <c r="H127">
        <v>0.3780372329247822</v>
      </c>
    </row>
    <row r="128" spans="1:8" x14ac:dyDescent="0.35">
      <c r="A128" t="s">
        <v>74</v>
      </c>
      <c r="B128" t="s">
        <v>56</v>
      </c>
      <c r="C128" t="s">
        <v>40</v>
      </c>
      <c r="D128">
        <v>2020</v>
      </c>
      <c r="E128">
        <v>3.3676156234285992</v>
      </c>
      <c r="F128">
        <v>6.9863814303713827</v>
      </c>
      <c r="G128">
        <f t="shared" si="1"/>
        <v>3.6187658069427835</v>
      </c>
      <c r="H128">
        <v>0.3780372329247822</v>
      </c>
    </row>
    <row r="129" spans="1:8" x14ac:dyDescent="0.35">
      <c r="A129" t="s">
        <v>74</v>
      </c>
      <c r="B129" t="s">
        <v>58</v>
      </c>
      <c r="C129" t="s">
        <v>40</v>
      </c>
      <c r="D129">
        <v>2020</v>
      </c>
      <c r="E129">
        <v>-7.9470480138547073</v>
      </c>
      <c r="F129">
        <v>6.9863814303713827</v>
      </c>
      <c r="G129">
        <f t="shared" si="1"/>
        <v>14.933429444226089</v>
      </c>
      <c r="H129">
        <v>0.3780372329247822</v>
      </c>
    </row>
    <row r="130" spans="1:8" x14ac:dyDescent="0.35">
      <c r="A130" t="s">
        <v>74</v>
      </c>
      <c r="B130" t="s">
        <v>57</v>
      </c>
      <c r="C130" t="s">
        <v>38</v>
      </c>
      <c r="D130">
        <v>2021</v>
      </c>
      <c r="E130">
        <v>2.947813244873676</v>
      </c>
      <c r="F130">
        <v>15.1246997065809</v>
      </c>
      <c r="G130">
        <f t="shared" ref="G130:G193" si="2">IF(OR(F130="",E130=""),"",F130-E130)</f>
        <v>12.176886461707223</v>
      </c>
      <c r="H130">
        <v>0.19515385353486889</v>
      </c>
    </row>
    <row r="131" spans="1:8" x14ac:dyDescent="0.35">
      <c r="A131" t="s">
        <v>74</v>
      </c>
      <c r="B131" t="s">
        <v>59</v>
      </c>
      <c r="C131" t="s">
        <v>38</v>
      </c>
      <c r="D131">
        <v>2021</v>
      </c>
      <c r="E131">
        <v>14.562981111404421</v>
      </c>
      <c r="F131">
        <v>15.1246997065809</v>
      </c>
      <c r="G131">
        <f t="shared" si="2"/>
        <v>0.5617185951764796</v>
      </c>
      <c r="H131">
        <v>0.19515385353486889</v>
      </c>
    </row>
    <row r="132" spans="1:8" x14ac:dyDescent="0.35">
      <c r="A132" t="s">
        <v>74</v>
      </c>
      <c r="B132" t="s">
        <v>58</v>
      </c>
      <c r="C132" t="s">
        <v>40</v>
      </c>
      <c r="D132">
        <v>2021</v>
      </c>
      <c r="E132">
        <v>6.0844415228506374</v>
      </c>
      <c r="F132">
        <v>15.1246997065809</v>
      </c>
      <c r="G132">
        <f t="shared" si="2"/>
        <v>9.0402581837302627</v>
      </c>
      <c r="H132">
        <v>0.19515385353486889</v>
      </c>
    </row>
    <row r="133" spans="1:8" x14ac:dyDescent="0.35">
      <c r="A133" t="s">
        <v>74</v>
      </c>
      <c r="B133" t="s">
        <v>60</v>
      </c>
      <c r="C133" t="s">
        <v>40</v>
      </c>
      <c r="D133">
        <v>2021</v>
      </c>
      <c r="E133">
        <v>4.5993257541988797</v>
      </c>
      <c r="F133">
        <v>15.1246997065809</v>
      </c>
      <c r="G133">
        <f t="shared" si="2"/>
        <v>10.52537395238202</v>
      </c>
      <c r="H133">
        <v>0.19515385353486889</v>
      </c>
    </row>
    <row r="134" spans="1:8" x14ac:dyDescent="0.35">
      <c r="A134" t="s">
        <v>74</v>
      </c>
      <c r="B134" t="s">
        <v>59</v>
      </c>
      <c r="C134" t="s">
        <v>38</v>
      </c>
      <c r="D134">
        <v>2022</v>
      </c>
      <c r="E134">
        <v>5.0918722980731523</v>
      </c>
      <c r="F134">
        <v>7.9894443369245964</v>
      </c>
      <c r="G134">
        <f t="shared" si="2"/>
        <v>2.8975720388514441</v>
      </c>
      <c r="H134">
        <v>0.25178245429196833</v>
      </c>
    </row>
    <row r="135" spans="1:8" x14ac:dyDescent="0.35">
      <c r="A135" t="s">
        <v>74</v>
      </c>
      <c r="B135" t="s">
        <v>61</v>
      </c>
      <c r="C135" t="s">
        <v>38</v>
      </c>
      <c r="D135">
        <v>2022</v>
      </c>
      <c r="E135">
        <v>7.8710837662645083</v>
      </c>
      <c r="F135">
        <v>7.9894443369245964</v>
      </c>
      <c r="G135">
        <f t="shared" si="2"/>
        <v>0.11836057066008809</v>
      </c>
      <c r="H135">
        <v>0.25178245429196833</v>
      </c>
    </row>
    <row r="136" spans="1:8" x14ac:dyDescent="0.35">
      <c r="A136" t="s">
        <v>74</v>
      </c>
      <c r="B136" t="s">
        <v>60</v>
      </c>
      <c r="C136" t="s">
        <v>40</v>
      </c>
      <c r="D136">
        <v>2022</v>
      </c>
      <c r="E136">
        <v>4.9759868399277041</v>
      </c>
      <c r="F136">
        <v>7.9894443369245964</v>
      </c>
      <c r="G136">
        <f t="shared" si="2"/>
        <v>3.0134574969968924</v>
      </c>
      <c r="H136">
        <v>0.25178245429196833</v>
      </c>
    </row>
    <row r="137" spans="1:8" x14ac:dyDescent="0.35">
      <c r="A137" t="s">
        <v>74</v>
      </c>
      <c r="B137" t="s">
        <v>62</v>
      </c>
      <c r="C137" t="s">
        <v>40</v>
      </c>
      <c r="D137">
        <v>2022</v>
      </c>
      <c r="E137">
        <v>5.3816861962496354</v>
      </c>
      <c r="F137">
        <v>7.9894443369245964</v>
      </c>
      <c r="G137">
        <f t="shared" si="2"/>
        <v>2.607758140674961</v>
      </c>
      <c r="H137">
        <v>0.25178245429196833</v>
      </c>
    </row>
    <row r="138" spans="1:8" x14ac:dyDescent="0.35">
      <c r="A138" t="s">
        <v>74</v>
      </c>
      <c r="B138" t="s">
        <v>61</v>
      </c>
      <c r="C138" t="s">
        <v>38</v>
      </c>
      <c r="D138">
        <v>2023</v>
      </c>
      <c r="E138">
        <v>3.172255506856847</v>
      </c>
      <c r="F138">
        <v>-3.5205103013764418</v>
      </c>
      <c r="G138">
        <f t="shared" si="2"/>
        <v>-6.6927658082332888</v>
      </c>
      <c r="H138">
        <v>0.19374804262614681</v>
      </c>
    </row>
    <row r="139" spans="1:8" x14ac:dyDescent="0.35">
      <c r="A139" t="s">
        <v>74</v>
      </c>
      <c r="B139" t="s">
        <v>63</v>
      </c>
      <c r="C139" t="s">
        <v>38</v>
      </c>
      <c r="D139">
        <v>2023</v>
      </c>
      <c r="E139">
        <v>-0.93495600507882415</v>
      </c>
      <c r="F139">
        <v>-3.5205103013764418</v>
      </c>
      <c r="G139">
        <f t="shared" si="2"/>
        <v>-2.5855542962976177</v>
      </c>
      <c r="H139">
        <v>0.19374804262614681</v>
      </c>
    </row>
    <row r="140" spans="1:8" x14ac:dyDescent="0.35">
      <c r="A140" t="s">
        <v>74</v>
      </c>
      <c r="B140" t="s">
        <v>62</v>
      </c>
      <c r="C140" t="s">
        <v>40</v>
      </c>
      <c r="D140">
        <v>2023</v>
      </c>
      <c r="E140">
        <v>4.4348314017168322</v>
      </c>
      <c r="F140">
        <v>-3.5205103013764418</v>
      </c>
      <c r="G140">
        <f t="shared" si="2"/>
        <v>-7.955341703093274</v>
      </c>
      <c r="H140">
        <v>0.19374804262614681</v>
      </c>
    </row>
    <row r="141" spans="1:8" x14ac:dyDescent="0.35">
      <c r="A141" t="s">
        <v>74</v>
      </c>
      <c r="B141" t="s">
        <v>64</v>
      </c>
      <c r="C141" t="s">
        <v>40</v>
      </c>
      <c r="D141">
        <v>2023</v>
      </c>
      <c r="E141">
        <v>5.5170730455133654</v>
      </c>
      <c r="F141">
        <v>-3.5205103013764418</v>
      </c>
      <c r="G141">
        <f t="shared" si="2"/>
        <v>-9.0375833468898072</v>
      </c>
      <c r="H141">
        <v>0.19374804262614681</v>
      </c>
    </row>
    <row r="142" spans="1:8" x14ac:dyDescent="0.35">
      <c r="A142" t="s">
        <v>74</v>
      </c>
      <c r="B142" t="s">
        <v>63</v>
      </c>
      <c r="C142" t="s">
        <v>38</v>
      </c>
      <c r="D142">
        <v>2024</v>
      </c>
      <c r="E142">
        <v>3.0440640134462789</v>
      </c>
      <c r="F142">
        <v>3.6203795629134459</v>
      </c>
      <c r="G142">
        <f t="shared" si="2"/>
        <v>0.57631554946716701</v>
      </c>
      <c r="H142">
        <v>9.6012028645875991E-2</v>
      </c>
    </row>
    <row r="143" spans="1:8" x14ac:dyDescent="0.35">
      <c r="A143" t="s">
        <v>74</v>
      </c>
      <c r="B143" t="s">
        <v>65</v>
      </c>
      <c r="C143" t="s">
        <v>38</v>
      </c>
      <c r="D143">
        <v>2024</v>
      </c>
      <c r="E143">
        <v>-0.54062635287741578</v>
      </c>
      <c r="F143">
        <v>3.6203795629134459</v>
      </c>
      <c r="G143">
        <f t="shared" si="2"/>
        <v>4.1610059157908612</v>
      </c>
      <c r="H143">
        <v>9.6012028645875991E-2</v>
      </c>
    </row>
    <row r="144" spans="1:8" x14ac:dyDescent="0.35">
      <c r="A144" t="s">
        <v>74</v>
      </c>
      <c r="B144" t="s">
        <v>64</v>
      </c>
      <c r="C144" t="s">
        <v>40</v>
      </c>
      <c r="D144">
        <v>2024</v>
      </c>
      <c r="E144">
        <v>4.9679452562146009</v>
      </c>
      <c r="F144">
        <v>3.6203795629134459</v>
      </c>
      <c r="G144">
        <f t="shared" si="2"/>
        <v>-1.3475656933011551</v>
      </c>
      <c r="H144">
        <v>9.6012028645875991E-2</v>
      </c>
    </row>
    <row r="145" spans="1:8" x14ac:dyDescent="0.35">
      <c r="A145" t="s">
        <v>74</v>
      </c>
      <c r="B145" t="s">
        <v>66</v>
      </c>
      <c r="C145" t="s">
        <v>40</v>
      </c>
      <c r="D145">
        <v>2024</v>
      </c>
      <c r="E145">
        <v>1.2437124663212009</v>
      </c>
      <c r="F145">
        <v>3.6203795629134459</v>
      </c>
      <c r="G145">
        <f t="shared" si="2"/>
        <v>2.3766670965922447</v>
      </c>
      <c r="H145">
        <v>9.6012028645875991E-2</v>
      </c>
    </row>
    <row r="146" spans="1:8" x14ac:dyDescent="0.35">
      <c r="A146" t="s">
        <v>75</v>
      </c>
      <c r="B146" t="s">
        <v>55</v>
      </c>
      <c r="C146" t="s">
        <v>38</v>
      </c>
      <c r="D146">
        <v>2020</v>
      </c>
      <c r="E146">
        <v>0.43236292909316631</v>
      </c>
      <c r="F146">
        <v>-9.3783767522421471</v>
      </c>
      <c r="G146">
        <f t="shared" si="2"/>
        <v>-9.8107396813353134</v>
      </c>
      <c r="H146">
        <v>0.15574566778244739</v>
      </c>
    </row>
    <row r="147" spans="1:8" x14ac:dyDescent="0.35">
      <c r="A147" t="s">
        <v>75</v>
      </c>
      <c r="B147" t="s">
        <v>57</v>
      </c>
      <c r="C147" t="s">
        <v>38</v>
      </c>
      <c r="D147">
        <v>2020</v>
      </c>
      <c r="E147">
        <v>-9.8515454699187543</v>
      </c>
      <c r="F147">
        <v>-9.3783767522421471</v>
      </c>
      <c r="G147">
        <f t="shared" si="2"/>
        <v>0.47316871767660729</v>
      </c>
      <c r="H147">
        <v>0.15574566778244739</v>
      </c>
    </row>
    <row r="148" spans="1:8" x14ac:dyDescent="0.35">
      <c r="A148" t="s">
        <v>75</v>
      </c>
      <c r="B148" t="s">
        <v>56</v>
      </c>
      <c r="C148" t="s">
        <v>40</v>
      </c>
      <c r="D148">
        <v>2020</v>
      </c>
      <c r="E148">
        <v>0.71178912334750599</v>
      </c>
      <c r="F148">
        <v>-9.3783767522421471</v>
      </c>
      <c r="G148">
        <f t="shared" si="2"/>
        <v>-10.090165875589653</v>
      </c>
      <c r="H148">
        <v>0.15574566778244739</v>
      </c>
    </row>
    <row r="149" spans="1:8" x14ac:dyDescent="0.35">
      <c r="A149" t="s">
        <v>75</v>
      </c>
      <c r="B149" t="s">
        <v>58</v>
      </c>
      <c r="C149" t="s">
        <v>40</v>
      </c>
      <c r="D149">
        <v>2020</v>
      </c>
      <c r="E149">
        <v>-9.517990850094149</v>
      </c>
      <c r="F149">
        <v>-9.3783767522421471</v>
      </c>
      <c r="G149">
        <f t="shared" si="2"/>
        <v>0.13961409785200196</v>
      </c>
      <c r="H149">
        <v>0.15574566778244739</v>
      </c>
    </row>
    <row r="150" spans="1:8" x14ac:dyDescent="0.35">
      <c r="A150" t="s">
        <v>75</v>
      </c>
      <c r="B150" t="s">
        <v>57</v>
      </c>
      <c r="C150" t="s">
        <v>38</v>
      </c>
      <c r="D150">
        <v>2021</v>
      </c>
      <c r="E150">
        <v>4.051033813756133</v>
      </c>
      <c r="F150">
        <v>8.4370671759064813</v>
      </c>
      <c r="G150">
        <f t="shared" si="2"/>
        <v>4.3860333621503482</v>
      </c>
      <c r="H150">
        <v>0.12785786405169189</v>
      </c>
    </row>
    <row r="151" spans="1:8" x14ac:dyDescent="0.35">
      <c r="A151" t="s">
        <v>75</v>
      </c>
      <c r="B151" t="s">
        <v>59</v>
      </c>
      <c r="C151" t="s">
        <v>38</v>
      </c>
      <c r="D151">
        <v>2021</v>
      </c>
      <c r="E151">
        <v>6.2292733128945343</v>
      </c>
      <c r="F151">
        <v>8.4370671759064813</v>
      </c>
      <c r="G151">
        <f t="shared" si="2"/>
        <v>2.2077938630119469</v>
      </c>
      <c r="H151">
        <v>0.12785786405169189</v>
      </c>
    </row>
    <row r="152" spans="1:8" x14ac:dyDescent="0.35">
      <c r="A152" t="s">
        <v>75</v>
      </c>
      <c r="B152" t="s">
        <v>58</v>
      </c>
      <c r="C152" t="s">
        <v>40</v>
      </c>
      <c r="D152">
        <v>2021</v>
      </c>
      <c r="E152">
        <v>6.5496569028856699</v>
      </c>
      <c r="F152">
        <v>8.4370671759064813</v>
      </c>
      <c r="G152">
        <f t="shared" si="2"/>
        <v>1.8874102730208113</v>
      </c>
      <c r="H152">
        <v>0.12785786405169189</v>
      </c>
    </row>
    <row r="153" spans="1:8" x14ac:dyDescent="0.35">
      <c r="A153" t="s">
        <v>75</v>
      </c>
      <c r="B153" t="s">
        <v>60</v>
      </c>
      <c r="C153" t="s">
        <v>40</v>
      </c>
      <c r="D153">
        <v>2021</v>
      </c>
      <c r="E153">
        <v>4.2068723885489323</v>
      </c>
      <c r="F153">
        <v>8.4370671759064813</v>
      </c>
      <c r="G153">
        <f t="shared" si="2"/>
        <v>4.2301947873575489</v>
      </c>
      <c r="H153">
        <v>0.12785786405169189</v>
      </c>
    </row>
    <row r="154" spans="1:8" x14ac:dyDescent="0.35">
      <c r="A154" t="s">
        <v>75</v>
      </c>
      <c r="B154" t="s">
        <v>59</v>
      </c>
      <c r="C154" t="s">
        <v>38</v>
      </c>
      <c r="D154">
        <v>2022</v>
      </c>
      <c r="E154">
        <v>4.2689191687874661</v>
      </c>
      <c r="F154">
        <v>4.8546134866977511</v>
      </c>
      <c r="G154">
        <f t="shared" si="2"/>
        <v>0.58569431791028492</v>
      </c>
      <c r="H154">
        <v>0.12232868683850651</v>
      </c>
    </row>
    <row r="155" spans="1:8" x14ac:dyDescent="0.35">
      <c r="A155" t="s">
        <v>75</v>
      </c>
      <c r="B155" t="s">
        <v>61</v>
      </c>
      <c r="C155" t="s">
        <v>38</v>
      </c>
      <c r="D155">
        <v>2022</v>
      </c>
      <c r="E155">
        <v>3.8268920279536989</v>
      </c>
      <c r="F155">
        <v>4.8546134866977511</v>
      </c>
      <c r="G155">
        <f t="shared" si="2"/>
        <v>1.0277214587440522</v>
      </c>
      <c r="H155">
        <v>0.12232868683850651</v>
      </c>
    </row>
    <row r="156" spans="1:8" x14ac:dyDescent="0.35">
      <c r="A156" t="s">
        <v>75</v>
      </c>
      <c r="B156" t="s">
        <v>60</v>
      </c>
      <c r="C156" t="s">
        <v>40</v>
      </c>
      <c r="D156">
        <v>2022</v>
      </c>
      <c r="E156">
        <v>4.3934586282645904</v>
      </c>
      <c r="F156">
        <v>4.8546134866977511</v>
      </c>
      <c r="G156">
        <f t="shared" si="2"/>
        <v>0.46115485843316062</v>
      </c>
      <c r="H156">
        <v>0.12232868683850651</v>
      </c>
    </row>
    <row r="157" spans="1:8" x14ac:dyDescent="0.35">
      <c r="A157" t="s">
        <v>75</v>
      </c>
      <c r="B157" t="s">
        <v>62</v>
      </c>
      <c r="C157" t="s">
        <v>40</v>
      </c>
      <c r="D157">
        <v>2022</v>
      </c>
      <c r="E157">
        <v>2.4256542804822261</v>
      </c>
      <c r="F157">
        <v>4.8546134866977511</v>
      </c>
      <c r="G157">
        <f t="shared" si="2"/>
        <v>2.428959206215525</v>
      </c>
      <c r="H157">
        <v>0.12232868683850651</v>
      </c>
    </row>
    <row r="158" spans="1:8" x14ac:dyDescent="0.35">
      <c r="A158" t="s">
        <v>75</v>
      </c>
      <c r="B158" t="s">
        <v>61</v>
      </c>
      <c r="C158" t="s">
        <v>38</v>
      </c>
      <c r="D158">
        <v>2023</v>
      </c>
      <c r="E158">
        <v>0.31473715860916851</v>
      </c>
      <c r="F158">
        <v>1.014274087639002</v>
      </c>
      <c r="G158">
        <f t="shared" si="2"/>
        <v>0.69953692902983344</v>
      </c>
      <c r="H158">
        <v>0.1070949889392518</v>
      </c>
    </row>
    <row r="159" spans="1:8" x14ac:dyDescent="0.35">
      <c r="A159" t="s">
        <v>75</v>
      </c>
      <c r="B159" t="s">
        <v>63</v>
      </c>
      <c r="C159" t="s">
        <v>38</v>
      </c>
      <c r="D159">
        <v>2023</v>
      </c>
      <c r="E159">
        <v>0.69157318051265015</v>
      </c>
      <c r="F159">
        <v>1.014274087639002</v>
      </c>
      <c r="G159">
        <f t="shared" si="2"/>
        <v>0.3227009071263518</v>
      </c>
      <c r="H159">
        <v>0.1070949889392518</v>
      </c>
    </row>
    <row r="160" spans="1:8" x14ac:dyDescent="0.35">
      <c r="A160" t="s">
        <v>75</v>
      </c>
      <c r="B160" t="s">
        <v>62</v>
      </c>
      <c r="C160" t="s">
        <v>40</v>
      </c>
      <c r="D160">
        <v>2023</v>
      </c>
      <c r="E160">
        <v>1.851291422718337</v>
      </c>
      <c r="F160">
        <v>1.014274087639002</v>
      </c>
      <c r="G160">
        <f t="shared" si="2"/>
        <v>-0.83701733507933507</v>
      </c>
      <c r="H160">
        <v>0.1070949889392518</v>
      </c>
    </row>
    <row r="161" spans="1:8" x14ac:dyDescent="0.35">
      <c r="A161" t="s">
        <v>75</v>
      </c>
      <c r="B161" t="s">
        <v>64</v>
      </c>
      <c r="C161" t="s">
        <v>40</v>
      </c>
      <c r="D161">
        <v>2023</v>
      </c>
      <c r="E161">
        <v>1.206598132351089</v>
      </c>
      <c r="F161">
        <v>1.014274087639002</v>
      </c>
      <c r="G161">
        <f t="shared" si="2"/>
        <v>-0.19232404471208708</v>
      </c>
      <c r="H161">
        <v>0.1070949889392518</v>
      </c>
    </row>
    <row r="162" spans="1:8" x14ac:dyDescent="0.35">
      <c r="A162" t="s">
        <v>75</v>
      </c>
      <c r="B162" t="s">
        <v>63</v>
      </c>
      <c r="C162" t="s">
        <v>38</v>
      </c>
      <c r="D162">
        <v>2024</v>
      </c>
      <c r="E162">
        <v>0.85219564942633497</v>
      </c>
      <c r="F162">
        <v>0.58463257989526929</v>
      </c>
      <c r="G162">
        <f t="shared" si="2"/>
        <v>-0.26756306953106568</v>
      </c>
      <c r="H162">
        <v>0.1181932096010781</v>
      </c>
    </row>
    <row r="163" spans="1:8" x14ac:dyDescent="0.35">
      <c r="A163" t="s">
        <v>75</v>
      </c>
      <c r="B163" t="s">
        <v>65</v>
      </c>
      <c r="C163" t="s">
        <v>38</v>
      </c>
      <c r="D163">
        <v>2024</v>
      </c>
      <c r="E163">
        <v>0.66875073104093463</v>
      </c>
      <c r="F163">
        <v>0.58463257989526929</v>
      </c>
      <c r="G163">
        <f t="shared" si="2"/>
        <v>-8.4118151145665343E-2</v>
      </c>
      <c r="H163">
        <v>0.1181932096010781</v>
      </c>
    </row>
    <row r="164" spans="1:8" x14ac:dyDescent="0.35">
      <c r="A164" t="s">
        <v>75</v>
      </c>
      <c r="B164" t="s">
        <v>64</v>
      </c>
      <c r="C164" t="s">
        <v>40</v>
      </c>
      <c r="D164">
        <v>2024</v>
      </c>
      <c r="E164">
        <v>1.088219792885559</v>
      </c>
      <c r="F164">
        <v>0.58463257989526929</v>
      </c>
      <c r="G164">
        <f t="shared" si="2"/>
        <v>-0.50358721299028975</v>
      </c>
      <c r="H164">
        <v>0.1181932096010781</v>
      </c>
    </row>
    <row r="165" spans="1:8" x14ac:dyDescent="0.35">
      <c r="A165" t="s">
        <v>75</v>
      </c>
      <c r="B165" t="s">
        <v>66</v>
      </c>
      <c r="C165" t="s">
        <v>40</v>
      </c>
      <c r="D165">
        <v>2024</v>
      </c>
      <c r="E165">
        <v>0.93648338218597083</v>
      </c>
      <c r="F165">
        <v>0.58463257989526929</v>
      </c>
      <c r="G165">
        <f t="shared" si="2"/>
        <v>-0.35185080229070154</v>
      </c>
      <c r="H165">
        <v>0.1181932096010781</v>
      </c>
    </row>
    <row r="166" spans="1:8" x14ac:dyDescent="0.35">
      <c r="A166" t="s">
        <v>75</v>
      </c>
      <c r="B166" t="s">
        <v>65</v>
      </c>
      <c r="C166" t="s">
        <v>38</v>
      </c>
      <c r="D166">
        <v>2025</v>
      </c>
      <c r="E166">
        <v>1.0376492446310339</v>
      </c>
      <c r="F166">
        <v>0.66135842759176278</v>
      </c>
      <c r="G166">
        <f t="shared" si="2"/>
        <v>-0.37629081703927114</v>
      </c>
      <c r="H166">
        <v>0.118071592713761</v>
      </c>
    </row>
    <row r="167" spans="1:8" x14ac:dyDescent="0.35">
      <c r="A167" t="s">
        <v>75</v>
      </c>
      <c r="B167" t="s">
        <v>71</v>
      </c>
      <c r="C167" t="s">
        <v>38</v>
      </c>
      <c r="D167">
        <v>2025</v>
      </c>
      <c r="E167">
        <v>0.35981622121454843</v>
      </c>
      <c r="F167">
        <v>0.66135842759176278</v>
      </c>
      <c r="G167">
        <f t="shared" si="2"/>
        <v>0.30154220637721435</v>
      </c>
      <c r="H167">
        <v>0.118071592713761</v>
      </c>
    </row>
    <row r="168" spans="1:8" x14ac:dyDescent="0.35">
      <c r="A168" t="s">
        <v>75</v>
      </c>
      <c r="B168" t="s">
        <v>66</v>
      </c>
      <c r="C168" t="s">
        <v>40</v>
      </c>
      <c r="D168">
        <v>2025</v>
      </c>
      <c r="E168">
        <v>1.0979449050216421</v>
      </c>
      <c r="F168">
        <v>0.66135842759176278</v>
      </c>
      <c r="G168">
        <f t="shared" si="2"/>
        <v>-0.43658647742987933</v>
      </c>
      <c r="H168">
        <v>0.118071592713761</v>
      </c>
    </row>
    <row r="169" spans="1:8" x14ac:dyDescent="0.35">
      <c r="A169" t="s">
        <v>75</v>
      </c>
      <c r="B169" t="s">
        <v>72</v>
      </c>
      <c r="C169" t="s">
        <v>40</v>
      </c>
      <c r="D169">
        <v>2025</v>
      </c>
      <c r="E169">
        <v>0.66447930597219873</v>
      </c>
      <c r="F169">
        <v>0.66135842759176278</v>
      </c>
      <c r="G169">
        <f t="shared" si="2"/>
        <v>-3.1208783804359541E-3</v>
      </c>
      <c r="H169">
        <v>0.118071592713761</v>
      </c>
    </row>
    <row r="170" spans="1:8" x14ac:dyDescent="0.35">
      <c r="A170" t="s">
        <v>76</v>
      </c>
      <c r="B170" t="s">
        <v>55</v>
      </c>
      <c r="C170" t="s">
        <v>38</v>
      </c>
      <c r="D170">
        <v>2020</v>
      </c>
      <c r="E170">
        <v>1.2831214058191649</v>
      </c>
      <c r="F170">
        <v>-3.9039509434828492</v>
      </c>
      <c r="G170">
        <f t="shared" si="2"/>
        <v>-5.1870723493020137</v>
      </c>
      <c r="H170">
        <v>0.18034013840432031</v>
      </c>
    </row>
    <row r="171" spans="1:8" x14ac:dyDescent="0.35">
      <c r="A171" t="s">
        <v>76</v>
      </c>
      <c r="B171" t="s">
        <v>57</v>
      </c>
      <c r="C171" t="s">
        <v>38</v>
      </c>
      <c r="D171">
        <v>2020</v>
      </c>
      <c r="E171">
        <v>-5.3222217587985954</v>
      </c>
      <c r="F171">
        <v>-3.9039509434828492</v>
      </c>
      <c r="G171">
        <f t="shared" si="2"/>
        <v>1.4182708153157462</v>
      </c>
      <c r="H171">
        <v>0.18034013840432031</v>
      </c>
    </row>
    <row r="172" spans="1:8" x14ac:dyDescent="0.35">
      <c r="A172" t="s">
        <v>76</v>
      </c>
      <c r="B172" t="s">
        <v>56</v>
      </c>
      <c r="C172" t="s">
        <v>40</v>
      </c>
      <c r="D172">
        <v>2020</v>
      </c>
      <c r="E172">
        <v>1.619436814413677</v>
      </c>
      <c r="F172">
        <v>-3.9039509434828492</v>
      </c>
      <c r="G172">
        <f t="shared" si="2"/>
        <v>-5.5233877578965265</v>
      </c>
      <c r="H172">
        <v>0.18034013840432031</v>
      </c>
    </row>
    <row r="173" spans="1:8" x14ac:dyDescent="0.35">
      <c r="A173" t="s">
        <v>76</v>
      </c>
      <c r="B173" t="s">
        <v>58</v>
      </c>
      <c r="C173" t="s">
        <v>40</v>
      </c>
      <c r="D173">
        <v>2020</v>
      </c>
      <c r="E173">
        <v>-6.8478963820636896</v>
      </c>
      <c r="F173">
        <v>-3.9039509434828492</v>
      </c>
      <c r="G173">
        <f t="shared" si="2"/>
        <v>2.9439454385808403</v>
      </c>
      <c r="H173">
        <v>0.18034013840432031</v>
      </c>
    </row>
    <row r="174" spans="1:8" x14ac:dyDescent="0.35">
      <c r="A174" t="s">
        <v>76</v>
      </c>
      <c r="B174" t="s">
        <v>57</v>
      </c>
      <c r="C174" t="s">
        <v>38</v>
      </c>
      <c r="D174">
        <v>2021</v>
      </c>
      <c r="E174">
        <v>2.161323818880434</v>
      </c>
      <c r="F174">
        <v>6.0197643563294596</v>
      </c>
      <c r="G174">
        <f t="shared" si="2"/>
        <v>3.8584405374490256</v>
      </c>
      <c r="H174">
        <v>0.17060593737291579</v>
      </c>
    </row>
    <row r="175" spans="1:8" x14ac:dyDescent="0.35">
      <c r="A175" t="s">
        <v>76</v>
      </c>
      <c r="B175" t="s">
        <v>59</v>
      </c>
      <c r="C175" t="s">
        <v>38</v>
      </c>
      <c r="D175">
        <v>2021</v>
      </c>
      <c r="E175">
        <v>3.9728248180522558</v>
      </c>
      <c r="F175">
        <v>6.0197643563294596</v>
      </c>
      <c r="G175">
        <f t="shared" si="2"/>
        <v>2.0469395382772038</v>
      </c>
      <c r="H175">
        <v>0.17060593737291579</v>
      </c>
    </row>
    <row r="176" spans="1:8" x14ac:dyDescent="0.35">
      <c r="A176" t="s">
        <v>76</v>
      </c>
      <c r="B176" t="s">
        <v>58</v>
      </c>
      <c r="C176" t="s">
        <v>40</v>
      </c>
      <c r="D176">
        <v>2021</v>
      </c>
      <c r="E176">
        <v>4.963640025345617</v>
      </c>
      <c r="F176">
        <v>6.0197643563294596</v>
      </c>
      <c r="G176">
        <f t="shared" si="2"/>
        <v>1.0561243309838426</v>
      </c>
      <c r="H176">
        <v>0.17060593737291579</v>
      </c>
    </row>
    <row r="177" spans="1:8" x14ac:dyDescent="0.35">
      <c r="A177" t="s">
        <v>76</v>
      </c>
      <c r="B177" t="s">
        <v>60</v>
      </c>
      <c r="C177" t="s">
        <v>40</v>
      </c>
      <c r="D177">
        <v>2021</v>
      </c>
      <c r="E177">
        <v>2.3382369164345769</v>
      </c>
      <c r="F177">
        <v>6.0197643563294596</v>
      </c>
      <c r="G177">
        <f t="shared" si="2"/>
        <v>3.6815274398948827</v>
      </c>
      <c r="H177">
        <v>0.17060593737291579</v>
      </c>
    </row>
    <row r="178" spans="1:8" x14ac:dyDescent="0.35">
      <c r="A178" t="s">
        <v>76</v>
      </c>
      <c r="B178" t="s">
        <v>59</v>
      </c>
      <c r="C178" t="s">
        <v>38</v>
      </c>
      <c r="D178">
        <v>2022</v>
      </c>
      <c r="E178">
        <v>3.3489770835561039</v>
      </c>
      <c r="F178">
        <v>4.8892912104023152</v>
      </c>
      <c r="G178">
        <f t="shared" si="2"/>
        <v>1.5403141268462113</v>
      </c>
      <c r="H178">
        <v>0.1723953161408304</v>
      </c>
    </row>
    <row r="179" spans="1:8" x14ac:dyDescent="0.35">
      <c r="A179" t="s">
        <v>76</v>
      </c>
      <c r="B179" t="s">
        <v>61</v>
      </c>
      <c r="C179" t="s">
        <v>38</v>
      </c>
      <c r="D179">
        <v>2022</v>
      </c>
      <c r="E179">
        <v>4.6490196630740721</v>
      </c>
      <c r="F179">
        <v>4.8892912104023152</v>
      </c>
      <c r="G179">
        <f t="shared" si="2"/>
        <v>0.24027154732824307</v>
      </c>
      <c r="H179">
        <v>0.1723953161408304</v>
      </c>
    </row>
    <row r="180" spans="1:8" x14ac:dyDescent="0.35">
      <c r="A180" t="s">
        <v>76</v>
      </c>
      <c r="B180" t="s">
        <v>60</v>
      </c>
      <c r="C180" t="s">
        <v>40</v>
      </c>
      <c r="D180">
        <v>2022</v>
      </c>
      <c r="E180">
        <v>3.5790486712876879</v>
      </c>
      <c r="F180">
        <v>4.8892912104023152</v>
      </c>
      <c r="G180">
        <f t="shared" si="2"/>
        <v>1.3102425391146273</v>
      </c>
      <c r="H180">
        <v>0.1723953161408304</v>
      </c>
    </row>
    <row r="181" spans="1:8" x14ac:dyDescent="0.35">
      <c r="A181" t="s">
        <v>76</v>
      </c>
      <c r="B181" t="s">
        <v>62</v>
      </c>
      <c r="C181" t="s">
        <v>40</v>
      </c>
      <c r="D181">
        <v>2022</v>
      </c>
      <c r="E181">
        <v>3.271330674458595</v>
      </c>
      <c r="F181">
        <v>4.8892912104023152</v>
      </c>
      <c r="G181">
        <f t="shared" si="2"/>
        <v>1.6179605359437201</v>
      </c>
      <c r="H181">
        <v>0.1723953161408304</v>
      </c>
    </row>
    <row r="182" spans="1:8" x14ac:dyDescent="0.35">
      <c r="A182" t="s">
        <v>76</v>
      </c>
      <c r="B182" t="s">
        <v>61</v>
      </c>
      <c r="C182" t="s">
        <v>38</v>
      </c>
      <c r="D182">
        <v>2023</v>
      </c>
      <c r="E182">
        <v>0.64857323528075828</v>
      </c>
      <c r="F182">
        <v>-0.58469355622177965</v>
      </c>
      <c r="G182">
        <f t="shared" si="2"/>
        <v>-1.2332667915025379</v>
      </c>
      <c r="H182">
        <v>0.16855357686097391</v>
      </c>
    </row>
    <row r="183" spans="1:8" x14ac:dyDescent="0.35">
      <c r="A183" t="s">
        <v>76</v>
      </c>
      <c r="B183" t="s">
        <v>63</v>
      </c>
      <c r="C183" t="s">
        <v>38</v>
      </c>
      <c r="D183">
        <v>2023</v>
      </c>
      <c r="E183">
        <v>0.5799247285826814</v>
      </c>
      <c r="F183">
        <v>-0.58469355622177965</v>
      </c>
      <c r="G183">
        <f t="shared" si="2"/>
        <v>-1.1646182848044611</v>
      </c>
      <c r="H183">
        <v>0.16855357686097391</v>
      </c>
    </row>
    <row r="184" spans="1:8" x14ac:dyDescent="0.35">
      <c r="A184" t="s">
        <v>76</v>
      </c>
      <c r="B184" t="s">
        <v>62</v>
      </c>
      <c r="C184" t="s">
        <v>40</v>
      </c>
      <c r="D184">
        <v>2023</v>
      </c>
      <c r="E184">
        <v>1.5682500170195011</v>
      </c>
      <c r="F184">
        <v>-0.58469355622177965</v>
      </c>
      <c r="G184">
        <f t="shared" si="2"/>
        <v>-2.1529435732412807</v>
      </c>
      <c r="H184">
        <v>0.16855357686097391</v>
      </c>
    </row>
    <row r="185" spans="1:8" x14ac:dyDescent="0.35">
      <c r="A185" t="s">
        <v>76</v>
      </c>
      <c r="B185" t="s">
        <v>64</v>
      </c>
      <c r="C185" t="s">
        <v>40</v>
      </c>
      <c r="D185">
        <v>2023</v>
      </c>
      <c r="E185">
        <v>1.8009941751683021</v>
      </c>
      <c r="F185">
        <v>-0.58469355622177965</v>
      </c>
      <c r="G185">
        <f t="shared" si="2"/>
        <v>-2.3856877313900817</v>
      </c>
      <c r="H185">
        <v>0.16855357686097391</v>
      </c>
    </row>
    <row r="186" spans="1:8" x14ac:dyDescent="0.35">
      <c r="A186" t="s">
        <v>76</v>
      </c>
      <c r="B186" t="s">
        <v>63</v>
      </c>
      <c r="C186" t="s">
        <v>38</v>
      </c>
      <c r="D186">
        <v>2024</v>
      </c>
      <c r="E186">
        <v>1.090974188365412</v>
      </c>
      <c r="F186">
        <v>1.058640812818894</v>
      </c>
      <c r="G186">
        <f t="shared" si="2"/>
        <v>-3.2333375546518051E-2</v>
      </c>
      <c r="H186">
        <v>0.16819795598684001</v>
      </c>
    </row>
    <row r="187" spans="1:8" x14ac:dyDescent="0.35">
      <c r="A187" t="s">
        <v>76</v>
      </c>
      <c r="B187" t="s">
        <v>65</v>
      </c>
      <c r="C187" t="s">
        <v>38</v>
      </c>
      <c r="D187">
        <v>2024</v>
      </c>
      <c r="E187">
        <v>0.84134331866276835</v>
      </c>
      <c r="F187">
        <v>1.058640812818894</v>
      </c>
      <c r="G187">
        <f t="shared" si="2"/>
        <v>0.21729749415612565</v>
      </c>
      <c r="H187">
        <v>0.16819795598684001</v>
      </c>
    </row>
    <row r="188" spans="1:8" x14ac:dyDescent="0.35">
      <c r="A188" t="s">
        <v>76</v>
      </c>
      <c r="B188" t="s">
        <v>64</v>
      </c>
      <c r="C188" t="s">
        <v>40</v>
      </c>
      <c r="D188">
        <v>2024</v>
      </c>
      <c r="E188">
        <v>1.181076174566176</v>
      </c>
      <c r="F188">
        <v>1.058640812818894</v>
      </c>
      <c r="G188">
        <f t="shared" si="2"/>
        <v>-0.12243536174728198</v>
      </c>
      <c r="H188">
        <v>0.16819795598684001</v>
      </c>
    </row>
    <row r="189" spans="1:8" x14ac:dyDescent="0.35">
      <c r="A189" t="s">
        <v>76</v>
      </c>
      <c r="B189" t="s">
        <v>66</v>
      </c>
      <c r="C189" t="s">
        <v>40</v>
      </c>
      <c r="D189">
        <v>2024</v>
      </c>
      <c r="E189">
        <v>0.76042118074215459</v>
      </c>
      <c r="F189">
        <v>1.058640812818894</v>
      </c>
      <c r="G189">
        <f t="shared" si="2"/>
        <v>0.2982196320767394</v>
      </c>
      <c r="H189">
        <v>0.16819795598684001</v>
      </c>
    </row>
    <row r="190" spans="1:8" x14ac:dyDescent="0.35">
      <c r="A190" t="s">
        <v>77</v>
      </c>
      <c r="B190" t="s">
        <v>55</v>
      </c>
      <c r="C190" t="s">
        <v>38</v>
      </c>
      <c r="D190">
        <v>2020</v>
      </c>
      <c r="E190">
        <v>1.699885517193356</v>
      </c>
      <c r="F190">
        <v>-8.5609032033360464</v>
      </c>
      <c r="G190">
        <f t="shared" si="2"/>
        <v>-10.260788720529403</v>
      </c>
      <c r="H190">
        <v>0.14810212813728671</v>
      </c>
    </row>
    <row r="191" spans="1:8" x14ac:dyDescent="0.35">
      <c r="A191" t="s">
        <v>77</v>
      </c>
      <c r="B191" t="s">
        <v>57</v>
      </c>
      <c r="C191" t="s">
        <v>38</v>
      </c>
      <c r="D191">
        <v>2020</v>
      </c>
      <c r="E191">
        <v>-9.2905567939445373</v>
      </c>
      <c r="F191">
        <v>-8.5609032033360464</v>
      </c>
      <c r="G191">
        <f t="shared" si="2"/>
        <v>0.72965359060849089</v>
      </c>
      <c r="H191">
        <v>0.14810212813728671</v>
      </c>
    </row>
    <row r="192" spans="1:8" x14ac:dyDescent="0.35">
      <c r="A192" t="s">
        <v>77</v>
      </c>
      <c r="B192" t="s">
        <v>56</v>
      </c>
      <c r="C192" t="s">
        <v>40</v>
      </c>
      <c r="D192">
        <v>2020</v>
      </c>
      <c r="E192">
        <v>1.7153996309464681</v>
      </c>
      <c r="F192">
        <v>-8.5609032033360464</v>
      </c>
      <c r="G192">
        <f t="shared" si="2"/>
        <v>-10.276302834282514</v>
      </c>
      <c r="H192">
        <v>0.14810212813728671</v>
      </c>
    </row>
    <row r="193" spans="1:8" x14ac:dyDescent="0.35">
      <c r="A193" t="s">
        <v>77</v>
      </c>
      <c r="B193" t="s">
        <v>58</v>
      </c>
      <c r="C193" t="s">
        <v>40</v>
      </c>
      <c r="D193">
        <v>2020</v>
      </c>
      <c r="E193">
        <v>-6.7651809613411107</v>
      </c>
      <c r="F193">
        <v>-8.5609032033360464</v>
      </c>
      <c r="G193">
        <f t="shared" si="2"/>
        <v>-1.7957222419949357</v>
      </c>
      <c r="H193">
        <v>0.14810212813728671</v>
      </c>
    </row>
    <row r="194" spans="1:8" x14ac:dyDescent="0.35">
      <c r="A194" t="s">
        <v>77</v>
      </c>
      <c r="B194" t="s">
        <v>57</v>
      </c>
      <c r="C194" t="s">
        <v>38</v>
      </c>
      <c r="D194">
        <v>2021</v>
      </c>
      <c r="E194">
        <v>5.3606609364002189</v>
      </c>
      <c r="F194">
        <v>5.4098373027499997</v>
      </c>
      <c r="G194">
        <f t="shared" ref="G194:G209" si="3">IF(OR(F194="",E194=""),"",F194-E194)</f>
        <v>4.9176366349780842E-2</v>
      </c>
      <c r="H194">
        <v>0.15193398171114969</v>
      </c>
    </row>
    <row r="195" spans="1:8" x14ac:dyDescent="0.35">
      <c r="A195" t="s">
        <v>77</v>
      </c>
      <c r="B195" t="s">
        <v>59</v>
      </c>
      <c r="C195" t="s">
        <v>38</v>
      </c>
      <c r="D195">
        <v>2021</v>
      </c>
      <c r="E195">
        <v>4.5428064601391371</v>
      </c>
      <c r="F195">
        <v>5.4098373027499997</v>
      </c>
      <c r="G195">
        <f t="shared" si="3"/>
        <v>0.86703084261086261</v>
      </c>
      <c r="H195">
        <v>0.15193398171114969</v>
      </c>
    </row>
    <row r="196" spans="1:8" x14ac:dyDescent="0.35">
      <c r="A196" t="s">
        <v>77</v>
      </c>
      <c r="B196" t="s">
        <v>58</v>
      </c>
      <c r="C196" t="s">
        <v>40</v>
      </c>
      <c r="D196">
        <v>2021</v>
      </c>
      <c r="E196">
        <v>5.8179091621113344</v>
      </c>
      <c r="F196">
        <v>5.4098373027499997</v>
      </c>
      <c r="G196">
        <f t="shared" si="3"/>
        <v>-0.40807185936133461</v>
      </c>
      <c r="H196">
        <v>0.15193398171114969</v>
      </c>
    </row>
    <row r="197" spans="1:8" x14ac:dyDescent="0.35">
      <c r="A197" t="s">
        <v>77</v>
      </c>
      <c r="B197" t="s">
        <v>60</v>
      </c>
      <c r="C197" t="s">
        <v>40</v>
      </c>
      <c r="D197">
        <v>2021</v>
      </c>
      <c r="E197">
        <v>3.9441078773994498</v>
      </c>
      <c r="F197">
        <v>5.4098373027499997</v>
      </c>
      <c r="G197">
        <f t="shared" si="3"/>
        <v>1.46572942535055</v>
      </c>
      <c r="H197">
        <v>0.15193398171114969</v>
      </c>
    </row>
    <row r="198" spans="1:8" x14ac:dyDescent="0.35">
      <c r="A198" t="s">
        <v>77</v>
      </c>
      <c r="B198" t="s">
        <v>59</v>
      </c>
      <c r="C198" t="s">
        <v>38</v>
      </c>
      <c r="D198">
        <v>2022</v>
      </c>
      <c r="E198">
        <v>5.3212657228810967</v>
      </c>
      <c r="F198">
        <v>6.7526124502433778</v>
      </c>
      <c r="G198">
        <f t="shared" si="3"/>
        <v>1.4313467273622811</v>
      </c>
      <c r="H198">
        <v>0.14461475316746991</v>
      </c>
    </row>
    <row r="199" spans="1:8" x14ac:dyDescent="0.35">
      <c r="A199" t="s">
        <v>77</v>
      </c>
      <c r="B199" t="s">
        <v>61</v>
      </c>
      <c r="C199" t="s">
        <v>38</v>
      </c>
      <c r="D199">
        <v>2022</v>
      </c>
      <c r="E199">
        <v>6.5861251608809734</v>
      </c>
      <c r="F199">
        <v>6.7526124502433778</v>
      </c>
      <c r="G199">
        <f t="shared" si="3"/>
        <v>0.16648728936240431</v>
      </c>
      <c r="H199">
        <v>0.14461475316746991</v>
      </c>
    </row>
    <row r="200" spans="1:8" x14ac:dyDescent="0.35">
      <c r="A200" t="s">
        <v>77</v>
      </c>
      <c r="B200" t="s">
        <v>60</v>
      </c>
      <c r="C200" t="s">
        <v>40</v>
      </c>
      <c r="D200">
        <v>2022</v>
      </c>
      <c r="E200">
        <v>5.0988792351265078</v>
      </c>
      <c r="F200">
        <v>6.7526124502433778</v>
      </c>
      <c r="G200">
        <f t="shared" si="3"/>
        <v>1.65373321511687</v>
      </c>
      <c r="H200">
        <v>0.14461475316746991</v>
      </c>
    </row>
    <row r="201" spans="1:8" x14ac:dyDescent="0.35">
      <c r="A201" t="s">
        <v>77</v>
      </c>
      <c r="B201" t="s">
        <v>62</v>
      </c>
      <c r="C201" t="s">
        <v>40</v>
      </c>
      <c r="D201">
        <v>2022</v>
      </c>
      <c r="E201">
        <v>5.8054687081874778</v>
      </c>
      <c r="F201">
        <v>6.7526124502433778</v>
      </c>
      <c r="G201">
        <f t="shared" si="3"/>
        <v>0.94714374205589991</v>
      </c>
      <c r="H201">
        <v>0.14461475316746991</v>
      </c>
    </row>
    <row r="202" spans="1:8" x14ac:dyDescent="0.35">
      <c r="A202" t="s">
        <v>77</v>
      </c>
      <c r="B202" t="s">
        <v>61</v>
      </c>
      <c r="C202" t="s">
        <v>38</v>
      </c>
      <c r="D202">
        <v>2023</v>
      </c>
      <c r="E202">
        <v>0.71696140778811923</v>
      </c>
      <c r="F202">
        <v>3.0529202104847739</v>
      </c>
      <c r="G202">
        <f t="shared" si="3"/>
        <v>2.3359588026966547</v>
      </c>
      <c r="H202">
        <v>0.13707314166650111</v>
      </c>
    </row>
    <row r="203" spans="1:8" x14ac:dyDescent="0.35">
      <c r="A203" t="s">
        <v>77</v>
      </c>
      <c r="B203" t="s">
        <v>63</v>
      </c>
      <c r="C203" t="s">
        <v>38</v>
      </c>
      <c r="D203">
        <v>2023</v>
      </c>
      <c r="E203">
        <v>2.226883105497079</v>
      </c>
      <c r="F203">
        <v>3.0529202104847739</v>
      </c>
      <c r="G203">
        <f t="shared" si="3"/>
        <v>0.82603710498769489</v>
      </c>
      <c r="H203">
        <v>0.13707314166650111</v>
      </c>
    </row>
    <row r="204" spans="1:8" x14ac:dyDescent="0.35">
      <c r="A204" t="s">
        <v>77</v>
      </c>
      <c r="B204" t="s">
        <v>62</v>
      </c>
      <c r="C204" t="s">
        <v>40</v>
      </c>
      <c r="D204">
        <v>2023</v>
      </c>
      <c r="E204">
        <v>2.6604918870074319</v>
      </c>
      <c r="F204">
        <v>3.0529202104847739</v>
      </c>
      <c r="G204">
        <f t="shared" si="3"/>
        <v>0.39242832347734202</v>
      </c>
      <c r="H204">
        <v>0.13707314166650111</v>
      </c>
    </row>
    <row r="205" spans="1:8" x14ac:dyDescent="0.35">
      <c r="A205" t="s">
        <v>77</v>
      </c>
      <c r="B205" t="s">
        <v>64</v>
      </c>
      <c r="C205" t="s">
        <v>40</v>
      </c>
      <c r="D205">
        <v>2023</v>
      </c>
      <c r="E205">
        <v>2.4387614512581202</v>
      </c>
      <c r="F205">
        <v>3.0529202104847739</v>
      </c>
      <c r="G205">
        <f t="shared" si="3"/>
        <v>0.61415875922665375</v>
      </c>
      <c r="H205">
        <v>0.13707314166650111</v>
      </c>
    </row>
    <row r="206" spans="1:8" x14ac:dyDescent="0.35">
      <c r="A206" t="s">
        <v>77</v>
      </c>
      <c r="B206" t="s">
        <v>63</v>
      </c>
      <c r="C206" t="s">
        <v>38</v>
      </c>
      <c r="D206">
        <v>2024</v>
      </c>
      <c r="E206">
        <v>1.3133477904788251</v>
      </c>
      <c r="F206">
        <v>2.1904072780361381</v>
      </c>
      <c r="G206">
        <f t="shared" si="3"/>
        <v>0.877059487557313</v>
      </c>
      <c r="H206">
        <v>8.6782381012711671E-2</v>
      </c>
    </row>
    <row r="207" spans="1:8" x14ac:dyDescent="0.35">
      <c r="A207" t="s">
        <v>77</v>
      </c>
      <c r="B207" t="s">
        <v>65</v>
      </c>
      <c r="C207" t="s">
        <v>38</v>
      </c>
      <c r="D207">
        <v>2024</v>
      </c>
      <c r="E207">
        <v>1.6514732694230541</v>
      </c>
      <c r="F207">
        <v>2.1904072780361381</v>
      </c>
      <c r="G207">
        <f t="shared" si="3"/>
        <v>0.53893400861308405</v>
      </c>
      <c r="H207">
        <v>8.6782381012711671E-2</v>
      </c>
    </row>
    <row r="208" spans="1:8" x14ac:dyDescent="0.35">
      <c r="A208" t="s">
        <v>77</v>
      </c>
      <c r="B208" t="s">
        <v>64</v>
      </c>
      <c r="C208" t="s">
        <v>40</v>
      </c>
      <c r="D208">
        <v>2024</v>
      </c>
      <c r="E208">
        <v>1.7569161258840891</v>
      </c>
      <c r="F208">
        <v>2.1904072780361381</v>
      </c>
      <c r="G208">
        <f t="shared" si="3"/>
        <v>0.43349115215204903</v>
      </c>
      <c r="H208">
        <v>8.6782381012711671E-2</v>
      </c>
    </row>
    <row r="209" spans="1:8" x14ac:dyDescent="0.35">
      <c r="A209" t="s">
        <v>77</v>
      </c>
      <c r="B209" t="s">
        <v>66</v>
      </c>
      <c r="C209" t="s">
        <v>40</v>
      </c>
      <c r="D209">
        <v>2024</v>
      </c>
      <c r="E209">
        <v>1.734179743438991</v>
      </c>
      <c r="F209">
        <v>2.1904072780361381</v>
      </c>
      <c r="G209">
        <f t="shared" si="3"/>
        <v>0.45622753459714716</v>
      </c>
      <c r="H209">
        <v>8.6782381012711671E-2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5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0.1467147589337007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0.1467147589337007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0.14263754713345991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0.14263754713345991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0.14263754713345991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0.14263754713345991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0.14779517232352959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0.14779517232352959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0.14779517232352959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0.14779517232352959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0.1428833334652285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0.1428833334652285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0.1428833334652285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0.1428833334652285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0.1551594480824991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0.1551594480824991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0.1551594480824991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0.1551594480824991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0.15546366398225389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0.15546366398225389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0.15546366398225389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0.15546366398225389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0.1514119442963342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0.1514119442963342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0.1514119442963342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0.1514119442963342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0.15970830024254651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0.15970830024254651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0.15970830024254651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0.15970830024254651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0.16885807361071789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0.16885807361071789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0.16885807361071789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0.16885807361071789</v>
      </c>
    </row>
    <row r="36" spans="1:8" x14ac:dyDescent="0.35">
      <c r="A36" t="s">
        <v>67</v>
      </c>
      <c r="B36" t="s">
        <v>37</v>
      </c>
      <c r="C36" t="s">
        <v>38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0.1338718964364701</v>
      </c>
    </row>
    <row r="37" spans="1:8" x14ac:dyDescent="0.35">
      <c r="A37" t="s">
        <v>67</v>
      </c>
      <c r="B37" t="s">
        <v>39</v>
      </c>
      <c r="C37" t="s">
        <v>40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0.1338718964364701</v>
      </c>
    </row>
    <row r="38" spans="1:8" x14ac:dyDescent="0.35">
      <c r="A38" t="s">
        <v>67</v>
      </c>
      <c r="B38" t="s">
        <v>37</v>
      </c>
      <c r="C38" t="s">
        <v>38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0.1344566572698688</v>
      </c>
    </row>
    <row r="39" spans="1:8" x14ac:dyDescent="0.35">
      <c r="A39" t="s">
        <v>67</v>
      </c>
      <c r="B39" t="s">
        <v>41</v>
      </c>
      <c r="C39" t="s">
        <v>38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0.1344566572698688</v>
      </c>
    </row>
    <row r="40" spans="1:8" x14ac:dyDescent="0.35">
      <c r="A40" t="s">
        <v>67</v>
      </c>
      <c r="B40" t="s">
        <v>39</v>
      </c>
      <c r="C40" t="s">
        <v>40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0.1344566572698688</v>
      </c>
    </row>
    <row r="41" spans="1:8" x14ac:dyDescent="0.35">
      <c r="A41" t="s">
        <v>67</v>
      </c>
      <c r="B41" t="s">
        <v>42</v>
      </c>
      <c r="C41" t="s">
        <v>40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0.1344566572698688</v>
      </c>
    </row>
    <row r="42" spans="1:8" x14ac:dyDescent="0.35">
      <c r="A42" t="s">
        <v>67</v>
      </c>
      <c r="B42" t="s">
        <v>41</v>
      </c>
      <c r="C42" t="s">
        <v>38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0.14066013500993929</v>
      </c>
    </row>
    <row r="43" spans="1:8" x14ac:dyDescent="0.35">
      <c r="A43" t="s">
        <v>67</v>
      </c>
      <c r="B43" t="s">
        <v>43</v>
      </c>
      <c r="C43" t="s">
        <v>38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0.14066013500993929</v>
      </c>
    </row>
    <row r="44" spans="1:8" x14ac:dyDescent="0.35">
      <c r="A44" t="s">
        <v>67</v>
      </c>
      <c r="B44" t="s">
        <v>42</v>
      </c>
      <c r="C44" t="s">
        <v>40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0.14066013500993929</v>
      </c>
    </row>
    <row r="45" spans="1:8" x14ac:dyDescent="0.35">
      <c r="A45" t="s">
        <v>67</v>
      </c>
      <c r="B45" t="s">
        <v>44</v>
      </c>
      <c r="C45" t="s">
        <v>40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0.14066013500993929</v>
      </c>
    </row>
    <row r="46" spans="1:8" x14ac:dyDescent="0.35">
      <c r="A46" t="s">
        <v>67</v>
      </c>
      <c r="B46" t="s">
        <v>43</v>
      </c>
      <c r="C46" t="s">
        <v>38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0.13813216110499679</v>
      </c>
    </row>
    <row r="47" spans="1:8" x14ac:dyDescent="0.35">
      <c r="A47" t="s">
        <v>67</v>
      </c>
      <c r="B47" t="s">
        <v>45</v>
      </c>
      <c r="C47" t="s">
        <v>38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0.13813216110499679</v>
      </c>
    </row>
    <row r="48" spans="1:8" x14ac:dyDescent="0.35">
      <c r="A48" t="s">
        <v>67</v>
      </c>
      <c r="B48" t="s">
        <v>44</v>
      </c>
      <c r="C48" t="s">
        <v>40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0.13813216110499679</v>
      </c>
    </row>
    <row r="49" spans="1:8" x14ac:dyDescent="0.35">
      <c r="A49" t="s">
        <v>67</v>
      </c>
      <c r="B49" t="s">
        <v>46</v>
      </c>
      <c r="C49" t="s">
        <v>40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0.13813216110499679</v>
      </c>
    </row>
    <row r="50" spans="1:8" x14ac:dyDescent="0.35">
      <c r="A50" t="s">
        <v>67</v>
      </c>
      <c r="B50" t="s">
        <v>45</v>
      </c>
      <c r="C50" t="s">
        <v>38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0.13227337787003421</v>
      </c>
    </row>
    <row r="51" spans="1:8" x14ac:dyDescent="0.35">
      <c r="A51" t="s">
        <v>67</v>
      </c>
      <c r="B51" t="s">
        <v>47</v>
      </c>
      <c r="C51" t="s">
        <v>38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0.13227337787003421</v>
      </c>
    </row>
    <row r="52" spans="1:8" x14ac:dyDescent="0.35">
      <c r="A52" t="s">
        <v>67</v>
      </c>
      <c r="B52" t="s">
        <v>46</v>
      </c>
      <c r="C52" t="s">
        <v>40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0.13227337787003421</v>
      </c>
    </row>
    <row r="53" spans="1:8" x14ac:dyDescent="0.35">
      <c r="A53" t="s">
        <v>67</v>
      </c>
      <c r="B53" t="s">
        <v>48</v>
      </c>
      <c r="C53" t="s">
        <v>40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0.13227337787003421</v>
      </c>
    </row>
    <row r="54" spans="1:8" x14ac:dyDescent="0.35">
      <c r="A54" t="s">
        <v>67</v>
      </c>
      <c r="B54" t="s">
        <v>47</v>
      </c>
      <c r="C54" t="s">
        <v>38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0.13260173436388301</v>
      </c>
    </row>
    <row r="55" spans="1:8" x14ac:dyDescent="0.35">
      <c r="A55" t="s">
        <v>67</v>
      </c>
      <c r="B55" t="s">
        <v>49</v>
      </c>
      <c r="C55" t="s">
        <v>38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0.13260173436388301</v>
      </c>
    </row>
    <row r="56" spans="1:8" x14ac:dyDescent="0.35">
      <c r="A56" t="s">
        <v>67</v>
      </c>
      <c r="B56" t="s">
        <v>48</v>
      </c>
      <c r="C56" t="s">
        <v>40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0.13260173436388301</v>
      </c>
    </row>
    <row r="57" spans="1:8" x14ac:dyDescent="0.35">
      <c r="A57" t="s">
        <v>67</v>
      </c>
      <c r="B57" t="s">
        <v>50</v>
      </c>
      <c r="C57" t="s">
        <v>40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0.13260173436388301</v>
      </c>
    </row>
    <row r="58" spans="1:8" x14ac:dyDescent="0.35">
      <c r="A58" t="s">
        <v>67</v>
      </c>
      <c r="B58" t="s">
        <v>49</v>
      </c>
      <c r="C58" t="s">
        <v>38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0.1392873283304116</v>
      </c>
    </row>
    <row r="59" spans="1:8" x14ac:dyDescent="0.35">
      <c r="A59" t="s">
        <v>67</v>
      </c>
      <c r="B59" t="s">
        <v>51</v>
      </c>
      <c r="C59" t="s">
        <v>38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0.1392873283304116</v>
      </c>
    </row>
    <row r="60" spans="1:8" x14ac:dyDescent="0.35">
      <c r="A60" t="s">
        <v>67</v>
      </c>
      <c r="B60" t="s">
        <v>50</v>
      </c>
      <c r="C60" t="s">
        <v>40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0.1392873283304116</v>
      </c>
    </row>
    <row r="61" spans="1:8" x14ac:dyDescent="0.35">
      <c r="A61" t="s">
        <v>67</v>
      </c>
      <c r="B61" t="s">
        <v>52</v>
      </c>
      <c r="C61" t="s">
        <v>40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0.1392873283304116</v>
      </c>
    </row>
    <row r="62" spans="1:8" x14ac:dyDescent="0.35">
      <c r="A62" t="s">
        <v>67</v>
      </c>
      <c r="B62" t="s">
        <v>51</v>
      </c>
      <c r="C62" t="s">
        <v>38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0.13952240899050841</v>
      </c>
    </row>
    <row r="63" spans="1:8" x14ac:dyDescent="0.35">
      <c r="A63" t="s">
        <v>67</v>
      </c>
      <c r="B63" t="s">
        <v>53</v>
      </c>
      <c r="C63" t="s">
        <v>38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0.13952240899050841</v>
      </c>
    </row>
    <row r="64" spans="1:8" x14ac:dyDescent="0.35">
      <c r="A64" t="s">
        <v>67</v>
      </c>
      <c r="B64" t="s">
        <v>52</v>
      </c>
      <c r="C64" t="s">
        <v>40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0.13952240899050841</v>
      </c>
    </row>
    <row r="65" spans="1:8" x14ac:dyDescent="0.35">
      <c r="A65" t="s">
        <v>67</v>
      </c>
      <c r="B65" t="s">
        <v>54</v>
      </c>
      <c r="C65" t="s">
        <v>40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0.13952240899050841</v>
      </c>
    </row>
    <row r="66" spans="1:8" x14ac:dyDescent="0.35">
      <c r="A66" t="s">
        <v>67</v>
      </c>
      <c r="B66" t="s">
        <v>53</v>
      </c>
      <c r="C66" t="s">
        <v>38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0.14138633599396769</v>
      </c>
    </row>
    <row r="67" spans="1:8" x14ac:dyDescent="0.35">
      <c r="A67" t="s">
        <v>67</v>
      </c>
      <c r="B67" t="s">
        <v>55</v>
      </c>
      <c r="C67" t="s">
        <v>38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0.14138633599396769</v>
      </c>
    </row>
    <row r="68" spans="1:8" x14ac:dyDescent="0.35">
      <c r="A68" t="s">
        <v>67</v>
      </c>
      <c r="B68" t="s">
        <v>54</v>
      </c>
      <c r="C68" t="s">
        <v>40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0.14138633599396769</v>
      </c>
    </row>
    <row r="69" spans="1:8" x14ac:dyDescent="0.35">
      <c r="A69" t="s">
        <v>67</v>
      </c>
      <c r="B69" t="s">
        <v>56</v>
      </c>
      <c r="C69" t="s">
        <v>40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0.14138633599396769</v>
      </c>
    </row>
    <row r="70" spans="1:8" x14ac:dyDescent="0.35">
      <c r="A70" t="s">
        <v>68</v>
      </c>
      <c r="B70" t="s">
        <v>37</v>
      </c>
      <c r="C70" t="s">
        <v>38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8.5987208995551345E-2</v>
      </c>
    </row>
    <row r="71" spans="1:8" x14ac:dyDescent="0.35">
      <c r="A71" t="s">
        <v>68</v>
      </c>
      <c r="B71" t="s">
        <v>39</v>
      </c>
      <c r="C71" t="s">
        <v>40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8.5987208995551345E-2</v>
      </c>
    </row>
    <row r="72" spans="1:8" x14ac:dyDescent="0.35">
      <c r="A72" t="s">
        <v>68</v>
      </c>
      <c r="B72" t="s">
        <v>37</v>
      </c>
      <c r="C72" t="s">
        <v>38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7.9699344978556588E-2</v>
      </c>
    </row>
    <row r="73" spans="1:8" x14ac:dyDescent="0.35">
      <c r="A73" t="s">
        <v>68</v>
      </c>
      <c r="B73" t="s">
        <v>41</v>
      </c>
      <c r="C73" t="s">
        <v>38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7.9699344978556588E-2</v>
      </c>
    </row>
    <row r="74" spans="1:8" x14ac:dyDescent="0.35">
      <c r="A74" t="s">
        <v>68</v>
      </c>
      <c r="B74" t="s">
        <v>39</v>
      </c>
      <c r="C74" t="s">
        <v>40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7.9699344978556588E-2</v>
      </c>
    </row>
    <row r="75" spans="1:8" x14ac:dyDescent="0.35">
      <c r="A75" t="s">
        <v>68</v>
      </c>
      <c r="B75" t="s">
        <v>42</v>
      </c>
      <c r="C75" t="s">
        <v>40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7.9699344978556588E-2</v>
      </c>
    </row>
    <row r="76" spans="1:8" x14ac:dyDescent="0.35">
      <c r="A76" t="s">
        <v>68</v>
      </c>
      <c r="B76" t="s">
        <v>41</v>
      </c>
      <c r="C76" t="s">
        <v>38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7.9472535305386019E-2</v>
      </c>
    </row>
    <row r="77" spans="1:8" x14ac:dyDescent="0.35">
      <c r="A77" t="s">
        <v>68</v>
      </c>
      <c r="B77" t="s">
        <v>43</v>
      </c>
      <c r="C77" t="s">
        <v>38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7.9472535305386019E-2</v>
      </c>
    </row>
    <row r="78" spans="1:8" x14ac:dyDescent="0.35">
      <c r="A78" t="s">
        <v>68</v>
      </c>
      <c r="B78" t="s">
        <v>42</v>
      </c>
      <c r="C78" t="s">
        <v>40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7.9472535305386019E-2</v>
      </c>
    </row>
    <row r="79" spans="1:8" x14ac:dyDescent="0.35">
      <c r="A79" t="s">
        <v>68</v>
      </c>
      <c r="B79" t="s">
        <v>44</v>
      </c>
      <c r="C79" t="s">
        <v>40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7.9472535305386019E-2</v>
      </c>
    </row>
    <row r="80" spans="1:8" x14ac:dyDescent="0.35">
      <c r="A80" t="s">
        <v>68</v>
      </c>
      <c r="B80" t="s">
        <v>43</v>
      </c>
      <c r="C80" t="s">
        <v>38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8.0341460522861424E-2</v>
      </c>
    </row>
    <row r="81" spans="1:8" x14ac:dyDescent="0.35">
      <c r="A81" t="s">
        <v>68</v>
      </c>
      <c r="B81" t="s">
        <v>45</v>
      </c>
      <c r="C81" t="s">
        <v>38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8.0341460522861424E-2</v>
      </c>
    </row>
    <row r="82" spans="1:8" x14ac:dyDescent="0.35">
      <c r="A82" t="s">
        <v>68</v>
      </c>
      <c r="B82" t="s">
        <v>44</v>
      </c>
      <c r="C82" t="s">
        <v>40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8.0341460522861424E-2</v>
      </c>
    </row>
    <row r="83" spans="1:8" x14ac:dyDescent="0.35">
      <c r="A83" t="s">
        <v>68</v>
      </c>
      <c r="B83" t="s">
        <v>46</v>
      </c>
      <c r="C83" t="s">
        <v>40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8.0341460522861424E-2</v>
      </c>
    </row>
    <row r="84" spans="1:8" x14ac:dyDescent="0.35">
      <c r="A84" t="s">
        <v>68</v>
      </c>
      <c r="B84" t="s">
        <v>45</v>
      </c>
      <c r="C84" t="s">
        <v>38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8.4820190971738083E-2</v>
      </c>
    </row>
    <row r="85" spans="1:8" x14ac:dyDescent="0.35">
      <c r="A85" t="s">
        <v>68</v>
      </c>
      <c r="B85" t="s">
        <v>47</v>
      </c>
      <c r="C85" t="s">
        <v>38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8.4820190971738083E-2</v>
      </c>
    </row>
    <row r="86" spans="1:8" x14ac:dyDescent="0.35">
      <c r="A86" t="s">
        <v>68</v>
      </c>
      <c r="B86" t="s">
        <v>46</v>
      </c>
      <c r="C86" t="s">
        <v>40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8.4820190971738083E-2</v>
      </c>
    </row>
    <row r="87" spans="1:8" x14ac:dyDescent="0.35">
      <c r="A87" t="s">
        <v>68</v>
      </c>
      <c r="B87" t="s">
        <v>48</v>
      </c>
      <c r="C87" t="s">
        <v>40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8.4820190971738083E-2</v>
      </c>
    </row>
    <row r="88" spans="1:8" x14ac:dyDescent="0.35">
      <c r="A88" t="s">
        <v>68</v>
      </c>
      <c r="B88" t="s">
        <v>47</v>
      </c>
      <c r="C88" t="s">
        <v>38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8.3646788238765979E-2</v>
      </c>
    </row>
    <row r="89" spans="1:8" x14ac:dyDescent="0.35">
      <c r="A89" t="s">
        <v>68</v>
      </c>
      <c r="B89" t="s">
        <v>49</v>
      </c>
      <c r="C89" t="s">
        <v>38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8.3646788238765979E-2</v>
      </c>
    </row>
    <row r="90" spans="1:8" x14ac:dyDescent="0.35">
      <c r="A90" t="s">
        <v>68</v>
      </c>
      <c r="B90" t="s">
        <v>48</v>
      </c>
      <c r="C90" t="s">
        <v>40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8.3646788238765979E-2</v>
      </c>
    </row>
    <row r="91" spans="1:8" x14ac:dyDescent="0.35">
      <c r="A91" t="s">
        <v>68</v>
      </c>
      <c r="B91" t="s">
        <v>50</v>
      </c>
      <c r="C91" t="s">
        <v>40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8.3646788238765979E-2</v>
      </c>
    </row>
    <row r="92" spans="1:8" x14ac:dyDescent="0.35">
      <c r="A92" t="s">
        <v>68</v>
      </c>
      <c r="B92" t="s">
        <v>49</v>
      </c>
      <c r="C92" t="s">
        <v>38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8.1342778719866005E-2</v>
      </c>
    </row>
    <row r="93" spans="1:8" x14ac:dyDescent="0.35">
      <c r="A93" t="s">
        <v>68</v>
      </c>
      <c r="B93" t="s">
        <v>51</v>
      </c>
      <c r="C93" t="s">
        <v>38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8.1342778719866005E-2</v>
      </c>
    </row>
    <row r="94" spans="1:8" x14ac:dyDescent="0.35">
      <c r="A94" t="s">
        <v>68</v>
      </c>
      <c r="B94" t="s">
        <v>50</v>
      </c>
      <c r="C94" t="s">
        <v>40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8.1342778719866005E-2</v>
      </c>
    </row>
    <row r="95" spans="1:8" x14ac:dyDescent="0.35">
      <c r="A95" t="s">
        <v>68</v>
      </c>
      <c r="B95" t="s">
        <v>52</v>
      </c>
      <c r="C95" t="s">
        <v>40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8.1342778719866005E-2</v>
      </c>
    </row>
    <row r="96" spans="1:8" x14ac:dyDescent="0.35">
      <c r="A96" t="s">
        <v>68</v>
      </c>
      <c r="B96" t="s">
        <v>51</v>
      </c>
      <c r="C96" t="s">
        <v>38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8.1720008952551479E-2</v>
      </c>
    </row>
    <row r="97" spans="1:8" x14ac:dyDescent="0.35">
      <c r="A97" t="s">
        <v>68</v>
      </c>
      <c r="B97" t="s">
        <v>53</v>
      </c>
      <c r="C97" t="s">
        <v>38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8.1720008952551479E-2</v>
      </c>
    </row>
    <row r="98" spans="1:8" x14ac:dyDescent="0.35">
      <c r="A98" t="s">
        <v>68</v>
      </c>
      <c r="B98" t="s">
        <v>52</v>
      </c>
      <c r="C98" t="s">
        <v>40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8.1720008952551479E-2</v>
      </c>
    </row>
    <row r="99" spans="1:8" x14ac:dyDescent="0.35">
      <c r="A99" t="s">
        <v>68</v>
      </c>
      <c r="B99" t="s">
        <v>54</v>
      </c>
      <c r="C99" t="s">
        <v>40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8.1720008952551479E-2</v>
      </c>
    </row>
    <row r="100" spans="1:8" x14ac:dyDescent="0.35">
      <c r="A100" t="s">
        <v>68</v>
      </c>
      <c r="B100" t="s">
        <v>53</v>
      </c>
      <c r="C100" t="s">
        <v>38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8.2855752884193876E-2</v>
      </c>
    </row>
    <row r="101" spans="1:8" x14ac:dyDescent="0.35">
      <c r="A101" t="s">
        <v>68</v>
      </c>
      <c r="B101" t="s">
        <v>55</v>
      </c>
      <c r="C101" t="s">
        <v>38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8.2855752884193876E-2</v>
      </c>
    </row>
    <row r="102" spans="1:8" x14ac:dyDescent="0.35">
      <c r="A102" t="s">
        <v>68</v>
      </c>
      <c r="B102" t="s">
        <v>54</v>
      </c>
      <c r="C102" t="s">
        <v>40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8.2855752884193876E-2</v>
      </c>
    </row>
    <row r="103" spans="1:8" x14ac:dyDescent="0.35">
      <c r="A103" t="s">
        <v>68</v>
      </c>
      <c r="B103" t="s">
        <v>56</v>
      </c>
      <c r="C103" t="s">
        <v>40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8.2855752884193876E-2</v>
      </c>
    </row>
    <row r="104" spans="1:8" x14ac:dyDescent="0.35">
      <c r="A104" t="s">
        <v>69</v>
      </c>
      <c r="B104" t="s">
        <v>37</v>
      </c>
      <c r="C104" t="s">
        <v>38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0.1212304176787779</v>
      </c>
    </row>
    <row r="105" spans="1:8" x14ac:dyDescent="0.35">
      <c r="A105" t="s">
        <v>69</v>
      </c>
      <c r="B105" t="s">
        <v>39</v>
      </c>
      <c r="C105" t="s">
        <v>40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0.1212304176787779</v>
      </c>
    </row>
    <row r="106" spans="1:8" x14ac:dyDescent="0.35">
      <c r="A106" t="s">
        <v>69</v>
      </c>
      <c r="B106" t="s">
        <v>37</v>
      </c>
      <c r="C106" t="s">
        <v>38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0.13847860293548639</v>
      </c>
    </row>
    <row r="107" spans="1:8" x14ac:dyDescent="0.35">
      <c r="A107" t="s">
        <v>69</v>
      </c>
      <c r="B107" t="s">
        <v>41</v>
      </c>
      <c r="C107" t="s">
        <v>38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0.13847860293548639</v>
      </c>
    </row>
    <row r="108" spans="1:8" x14ac:dyDescent="0.35">
      <c r="A108" t="s">
        <v>69</v>
      </c>
      <c r="B108" t="s">
        <v>39</v>
      </c>
      <c r="C108" t="s">
        <v>40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0.13847860293548639</v>
      </c>
    </row>
    <row r="109" spans="1:8" x14ac:dyDescent="0.35">
      <c r="A109" t="s">
        <v>69</v>
      </c>
      <c r="B109" t="s">
        <v>42</v>
      </c>
      <c r="C109" t="s">
        <v>40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0.13847860293548639</v>
      </c>
    </row>
    <row r="110" spans="1:8" x14ac:dyDescent="0.35">
      <c r="A110" t="s">
        <v>69</v>
      </c>
      <c r="B110" t="s">
        <v>41</v>
      </c>
      <c r="C110" t="s">
        <v>38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0.13966913760817301</v>
      </c>
    </row>
    <row r="111" spans="1:8" x14ac:dyDescent="0.35">
      <c r="A111" t="s">
        <v>69</v>
      </c>
      <c r="B111" t="s">
        <v>43</v>
      </c>
      <c r="C111" t="s">
        <v>38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0.13966913760817301</v>
      </c>
    </row>
    <row r="112" spans="1:8" x14ac:dyDescent="0.35">
      <c r="A112" t="s">
        <v>69</v>
      </c>
      <c r="B112" t="s">
        <v>42</v>
      </c>
      <c r="C112" t="s">
        <v>40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0.13966913760817301</v>
      </c>
    </row>
    <row r="113" spans="1:8" x14ac:dyDescent="0.35">
      <c r="A113" t="s">
        <v>69</v>
      </c>
      <c r="B113" t="s">
        <v>44</v>
      </c>
      <c r="C113" t="s">
        <v>40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0.13966913760817301</v>
      </c>
    </row>
    <row r="114" spans="1:8" x14ac:dyDescent="0.35">
      <c r="A114" t="s">
        <v>69</v>
      </c>
      <c r="B114" t="s">
        <v>43</v>
      </c>
      <c r="C114" t="s">
        <v>38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0.1453806813935363</v>
      </c>
    </row>
    <row r="115" spans="1:8" x14ac:dyDescent="0.35">
      <c r="A115" t="s">
        <v>69</v>
      </c>
      <c r="B115" t="s">
        <v>45</v>
      </c>
      <c r="C115" t="s">
        <v>38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0.1453806813935363</v>
      </c>
    </row>
    <row r="116" spans="1:8" x14ac:dyDescent="0.35">
      <c r="A116" t="s">
        <v>69</v>
      </c>
      <c r="B116" t="s">
        <v>44</v>
      </c>
      <c r="C116" t="s">
        <v>40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0.1453806813935363</v>
      </c>
    </row>
    <row r="117" spans="1:8" x14ac:dyDescent="0.35">
      <c r="A117" t="s">
        <v>69</v>
      </c>
      <c r="B117" t="s">
        <v>46</v>
      </c>
      <c r="C117" t="s">
        <v>40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0.1453806813935363</v>
      </c>
    </row>
    <row r="118" spans="1:8" x14ac:dyDescent="0.35">
      <c r="A118" t="s">
        <v>69</v>
      </c>
      <c r="B118" t="s">
        <v>45</v>
      </c>
      <c r="C118" t="s">
        <v>38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0.15730156336399739</v>
      </c>
    </row>
    <row r="119" spans="1:8" x14ac:dyDescent="0.35">
      <c r="A119" t="s">
        <v>69</v>
      </c>
      <c r="B119" t="s">
        <v>47</v>
      </c>
      <c r="C119" t="s">
        <v>38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0.15730156336399739</v>
      </c>
    </row>
    <row r="120" spans="1:8" x14ac:dyDescent="0.35">
      <c r="A120" t="s">
        <v>69</v>
      </c>
      <c r="B120" t="s">
        <v>46</v>
      </c>
      <c r="C120" t="s">
        <v>40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0.15730156336399739</v>
      </c>
    </row>
    <row r="121" spans="1:8" x14ac:dyDescent="0.35">
      <c r="A121" t="s">
        <v>69</v>
      </c>
      <c r="B121" t="s">
        <v>48</v>
      </c>
      <c r="C121" t="s">
        <v>40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0.15730156336399739</v>
      </c>
    </row>
    <row r="122" spans="1:8" x14ac:dyDescent="0.35">
      <c r="A122" t="s">
        <v>69</v>
      </c>
      <c r="B122" t="s">
        <v>47</v>
      </c>
      <c r="C122" t="s">
        <v>38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0.15809620778610481</v>
      </c>
    </row>
    <row r="123" spans="1:8" x14ac:dyDescent="0.35">
      <c r="A123" t="s">
        <v>69</v>
      </c>
      <c r="B123" t="s">
        <v>49</v>
      </c>
      <c r="C123" t="s">
        <v>38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0.15809620778610481</v>
      </c>
    </row>
    <row r="124" spans="1:8" x14ac:dyDescent="0.35">
      <c r="A124" t="s">
        <v>69</v>
      </c>
      <c r="B124" t="s">
        <v>48</v>
      </c>
      <c r="C124" t="s">
        <v>40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0.15809620778610481</v>
      </c>
    </row>
    <row r="125" spans="1:8" x14ac:dyDescent="0.35">
      <c r="A125" t="s">
        <v>69</v>
      </c>
      <c r="B125" t="s">
        <v>50</v>
      </c>
      <c r="C125" t="s">
        <v>40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0.15809620778610481</v>
      </c>
    </row>
    <row r="126" spans="1:8" x14ac:dyDescent="0.35">
      <c r="A126" t="s">
        <v>69</v>
      </c>
      <c r="B126" t="s">
        <v>49</v>
      </c>
      <c r="C126" t="s">
        <v>38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0.1502122446396362</v>
      </c>
    </row>
    <row r="127" spans="1:8" x14ac:dyDescent="0.35">
      <c r="A127" t="s">
        <v>69</v>
      </c>
      <c r="B127" t="s">
        <v>51</v>
      </c>
      <c r="C127" t="s">
        <v>38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0.1502122446396362</v>
      </c>
    </row>
    <row r="128" spans="1:8" x14ac:dyDescent="0.35">
      <c r="A128" t="s">
        <v>69</v>
      </c>
      <c r="B128" t="s">
        <v>50</v>
      </c>
      <c r="C128" t="s">
        <v>40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0.1502122446396362</v>
      </c>
    </row>
    <row r="129" spans="1:8" x14ac:dyDescent="0.35">
      <c r="A129" t="s">
        <v>69</v>
      </c>
      <c r="B129" t="s">
        <v>52</v>
      </c>
      <c r="C129" t="s">
        <v>40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0.1502122446396362</v>
      </c>
    </row>
    <row r="130" spans="1:8" x14ac:dyDescent="0.35">
      <c r="A130" t="s">
        <v>69</v>
      </c>
      <c r="B130" t="s">
        <v>51</v>
      </c>
      <c r="C130" t="s">
        <v>38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0.1479568305506872</v>
      </c>
    </row>
    <row r="131" spans="1:8" x14ac:dyDescent="0.35">
      <c r="A131" t="s">
        <v>69</v>
      </c>
      <c r="B131" t="s">
        <v>53</v>
      </c>
      <c r="C131" t="s">
        <v>38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0.1479568305506872</v>
      </c>
    </row>
    <row r="132" spans="1:8" x14ac:dyDescent="0.35">
      <c r="A132" t="s">
        <v>69</v>
      </c>
      <c r="B132" t="s">
        <v>52</v>
      </c>
      <c r="C132" t="s">
        <v>40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0.1479568305506872</v>
      </c>
    </row>
    <row r="133" spans="1:8" x14ac:dyDescent="0.35">
      <c r="A133" t="s">
        <v>69</v>
      </c>
      <c r="B133" t="s">
        <v>54</v>
      </c>
      <c r="C133" t="s">
        <v>40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0.1479568305506872</v>
      </c>
    </row>
    <row r="134" spans="1:8" x14ac:dyDescent="0.35">
      <c r="A134" t="s">
        <v>69</v>
      </c>
      <c r="B134" t="s">
        <v>53</v>
      </c>
      <c r="C134" t="s">
        <v>38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0.14029367629612749</v>
      </c>
    </row>
    <row r="135" spans="1:8" x14ac:dyDescent="0.35">
      <c r="A135" t="s">
        <v>69</v>
      </c>
      <c r="B135" t="s">
        <v>55</v>
      </c>
      <c r="C135" t="s">
        <v>38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0.14029367629612749</v>
      </c>
    </row>
    <row r="136" spans="1:8" x14ac:dyDescent="0.35">
      <c r="A136" t="s">
        <v>69</v>
      </c>
      <c r="B136" t="s">
        <v>54</v>
      </c>
      <c r="C136" t="s">
        <v>40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0.14029367629612749</v>
      </c>
    </row>
    <row r="137" spans="1:8" x14ac:dyDescent="0.35">
      <c r="A137" t="s">
        <v>69</v>
      </c>
      <c r="B137" t="s">
        <v>56</v>
      </c>
      <c r="C137" t="s">
        <v>40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0.14029367629612749</v>
      </c>
    </row>
    <row r="138" spans="1:8" x14ac:dyDescent="0.35">
      <c r="A138" t="s">
        <v>70</v>
      </c>
      <c r="B138" t="s">
        <v>37</v>
      </c>
      <c r="C138" t="s">
        <v>38</v>
      </c>
      <c r="D138">
        <v>2011</v>
      </c>
      <c r="E138">
        <v>3.0836871961199548</v>
      </c>
      <c r="F138">
        <v>2.3627089602501679</v>
      </c>
      <c r="G138">
        <f t="shared" si="2"/>
        <v>-0.72097823586978693</v>
      </c>
      <c r="H138">
        <v>9.7791519434628979E-2</v>
      </c>
    </row>
    <row r="139" spans="1:8" x14ac:dyDescent="0.35">
      <c r="A139" t="s">
        <v>70</v>
      </c>
      <c r="B139" t="s">
        <v>39</v>
      </c>
      <c r="C139" t="s">
        <v>40</v>
      </c>
      <c r="D139">
        <v>2011</v>
      </c>
      <c r="E139">
        <v>3.7117323527364081</v>
      </c>
      <c r="F139">
        <v>2.3627089602501679</v>
      </c>
      <c r="G139">
        <f t="shared" si="2"/>
        <v>-1.3490233924862403</v>
      </c>
      <c r="H139">
        <v>9.7791519434628979E-2</v>
      </c>
    </row>
    <row r="140" spans="1:8" x14ac:dyDescent="0.35">
      <c r="A140" t="s">
        <v>70</v>
      </c>
      <c r="B140" t="s">
        <v>37</v>
      </c>
      <c r="C140" t="s">
        <v>38</v>
      </c>
      <c r="D140">
        <v>2012</v>
      </c>
      <c r="E140">
        <v>1.3616175851251631</v>
      </c>
      <c r="F140">
        <v>-1.535091308900344</v>
      </c>
      <c r="G140">
        <f t="shared" si="2"/>
        <v>-2.8967088940255072</v>
      </c>
      <c r="H140">
        <v>9.6600881887067086E-2</v>
      </c>
    </row>
    <row r="141" spans="1:8" x14ac:dyDescent="0.35">
      <c r="A141" t="s">
        <v>70</v>
      </c>
      <c r="B141" t="s">
        <v>41</v>
      </c>
      <c r="C141" t="s">
        <v>38</v>
      </c>
      <c r="D141">
        <v>2012</v>
      </c>
      <c r="E141">
        <v>8.5468057722093427E-2</v>
      </c>
      <c r="F141">
        <v>-1.535091308900344</v>
      </c>
      <c r="G141">
        <f t="shared" si="2"/>
        <v>-1.6205593666224374</v>
      </c>
      <c r="H141">
        <v>9.6600881887067086E-2</v>
      </c>
    </row>
    <row r="142" spans="1:8" x14ac:dyDescent="0.35">
      <c r="A142" t="s">
        <v>70</v>
      </c>
      <c r="B142" t="s">
        <v>39</v>
      </c>
      <c r="C142" t="s">
        <v>40</v>
      </c>
      <c r="D142">
        <v>2012</v>
      </c>
      <c r="E142">
        <v>2.5703100446408111</v>
      </c>
      <c r="F142">
        <v>-1.535091308900344</v>
      </c>
      <c r="G142">
        <f t="shared" si="2"/>
        <v>-4.1054013535411551</v>
      </c>
      <c r="H142">
        <v>9.6600881887067086E-2</v>
      </c>
    </row>
    <row r="143" spans="1:8" x14ac:dyDescent="0.35">
      <c r="A143" t="s">
        <v>70</v>
      </c>
      <c r="B143" t="s">
        <v>42</v>
      </c>
      <c r="C143" t="s">
        <v>40</v>
      </c>
      <c r="D143">
        <v>2012</v>
      </c>
      <c r="E143">
        <v>0.75750436999100224</v>
      </c>
      <c r="F143">
        <v>-1.535091308900344</v>
      </c>
      <c r="G143">
        <f t="shared" si="2"/>
        <v>-2.2925956788913462</v>
      </c>
      <c r="H143">
        <v>9.6600881887067086E-2</v>
      </c>
    </row>
    <row r="144" spans="1:8" x14ac:dyDescent="0.35">
      <c r="A144" t="s">
        <v>70</v>
      </c>
      <c r="B144" t="s">
        <v>41</v>
      </c>
      <c r="C144" t="s">
        <v>38</v>
      </c>
      <c r="D144">
        <v>2013</v>
      </c>
      <c r="E144">
        <v>0.81963861469160904</v>
      </c>
      <c r="F144">
        <v>-0.98304238782565612</v>
      </c>
      <c r="G144">
        <f t="shared" si="2"/>
        <v>-1.8026810025172653</v>
      </c>
      <c r="H144">
        <v>0.10214769826599771</v>
      </c>
    </row>
    <row r="145" spans="1:8" x14ac:dyDescent="0.35">
      <c r="A145" t="s">
        <v>70</v>
      </c>
      <c r="B145" t="s">
        <v>43</v>
      </c>
      <c r="C145" t="s">
        <v>38</v>
      </c>
      <c r="D145">
        <v>2013</v>
      </c>
      <c r="E145">
        <v>-0.64479636656290529</v>
      </c>
      <c r="F145">
        <v>-0.98304238782565612</v>
      </c>
      <c r="G145">
        <f t="shared" si="2"/>
        <v>-0.33824602126275083</v>
      </c>
      <c r="H145">
        <v>0.10214769826599771</v>
      </c>
    </row>
    <row r="146" spans="1:8" x14ac:dyDescent="0.35">
      <c r="A146" t="s">
        <v>70</v>
      </c>
      <c r="B146" t="s">
        <v>42</v>
      </c>
      <c r="C146" t="s">
        <v>40</v>
      </c>
      <c r="D146">
        <v>2013</v>
      </c>
      <c r="E146">
        <v>1.5995384631571461</v>
      </c>
      <c r="F146">
        <v>-0.98304238782565612</v>
      </c>
      <c r="G146">
        <f t="shared" si="2"/>
        <v>-2.5825808509828021</v>
      </c>
      <c r="H146">
        <v>0.10214769826599771</v>
      </c>
    </row>
    <row r="147" spans="1:8" x14ac:dyDescent="0.35">
      <c r="A147" t="s">
        <v>70</v>
      </c>
      <c r="B147" t="s">
        <v>44</v>
      </c>
      <c r="C147" t="s">
        <v>40</v>
      </c>
      <c r="D147">
        <v>2013</v>
      </c>
      <c r="E147">
        <v>0.28709236983106567</v>
      </c>
      <c r="F147">
        <v>-0.98304238782565612</v>
      </c>
      <c r="G147">
        <f t="shared" si="2"/>
        <v>-1.2701347576567219</v>
      </c>
      <c r="H147">
        <v>0.10214769826599771</v>
      </c>
    </row>
    <row r="148" spans="1:8" x14ac:dyDescent="0.35">
      <c r="A148" t="s">
        <v>70</v>
      </c>
      <c r="B148" t="s">
        <v>43</v>
      </c>
      <c r="C148" t="s">
        <v>38</v>
      </c>
      <c r="D148">
        <v>2014</v>
      </c>
      <c r="E148">
        <v>0.58013506796126268</v>
      </c>
      <c r="F148">
        <v>-0.47970961562021558</v>
      </c>
      <c r="G148">
        <f t="shared" si="2"/>
        <v>-1.0598446835814783</v>
      </c>
      <c r="H148">
        <v>0.11499832233530929</v>
      </c>
    </row>
    <row r="149" spans="1:8" x14ac:dyDescent="0.35">
      <c r="A149" t="s">
        <v>70</v>
      </c>
      <c r="B149" t="s">
        <v>45</v>
      </c>
      <c r="C149" t="s">
        <v>38</v>
      </c>
      <c r="D149">
        <v>2014</v>
      </c>
      <c r="E149">
        <v>-0.44253897907734491</v>
      </c>
      <c r="F149">
        <v>-0.47970961562021558</v>
      </c>
      <c r="G149">
        <f t="shared" si="2"/>
        <v>-3.7170636542870672E-2</v>
      </c>
      <c r="H149">
        <v>0.11499832233530929</v>
      </c>
    </row>
    <row r="150" spans="1:8" x14ac:dyDescent="0.35">
      <c r="A150" t="s">
        <v>70</v>
      </c>
      <c r="B150" t="s">
        <v>44</v>
      </c>
      <c r="C150" t="s">
        <v>40</v>
      </c>
      <c r="D150">
        <v>2014</v>
      </c>
      <c r="E150">
        <v>1.00425732590641</v>
      </c>
      <c r="F150">
        <v>-0.47970961562021558</v>
      </c>
      <c r="G150">
        <f t="shared" si="2"/>
        <v>-1.4839669415266257</v>
      </c>
      <c r="H150">
        <v>0.11499832233530929</v>
      </c>
    </row>
    <row r="151" spans="1:8" x14ac:dyDescent="0.35">
      <c r="A151" t="s">
        <v>70</v>
      </c>
      <c r="B151" t="s">
        <v>46</v>
      </c>
      <c r="C151" t="s">
        <v>40</v>
      </c>
      <c r="D151">
        <v>2014</v>
      </c>
      <c r="E151">
        <v>0.1752479290949793</v>
      </c>
      <c r="F151">
        <v>-0.47970961562021558</v>
      </c>
      <c r="G151">
        <f t="shared" si="2"/>
        <v>-0.65495754471519485</v>
      </c>
      <c r="H151">
        <v>0.11499832233530929</v>
      </c>
    </row>
    <row r="152" spans="1:8" x14ac:dyDescent="0.35">
      <c r="A152" t="s">
        <v>70</v>
      </c>
      <c r="B152" t="s">
        <v>45</v>
      </c>
      <c r="C152" t="s">
        <v>38</v>
      </c>
      <c r="D152">
        <v>2015</v>
      </c>
      <c r="E152">
        <v>0.6115453306968277</v>
      </c>
      <c r="F152">
        <v>0.46533578746174248</v>
      </c>
      <c r="G152">
        <f t="shared" si="2"/>
        <v>-0.14620954323508523</v>
      </c>
      <c r="H152">
        <v>0.1143193478888568</v>
      </c>
    </row>
    <row r="153" spans="1:8" x14ac:dyDescent="0.35">
      <c r="A153" t="s">
        <v>70</v>
      </c>
      <c r="B153" t="s">
        <v>47</v>
      </c>
      <c r="C153" t="s">
        <v>38</v>
      </c>
      <c r="D153">
        <v>2015</v>
      </c>
      <c r="E153">
        <v>0.33999838965084178</v>
      </c>
      <c r="F153">
        <v>0.46533578746174248</v>
      </c>
      <c r="G153">
        <f t="shared" si="2"/>
        <v>0.1253373978109007</v>
      </c>
      <c r="H153">
        <v>0.1143193478888568</v>
      </c>
    </row>
    <row r="154" spans="1:8" x14ac:dyDescent="0.35">
      <c r="A154" t="s">
        <v>70</v>
      </c>
      <c r="B154" t="s">
        <v>46</v>
      </c>
      <c r="C154" t="s">
        <v>40</v>
      </c>
      <c r="D154">
        <v>2015</v>
      </c>
      <c r="E154">
        <v>1.03813878882193</v>
      </c>
      <c r="F154">
        <v>0.46533578746174248</v>
      </c>
      <c r="G154">
        <f t="shared" si="2"/>
        <v>-0.57280300136018747</v>
      </c>
      <c r="H154">
        <v>0.1143193478888568</v>
      </c>
    </row>
    <row r="155" spans="1:8" x14ac:dyDescent="0.35">
      <c r="A155" t="s">
        <v>70</v>
      </c>
      <c r="B155" t="s">
        <v>48</v>
      </c>
      <c r="C155" t="s">
        <v>40</v>
      </c>
      <c r="D155">
        <v>2015</v>
      </c>
      <c r="E155">
        <v>0.34221817011690359</v>
      </c>
      <c r="F155">
        <v>0.46533578746174248</v>
      </c>
      <c r="G155">
        <f t="shared" si="2"/>
        <v>0.12311761734483889</v>
      </c>
      <c r="H155">
        <v>0.1143193478888568</v>
      </c>
    </row>
    <row r="156" spans="1:8" x14ac:dyDescent="0.35">
      <c r="A156" t="s">
        <v>70</v>
      </c>
      <c r="B156" t="s">
        <v>47</v>
      </c>
      <c r="C156" t="s">
        <v>38</v>
      </c>
      <c r="D156">
        <v>2016</v>
      </c>
      <c r="E156">
        <v>0.66078776686688823</v>
      </c>
      <c r="F156">
        <v>2.5394630680659041</v>
      </c>
      <c r="G156">
        <f t="shared" si="2"/>
        <v>1.8786753011990158</v>
      </c>
      <c r="H156">
        <v>0.1042068854568855</v>
      </c>
    </row>
    <row r="157" spans="1:8" x14ac:dyDescent="0.35">
      <c r="A157" t="s">
        <v>70</v>
      </c>
      <c r="B157" t="s">
        <v>49</v>
      </c>
      <c r="C157" t="s">
        <v>38</v>
      </c>
      <c r="D157">
        <v>2016</v>
      </c>
      <c r="E157">
        <v>0.8211412144474739</v>
      </c>
      <c r="F157">
        <v>2.5394630680659041</v>
      </c>
      <c r="G157">
        <f t="shared" si="2"/>
        <v>1.7183218536184302</v>
      </c>
      <c r="H157">
        <v>0.1042068854568855</v>
      </c>
    </row>
    <row r="158" spans="1:8" x14ac:dyDescent="0.35">
      <c r="A158" t="s">
        <v>70</v>
      </c>
      <c r="B158" t="s">
        <v>48</v>
      </c>
      <c r="C158" t="s">
        <v>40</v>
      </c>
      <c r="D158">
        <v>2016</v>
      </c>
      <c r="E158">
        <v>1.029139259030432</v>
      </c>
      <c r="F158">
        <v>2.5394630680659041</v>
      </c>
      <c r="G158">
        <f t="shared" si="2"/>
        <v>1.510323809035472</v>
      </c>
      <c r="H158">
        <v>0.1042068854568855</v>
      </c>
    </row>
    <row r="159" spans="1:8" x14ac:dyDescent="0.35">
      <c r="A159" t="s">
        <v>70</v>
      </c>
      <c r="B159" t="s">
        <v>50</v>
      </c>
      <c r="C159" t="s">
        <v>40</v>
      </c>
      <c r="D159">
        <v>2016</v>
      </c>
      <c r="E159">
        <v>0.68041183214515577</v>
      </c>
      <c r="F159">
        <v>2.5394630680659041</v>
      </c>
      <c r="G159">
        <f t="shared" si="2"/>
        <v>1.8590512359207483</v>
      </c>
      <c r="H159">
        <v>0.1042068854568855</v>
      </c>
    </row>
    <row r="160" spans="1:8" x14ac:dyDescent="0.35">
      <c r="A160" t="s">
        <v>70</v>
      </c>
      <c r="B160" t="s">
        <v>49</v>
      </c>
      <c r="C160" t="s">
        <v>38</v>
      </c>
      <c r="D160">
        <v>2017</v>
      </c>
      <c r="E160">
        <v>0.7788253796826794</v>
      </c>
      <c r="F160">
        <v>3.2509193804219478</v>
      </c>
      <c r="G160">
        <f t="shared" si="2"/>
        <v>2.4720940007392684</v>
      </c>
      <c r="H160">
        <v>0.1061975164847551</v>
      </c>
    </row>
    <row r="161" spans="1:8" x14ac:dyDescent="0.35">
      <c r="A161" t="s">
        <v>70</v>
      </c>
      <c r="B161" t="s">
        <v>51</v>
      </c>
      <c r="C161" t="s">
        <v>38</v>
      </c>
      <c r="D161">
        <v>2017</v>
      </c>
      <c r="E161">
        <v>3.2999705467780189</v>
      </c>
      <c r="F161">
        <v>3.2509193804219478</v>
      </c>
      <c r="G161">
        <f t="shared" si="2"/>
        <v>-4.9051166356071096E-2</v>
      </c>
      <c r="H161">
        <v>0.1061975164847551</v>
      </c>
    </row>
    <row r="162" spans="1:8" x14ac:dyDescent="0.35">
      <c r="A162" t="s">
        <v>70</v>
      </c>
      <c r="B162" t="s">
        <v>50</v>
      </c>
      <c r="C162" t="s">
        <v>40</v>
      </c>
      <c r="D162">
        <v>2017</v>
      </c>
      <c r="E162">
        <v>0.72652337554917068</v>
      </c>
      <c r="F162">
        <v>3.2509193804219478</v>
      </c>
      <c r="G162">
        <f t="shared" si="2"/>
        <v>2.5243960048727772</v>
      </c>
      <c r="H162">
        <v>0.1061975164847551</v>
      </c>
    </row>
    <row r="163" spans="1:8" x14ac:dyDescent="0.35">
      <c r="A163" t="s">
        <v>70</v>
      </c>
      <c r="B163" t="s">
        <v>52</v>
      </c>
      <c r="C163" t="s">
        <v>40</v>
      </c>
      <c r="D163">
        <v>2017</v>
      </c>
      <c r="E163">
        <v>1.2981877046543739</v>
      </c>
      <c r="F163">
        <v>3.2509193804219478</v>
      </c>
      <c r="G163">
        <f t="shared" si="2"/>
        <v>1.9527316757675739</v>
      </c>
      <c r="H163">
        <v>0.1061975164847551</v>
      </c>
    </row>
    <row r="164" spans="1:8" x14ac:dyDescent="0.35">
      <c r="A164" t="s">
        <v>70</v>
      </c>
      <c r="B164" t="s">
        <v>51</v>
      </c>
      <c r="C164" t="s">
        <v>38</v>
      </c>
      <c r="D164">
        <v>2018</v>
      </c>
      <c r="E164">
        <v>2.6543445907794232</v>
      </c>
      <c r="F164">
        <v>1.1858569030435471</v>
      </c>
      <c r="G164">
        <f t="shared" si="2"/>
        <v>-1.4684876877358761</v>
      </c>
      <c r="H164">
        <v>0.1099188189293918</v>
      </c>
    </row>
    <row r="165" spans="1:8" x14ac:dyDescent="0.35">
      <c r="A165" t="s">
        <v>70</v>
      </c>
      <c r="B165" t="s">
        <v>53</v>
      </c>
      <c r="C165" t="s">
        <v>38</v>
      </c>
      <c r="D165">
        <v>2018</v>
      </c>
      <c r="E165">
        <v>2.8893530093298199</v>
      </c>
      <c r="F165">
        <v>1.1858569030435471</v>
      </c>
      <c r="G165">
        <f t="shared" si="2"/>
        <v>-1.7034961062862728</v>
      </c>
      <c r="H165">
        <v>0.1099188189293918</v>
      </c>
    </row>
    <row r="166" spans="1:8" x14ac:dyDescent="0.35">
      <c r="A166" t="s">
        <v>70</v>
      </c>
      <c r="B166" t="s">
        <v>52</v>
      </c>
      <c r="C166" t="s">
        <v>40</v>
      </c>
      <c r="D166">
        <v>2018</v>
      </c>
      <c r="E166">
        <v>1.745345139008192</v>
      </c>
      <c r="F166">
        <v>1.1858569030435471</v>
      </c>
      <c r="G166">
        <f t="shared" si="2"/>
        <v>-0.55948823596464492</v>
      </c>
      <c r="H166">
        <v>0.1099188189293918</v>
      </c>
    </row>
    <row r="167" spans="1:8" x14ac:dyDescent="0.35">
      <c r="A167" t="s">
        <v>70</v>
      </c>
      <c r="B167" t="s">
        <v>54</v>
      </c>
      <c r="C167" t="s">
        <v>40</v>
      </c>
      <c r="D167">
        <v>2018</v>
      </c>
      <c r="E167">
        <v>2.519865182310288</v>
      </c>
      <c r="F167">
        <v>1.1858569030435471</v>
      </c>
      <c r="G167">
        <f t="shared" si="2"/>
        <v>-1.3340082792667409</v>
      </c>
      <c r="H167">
        <v>0.1099188189293918</v>
      </c>
    </row>
    <row r="168" spans="1:8" x14ac:dyDescent="0.35">
      <c r="A168" t="s">
        <v>70</v>
      </c>
      <c r="B168" t="s">
        <v>53</v>
      </c>
      <c r="C168" t="s">
        <v>38</v>
      </c>
      <c r="D168">
        <v>2019</v>
      </c>
      <c r="E168">
        <v>2.1742555460234851</v>
      </c>
      <c r="F168">
        <v>1.3406806953806429</v>
      </c>
      <c r="G168">
        <f t="shared" si="2"/>
        <v>-0.8335748506428422</v>
      </c>
      <c r="H168">
        <v>0.105634528224145</v>
      </c>
    </row>
    <row r="169" spans="1:8" x14ac:dyDescent="0.35">
      <c r="A169" t="s">
        <v>70</v>
      </c>
      <c r="B169" t="s">
        <v>55</v>
      </c>
      <c r="C169" t="s">
        <v>38</v>
      </c>
      <c r="D169">
        <v>2019</v>
      </c>
      <c r="E169">
        <v>1.354791564440649</v>
      </c>
      <c r="F169">
        <v>1.3406806953806429</v>
      </c>
      <c r="G169">
        <f t="shared" si="2"/>
        <v>-1.4110869060006026E-2</v>
      </c>
      <c r="H169">
        <v>0.105634528224145</v>
      </c>
    </row>
    <row r="170" spans="1:8" x14ac:dyDescent="0.35">
      <c r="A170" t="s">
        <v>70</v>
      </c>
      <c r="B170" t="s">
        <v>54</v>
      </c>
      <c r="C170" t="s">
        <v>40</v>
      </c>
      <c r="D170">
        <v>2019</v>
      </c>
      <c r="E170">
        <v>2.2702366672909808</v>
      </c>
      <c r="F170">
        <v>1.3406806953806429</v>
      </c>
      <c r="G170">
        <f t="shared" si="2"/>
        <v>-0.9295559719103379</v>
      </c>
      <c r="H170">
        <v>0.105634528224145</v>
      </c>
    </row>
    <row r="171" spans="1:8" x14ac:dyDescent="0.35">
      <c r="A171" t="s">
        <v>70</v>
      </c>
      <c r="B171" t="s">
        <v>56</v>
      </c>
      <c r="C171" t="s">
        <v>40</v>
      </c>
      <c r="D171">
        <v>2019</v>
      </c>
      <c r="E171">
        <v>1.638521358484613</v>
      </c>
      <c r="F171">
        <v>1.3406806953806429</v>
      </c>
      <c r="G171">
        <f t="shared" si="2"/>
        <v>-0.29784066310397006</v>
      </c>
      <c r="H171">
        <v>0.105634528224145</v>
      </c>
    </row>
    <row r="172" spans="1:8" x14ac:dyDescent="0.35">
      <c r="A172" t="s">
        <v>73</v>
      </c>
      <c r="B172" t="s">
        <v>37</v>
      </c>
      <c r="C172" t="s">
        <v>38</v>
      </c>
      <c r="D172">
        <v>2011</v>
      </c>
      <c r="E172">
        <v>1.6159410538217229</v>
      </c>
      <c r="F172">
        <v>2.4520659404670382</v>
      </c>
      <c r="G172">
        <f t="shared" si="2"/>
        <v>0.83612488664531526</v>
      </c>
      <c r="H172">
        <v>0.1193789261003138</v>
      </c>
    </row>
    <row r="173" spans="1:8" x14ac:dyDescent="0.35">
      <c r="A173" t="s">
        <v>73</v>
      </c>
      <c r="B173" t="s">
        <v>39</v>
      </c>
      <c r="C173" t="s">
        <v>40</v>
      </c>
      <c r="D173">
        <v>2011</v>
      </c>
      <c r="E173">
        <v>1.7720935903862369</v>
      </c>
      <c r="F173">
        <v>2.4520659404670382</v>
      </c>
      <c r="G173">
        <f t="shared" si="2"/>
        <v>0.67997235008080126</v>
      </c>
      <c r="H173">
        <v>0.1193789261003138</v>
      </c>
    </row>
    <row r="174" spans="1:8" x14ac:dyDescent="0.35">
      <c r="A174" t="s">
        <v>73</v>
      </c>
      <c r="B174" t="s">
        <v>37</v>
      </c>
      <c r="C174" t="s">
        <v>38</v>
      </c>
      <c r="D174">
        <v>2012</v>
      </c>
      <c r="E174">
        <v>0.55167308327404019</v>
      </c>
      <c r="F174">
        <v>0.226946609537066</v>
      </c>
      <c r="G174">
        <f t="shared" si="2"/>
        <v>-0.32472647373697416</v>
      </c>
      <c r="H174">
        <v>0.12509834427816521</v>
      </c>
    </row>
    <row r="175" spans="1:8" x14ac:dyDescent="0.35">
      <c r="A175" t="s">
        <v>73</v>
      </c>
      <c r="B175" t="s">
        <v>41</v>
      </c>
      <c r="C175" t="s">
        <v>38</v>
      </c>
      <c r="D175">
        <v>2012</v>
      </c>
      <c r="E175">
        <v>0.191602674222735</v>
      </c>
      <c r="F175">
        <v>0.226946609537066</v>
      </c>
      <c r="G175">
        <f t="shared" si="2"/>
        <v>3.5343935314330999E-2</v>
      </c>
      <c r="H175">
        <v>0.12509834427816521</v>
      </c>
    </row>
    <row r="176" spans="1:8" x14ac:dyDescent="0.35">
      <c r="A176" t="s">
        <v>73</v>
      </c>
      <c r="B176" t="s">
        <v>39</v>
      </c>
      <c r="C176" t="s">
        <v>40</v>
      </c>
      <c r="D176">
        <v>2012</v>
      </c>
      <c r="E176">
        <v>2.040883011076966</v>
      </c>
      <c r="F176">
        <v>0.226946609537066</v>
      </c>
      <c r="G176">
        <f t="shared" si="2"/>
        <v>-1.8139364015399</v>
      </c>
      <c r="H176">
        <v>0.12509834427816521</v>
      </c>
    </row>
    <row r="177" spans="1:8" x14ac:dyDescent="0.35">
      <c r="A177" t="s">
        <v>73</v>
      </c>
      <c r="B177" t="s">
        <v>42</v>
      </c>
      <c r="C177" t="s">
        <v>40</v>
      </c>
      <c r="D177">
        <v>2012</v>
      </c>
      <c r="E177">
        <v>0.47308017111291623</v>
      </c>
      <c r="F177">
        <v>0.226946609537066</v>
      </c>
      <c r="G177">
        <f t="shared" si="2"/>
        <v>-0.24613356157585023</v>
      </c>
      <c r="H177">
        <v>0.12509834427816521</v>
      </c>
    </row>
    <row r="178" spans="1:8" x14ac:dyDescent="0.35">
      <c r="A178" t="s">
        <v>73</v>
      </c>
      <c r="B178" t="s">
        <v>41</v>
      </c>
      <c r="C178" t="s">
        <v>38</v>
      </c>
      <c r="D178">
        <v>2013</v>
      </c>
      <c r="E178">
        <v>0.38047816820923058</v>
      </c>
      <c r="F178">
        <v>0.92634815984379837</v>
      </c>
      <c r="G178">
        <f t="shared" si="2"/>
        <v>0.54586999163456773</v>
      </c>
      <c r="H178">
        <v>0.1267423905118876</v>
      </c>
    </row>
    <row r="179" spans="1:8" x14ac:dyDescent="0.35">
      <c r="A179" t="s">
        <v>73</v>
      </c>
      <c r="B179" t="s">
        <v>43</v>
      </c>
      <c r="C179" t="s">
        <v>38</v>
      </c>
      <c r="D179">
        <v>2013</v>
      </c>
      <c r="E179">
        <v>0.21992165083872811</v>
      </c>
      <c r="F179">
        <v>0.92634815984379837</v>
      </c>
      <c r="G179">
        <f t="shared" si="2"/>
        <v>0.70642650900507031</v>
      </c>
      <c r="H179">
        <v>0.1267423905118876</v>
      </c>
    </row>
    <row r="180" spans="1:8" x14ac:dyDescent="0.35">
      <c r="A180" t="s">
        <v>73</v>
      </c>
      <c r="B180" t="s">
        <v>42</v>
      </c>
      <c r="C180" t="s">
        <v>40</v>
      </c>
      <c r="D180">
        <v>2013</v>
      </c>
      <c r="E180">
        <v>1.3369944796204569</v>
      </c>
      <c r="F180">
        <v>0.92634815984379837</v>
      </c>
      <c r="G180">
        <f t="shared" si="2"/>
        <v>-0.41064631977665855</v>
      </c>
      <c r="H180">
        <v>0.1267423905118876</v>
      </c>
    </row>
    <row r="181" spans="1:8" x14ac:dyDescent="0.35">
      <c r="A181" t="s">
        <v>73</v>
      </c>
      <c r="B181" t="s">
        <v>44</v>
      </c>
      <c r="C181" t="s">
        <v>40</v>
      </c>
      <c r="D181">
        <v>2013</v>
      </c>
      <c r="E181">
        <v>-9.6293692429949562E-2</v>
      </c>
      <c r="F181">
        <v>0.92634815984379837</v>
      </c>
      <c r="G181">
        <f t="shared" si="2"/>
        <v>1.0226418522737479</v>
      </c>
      <c r="H181">
        <v>0.1267423905118876</v>
      </c>
    </row>
    <row r="182" spans="1:8" x14ac:dyDescent="0.35">
      <c r="A182" t="s">
        <v>73</v>
      </c>
      <c r="B182" t="s">
        <v>43</v>
      </c>
      <c r="C182" t="s">
        <v>38</v>
      </c>
      <c r="D182">
        <v>2014</v>
      </c>
      <c r="E182">
        <v>0.91019216638974498</v>
      </c>
      <c r="F182">
        <v>0.99281792910282507</v>
      </c>
      <c r="G182">
        <f t="shared" si="2"/>
        <v>8.2625762713080086E-2</v>
      </c>
      <c r="H182">
        <v>0.1315312756639137</v>
      </c>
    </row>
    <row r="183" spans="1:8" x14ac:dyDescent="0.35">
      <c r="A183" t="s">
        <v>73</v>
      </c>
      <c r="B183" t="s">
        <v>45</v>
      </c>
      <c r="C183" t="s">
        <v>38</v>
      </c>
      <c r="D183">
        <v>2014</v>
      </c>
      <c r="E183">
        <v>0.31811884101464738</v>
      </c>
      <c r="F183">
        <v>0.99281792910282507</v>
      </c>
      <c r="G183">
        <f t="shared" si="2"/>
        <v>0.67469908808817769</v>
      </c>
      <c r="H183">
        <v>0.1315312756639137</v>
      </c>
    </row>
    <row r="184" spans="1:8" x14ac:dyDescent="0.35">
      <c r="A184" t="s">
        <v>73</v>
      </c>
      <c r="B184" t="s">
        <v>44</v>
      </c>
      <c r="C184" t="s">
        <v>40</v>
      </c>
      <c r="D184">
        <v>2014</v>
      </c>
      <c r="E184">
        <v>1.095437649770115</v>
      </c>
      <c r="F184">
        <v>0.99281792910282507</v>
      </c>
      <c r="G184">
        <f t="shared" si="2"/>
        <v>-0.10261972066728997</v>
      </c>
      <c r="H184">
        <v>0.1315312756639137</v>
      </c>
    </row>
    <row r="185" spans="1:8" x14ac:dyDescent="0.35">
      <c r="A185" t="s">
        <v>73</v>
      </c>
      <c r="B185" t="s">
        <v>46</v>
      </c>
      <c r="C185" t="s">
        <v>40</v>
      </c>
      <c r="D185">
        <v>2014</v>
      </c>
      <c r="E185">
        <v>0.97562348050159731</v>
      </c>
      <c r="F185">
        <v>0.99281792910282507</v>
      </c>
      <c r="G185">
        <f t="shared" si="2"/>
        <v>1.7194448601227763E-2</v>
      </c>
      <c r="H185">
        <v>0.1315312756639137</v>
      </c>
    </row>
    <row r="186" spans="1:8" x14ac:dyDescent="0.35">
      <c r="A186" t="s">
        <v>73</v>
      </c>
      <c r="B186" t="s">
        <v>45</v>
      </c>
      <c r="C186" t="s">
        <v>38</v>
      </c>
      <c r="D186">
        <v>2015</v>
      </c>
      <c r="E186">
        <v>0.69497120757255892</v>
      </c>
      <c r="F186">
        <v>0.99352475042418931</v>
      </c>
      <c r="G186">
        <f t="shared" si="2"/>
        <v>0.29855354285163038</v>
      </c>
      <c r="H186">
        <v>0.13764973587361881</v>
      </c>
    </row>
    <row r="187" spans="1:8" x14ac:dyDescent="0.35">
      <c r="A187" t="s">
        <v>73</v>
      </c>
      <c r="B187" t="s">
        <v>47</v>
      </c>
      <c r="C187" t="s">
        <v>38</v>
      </c>
      <c r="D187">
        <v>2015</v>
      </c>
      <c r="E187">
        <v>1.0829396488476919</v>
      </c>
      <c r="F187">
        <v>0.99352475042418931</v>
      </c>
      <c r="G187">
        <f t="shared" si="2"/>
        <v>-8.9414898423502587E-2</v>
      </c>
      <c r="H187">
        <v>0.13764973587361881</v>
      </c>
    </row>
    <row r="188" spans="1:8" x14ac:dyDescent="0.35">
      <c r="A188" t="s">
        <v>73</v>
      </c>
      <c r="B188" t="s">
        <v>46</v>
      </c>
      <c r="C188" t="s">
        <v>40</v>
      </c>
      <c r="D188">
        <v>2015</v>
      </c>
      <c r="E188">
        <v>1.4732524317461191</v>
      </c>
      <c r="F188">
        <v>0.99352475042418931</v>
      </c>
      <c r="G188">
        <f t="shared" si="2"/>
        <v>-0.47972768132192978</v>
      </c>
      <c r="H188">
        <v>0.13764973587361881</v>
      </c>
    </row>
    <row r="189" spans="1:8" x14ac:dyDescent="0.35">
      <c r="A189" t="s">
        <v>73</v>
      </c>
      <c r="B189" t="s">
        <v>48</v>
      </c>
      <c r="C189" t="s">
        <v>40</v>
      </c>
      <c r="D189">
        <v>2015</v>
      </c>
      <c r="E189">
        <v>1.081963871443703</v>
      </c>
      <c r="F189">
        <v>0.99352475042418931</v>
      </c>
      <c r="G189">
        <f t="shared" si="2"/>
        <v>-8.8439121019513678E-2</v>
      </c>
      <c r="H189">
        <v>0.13764973587361881</v>
      </c>
    </row>
    <row r="190" spans="1:8" x14ac:dyDescent="0.35">
      <c r="A190" t="s">
        <v>73</v>
      </c>
      <c r="B190" t="s">
        <v>47</v>
      </c>
      <c r="C190" t="s">
        <v>38</v>
      </c>
      <c r="D190">
        <v>2016</v>
      </c>
      <c r="E190">
        <v>1.4293943423307589</v>
      </c>
      <c r="F190">
        <v>0.7341997048160207</v>
      </c>
      <c r="G190">
        <f t="shared" si="2"/>
        <v>-0.6951946375147382</v>
      </c>
      <c r="H190">
        <v>0.14114053079650751</v>
      </c>
    </row>
    <row r="191" spans="1:8" x14ac:dyDescent="0.35">
      <c r="A191" t="s">
        <v>73</v>
      </c>
      <c r="B191" t="s">
        <v>49</v>
      </c>
      <c r="C191" t="s">
        <v>38</v>
      </c>
      <c r="D191">
        <v>2016</v>
      </c>
      <c r="E191">
        <v>1.254473785454957</v>
      </c>
      <c r="F191">
        <v>0.7341997048160207</v>
      </c>
      <c r="G191">
        <f t="shared" si="2"/>
        <v>-0.52027408063893632</v>
      </c>
      <c r="H191">
        <v>0.14114053079650751</v>
      </c>
    </row>
    <row r="192" spans="1:8" x14ac:dyDescent="0.35">
      <c r="A192" t="s">
        <v>73</v>
      </c>
      <c r="B192" t="s">
        <v>48</v>
      </c>
      <c r="C192" t="s">
        <v>40</v>
      </c>
      <c r="D192">
        <v>2016</v>
      </c>
      <c r="E192">
        <v>1.6816047146198001</v>
      </c>
      <c r="F192">
        <v>0.7341997048160207</v>
      </c>
      <c r="G192">
        <f t="shared" si="2"/>
        <v>-0.9474050098037794</v>
      </c>
      <c r="H192">
        <v>0.14114053079650751</v>
      </c>
    </row>
    <row r="193" spans="1:8" x14ac:dyDescent="0.35">
      <c r="A193" t="s">
        <v>73</v>
      </c>
      <c r="B193" t="s">
        <v>50</v>
      </c>
      <c r="C193" t="s">
        <v>40</v>
      </c>
      <c r="D193">
        <v>2016</v>
      </c>
      <c r="E193">
        <v>1.331417785335498</v>
      </c>
      <c r="F193">
        <v>0.7341997048160207</v>
      </c>
      <c r="G193">
        <f t="shared" si="2"/>
        <v>-0.59721808051947733</v>
      </c>
      <c r="H193">
        <v>0.14114053079650751</v>
      </c>
    </row>
    <row r="194" spans="1:8" x14ac:dyDescent="0.35">
      <c r="A194" t="s">
        <v>73</v>
      </c>
      <c r="B194" t="s">
        <v>49</v>
      </c>
      <c r="C194" t="s">
        <v>38</v>
      </c>
      <c r="D194">
        <v>2017</v>
      </c>
      <c r="E194">
        <v>1.3568331696729889</v>
      </c>
      <c r="F194">
        <v>2.2441414587468929</v>
      </c>
      <c r="G194">
        <f t="shared" ref="G194:G257" si="3">IF(OR(F194="",E194=""),"",F194-E194)</f>
        <v>0.88730828907390391</v>
      </c>
      <c r="H194">
        <v>0.1467074254631251</v>
      </c>
    </row>
    <row r="195" spans="1:8" x14ac:dyDescent="0.35">
      <c r="A195" t="s">
        <v>73</v>
      </c>
      <c r="B195" t="s">
        <v>51</v>
      </c>
      <c r="C195" t="s">
        <v>38</v>
      </c>
      <c r="D195">
        <v>2017</v>
      </c>
      <c r="E195">
        <v>1.6108305416448809</v>
      </c>
      <c r="F195">
        <v>2.2441414587468929</v>
      </c>
      <c r="G195">
        <f t="shared" si="3"/>
        <v>0.63331091710201193</v>
      </c>
      <c r="H195">
        <v>0.1467074254631251</v>
      </c>
    </row>
    <row r="196" spans="1:8" x14ac:dyDescent="0.35">
      <c r="A196" t="s">
        <v>73</v>
      </c>
      <c r="B196" t="s">
        <v>50</v>
      </c>
      <c r="C196" t="s">
        <v>40</v>
      </c>
      <c r="D196">
        <v>2017</v>
      </c>
      <c r="E196">
        <v>1.686145619472357</v>
      </c>
      <c r="F196">
        <v>2.2441414587468929</v>
      </c>
      <c r="G196">
        <f t="shared" si="3"/>
        <v>0.55799583927453589</v>
      </c>
      <c r="H196">
        <v>0.1467074254631251</v>
      </c>
    </row>
    <row r="197" spans="1:8" x14ac:dyDescent="0.35">
      <c r="A197" t="s">
        <v>73</v>
      </c>
      <c r="B197" t="s">
        <v>52</v>
      </c>
      <c r="C197" t="s">
        <v>40</v>
      </c>
      <c r="D197">
        <v>2017</v>
      </c>
      <c r="E197">
        <v>1.353609964652547</v>
      </c>
      <c r="F197">
        <v>2.2441414587468929</v>
      </c>
      <c r="G197">
        <f t="shared" si="3"/>
        <v>0.89053149409434584</v>
      </c>
      <c r="H197">
        <v>0.1467074254631251</v>
      </c>
    </row>
    <row r="198" spans="1:8" x14ac:dyDescent="0.35">
      <c r="A198" t="s">
        <v>73</v>
      </c>
      <c r="B198" t="s">
        <v>51</v>
      </c>
      <c r="C198" t="s">
        <v>38</v>
      </c>
      <c r="D198">
        <v>2018</v>
      </c>
      <c r="E198">
        <v>1.745757461080699</v>
      </c>
      <c r="F198">
        <v>1.5720137685547519</v>
      </c>
      <c r="G198">
        <f t="shared" si="3"/>
        <v>-0.17374369252594701</v>
      </c>
      <c r="H198">
        <v>0.15168226831207221</v>
      </c>
    </row>
    <row r="199" spans="1:8" x14ac:dyDescent="0.35">
      <c r="A199" t="s">
        <v>73</v>
      </c>
      <c r="B199" t="s">
        <v>53</v>
      </c>
      <c r="C199" t="s">
        <v>38</v>
      </c>
      <c r="D199">
        <v>2018</v>
      </c>
      <c r="E199">
        <v>1.6664324661772369</v>
      </c>
      <c r="F199">
        <v>1.5720137685547519</v>
      </c>
      <c r="G199">
        <f t="shared" si="3"/>
        <v>-9.4418697622485004E-2</v>
      </c>
      <c r="H199">
        <v>0.15168226831207221</v>
      </c>
    </row>
    <row r="200" spans="1:8" x14ac:dyDescent="0.35">
      <c r="A200" t="s">
        <v>73</v>
      </c>
      <c r="B200" t="s">
        <v>52</v>
      </c>
      <c r="C200" t="s">
        <v>40</v>
      </c>
      <c r="D200">
        <v>2018</v>
      </c>
      <c r="E200">
        <v>1.72584962487905</v>
      </c>
      <c r="F200">
        <v>1.5720137685547519</v>
      </c>
      <c r="G200">
        <f t="shared" si="3"/>
        <v>-0.15383585632429808</v>
      </c>
      <c r="H200">
        <v>0.15168226831207221</v>
      </c>
    </row>
    <row r="201" spans="1:8" x14ac:dyDescent="0.35">
      <c r="A201" t="s">
        <v>73</v>
      </c>
      <c r="B201" t="s">
        <v>54</v>
      </c>
      <c r="C201" t="s">
        <v>40</v>
      </c>
      <c r="D201">
        <v>2018</v>
      </c>
      <c r="E201">
        <v>1.989603282667241</v>
      </c>
      <c r="F201">
        <v>1.5720137685547519</v>
      </c>
      <c r="G201">
        <f t="shared" si="3"/>
        <v>-0.41758951411248901</v>
      </c>
      <c r="H201">
        <v>0.15168226831207221</v>
      </c>
    </row>
    <row r="202" spans="1:8" x14ac:dyDescent="0.35">
      <c r="A202" t="s">
        <v>73</v>
      </c>
      <c r="B202" t="s">
        <v>53</v>
      </c>
      <c r="C202" t="s">
        <v>38</v>
      </c>
      <c r="D202">
        <v>2019</v>
      </c>
      <c r="E202">
        <v>1.641202261320762</v>
      </c>
      <c r="F202">
        <v>2.0796189403330492</v>
      </c>
      <c r="G202">
        <f t="shared" si="3"/>
        <v>0.4384166790122872</v>
      </c>
      <c r="H202">
        <v>0.15379843721398409</v>
      </c>
    </row>
    <row r="203" spans="1:8" x14ac:dyDescent="0.35">
      <c r="A203" t="s">
        <v>73</v>
      </c>
      <c r="B203" t="s">
        <v>55</v>
      </c>
      <c r="C203" t="s">
        <v>38</v>
      </c>
      <c r="D203">
        <v>2019</v>
      </c>
      <c r="E203">
        <v>1.2870082454169649</v>
      </c>
      <c r="F203">
        <v>2.0796189403330492</v>
      </c>
      <c r="G203">
        <f t="shared" si="3"/>
        <v>0.79261069491608427</v>
      </c>
      <c r="H203">
        <v>0.15379843721398409</v>
      </c>
    </row>
    <row r="204" spans="1:8" x14ac:dyDescent="0.35">
      <c r="A204" t="s">
        <v>73</v>
      </c>
      <c r="B204" t="s">
        <v>54</v>
      </c>
      <c r="C204" t="s">
        <v>40</v>
      </c>
      <c r="D204">
        <v>2019</v>
      </c>
      <c r="E204">
        <v>1.837933157898797</v>
      </c>
      <c r="F204">
        <v>2.0796189403330492</v>
      </c>
      <c r="G204">
        <f t="shared" si="3"/>
        <v>0.24168578243425221</v>
      </c>
      <c r="H204">
        <v>0.15379843721398409</v>
      </c>
    </row>
    <row r="205" spans="1:8" x14ac:dyDescent="0.35">
      <c r="A205" t="s">
        <v>73</v>
      </c>
      <c r="B205" t="s">
        <v>56</v>
      </c>
      <c r="C205" t="s">
        <v>40</v>
      </c>
      <c r="D205">
        <v>2019</v>
      </c>
      <c r="E205">
        <v>1.333589129915191</v>
      </c>
      <c r="F205">
        <v>2.0796189403330492</v>
      </c>
      <c r="G205">
        <f t="shared" si="3"/>
        <v>0.74602981041785821</v>
      </c>
      <c r="H205">
        <v>0.15379843721398409</v>
      </c>
    </row>
    <row r="206" spans="1:8" x14ac:dyDescent="0.35">
      <c r="A206" t="s">
        <v>74</v>
      </c>
      <c r="B206" t="s">
        <v>37</v>
      </c>
      <c r="C206" t="s">
        <v>38</v>
      </c>
      <c r="D206">
        <v>2011</v>
      </c>
      <c r="E206">
        <v>1.085473342594079</v>
      </c>
      <c r="F206">
        <v>1.585963389687955</v>
      </c>
      <c r="G206">
        <f t="shared" si="3"/>
        <v>0.50049004709387601</v>
      </c>
      <c r="H206">
        <v>0.21290558800453321</v>
      </c>
    </row>
    <row r="207" spans="1:8" x14ac:dyDescent="0.35">
      <c r="A207" t="s">
        <v>74</v>
      </c>
      <c r="B207" t="s">
        <v>39</v>
      </c>
      <c r="C207" t="s">
        <v>40</v>
      </c>
      <c r="D207">
        <v>2011</v>
      </c>
      <c r="E207">
        <v>0.64463752068673053</v>
      </c>
      <c r="F207">
        <v>1.585963389687955</v>
      </c>
      <c r="G207">
        <f t="shared" si="3"/>
        <v>0.9413258690012245</v>
      </c>
      <c r="H207">
        <v>0.21290558800453321</v>
      </c>
    </row>
    <row r="208" spans="1:8" x14ac:dyDescent="0.35">
      <c r="A208" t="s">
        <v>74</v>
      </c>
      <c r="B208" t="s">
        <v>37</v>
      </c>
      <c r="C208" t="s">
        <v>38</v>
      </c>
      <c r="D208">
        <v>2012</v>
      </c>
      <c r="E208">
        <v>1.0901130974096951</v>
      </c>
      <c r="F208">
        <v>-0.53795048916406796</v>
      </c>
      <c r="G208">
        <f t="shared" si="3"/>
        <v>-1.6280635865737629</v>
      </c>
      <c r="H208">
        <v>0.23477584339955121</v>
      </c>
    </row>
    <row r="209" spans="1:8" x14ac:dyDescent="0.35">
      <c r="A209" t="s">
        <v>74</v>
      </c>
      <c r="B209" t="s">
        <v>41</v>
      </c>
      <c r="C209" t="s">
        <v>38</v>
      </c>
      <c r="D209">
        <v>2012</v>
      </c>
      <c r="E209">
        <v>0.43127476645701268</v>
      </c>
      <c r="F209">
        <v>-0.53795048916406796</v>
      </c>
      <c r="G209">
        <f t="shared" si="3"/>
        <v>-0.96922525562108064</v>
      </c>
      <c r="H209">
        <v>0.23477584339955121</v>
      </c>
    </row>
    <row r="210" spans="1:8" x14ac:dyDescent="0.35">
      <c r="A210" t="s">
        <v>74</v>
      </c>
      <c r="B210" t="s">
        <v>39</v>
      </c>
      <c r="C210" t="s">
        <v>40</v>
      </c>
      <c r="D210">
        <v>2012</v>
      </c>
      <c r="E210">
        <v>1.915684733449208</v>
      </c>
      <c r="F210">
        <v>-0.53795048916406796</v>
      </c>
      <c r="G210">
        <f t="shared" si="3"/>
        <v>-2.453635222613276</v>
      </c>
      <c r="H210">
        <v>0.23477584339955121</v>
      </c>
    </row>
    <row r="211" spans="1:8" x14ac:dyDescent="0.35">
      <c r="A211" t="s">
        <v>74</v>
      </c>
      <c r="B211" t="s">
        <v>42</v>
      </c>
      <c r="C211" t="s">
        <v>40</v>
      </c>
      <c r="D211">
        <v>2012</v>
      </c>
      <c r="E211">
        <v>0.53448290594637626</v>
      </c>
      <c r="F211">
        <v>-0.53795048916406796</v>
      </c>
      <c r="G211">
        <f t="shared" si="3"/>
        <v>-1.0724333951104441</v>
      </c>
      <c r="H211">
        <v>0.23477584339955121</v>
      </c>
    </row>
    <row r="212" spans="1:8" x14ac:dyDescent="0.35">
      <c r="A212" t="s">
        <v>74</v>
      </c>
      <c r="B212" t="s">
        <v>41</v>
      </c>
      <c r="C212" t="s">
        <v>38</v>
      </c>
      <c r="D212">
        <v>2013</v>
      </c>
      <c r="E212">
        <v>1.055742969234341</v>
      </c>
      <c r="F212">
        <v>2.260800070139938</v>
      </c>
      <c r="G212">
        <f t="shared" si="3"/>
        <v>1.205057100905597</v>
      </c>
      <c r="H212">
        <v>0.20688592659957639</v>
      </c>
    </row>
    <row r="213" spans="1:8" x14ac:dyDescent="0.35">
      <c r="A213" t="s">
        <v>74</v>
      </c>
      <c r="B213" t="s">
        <v>43</v>
      </c>
      <c r="C213" t="s">
        <v>38</v>
      </c>
      <c r="D213">
        <v>2013</v>
      </c>
      <c r="E213">
        <v>0.30402131855349351</v>
      </c>
      <c r="F213">
        <v>2.260800070139938</v>
      </c>
      <c r="G213">
        <f t="shared" si="3"/>
        <v>1.9567787515864445</v>
      </c>
      <c r="H213">
        <v>0.20688592659957639</v>
      </c>
    </row>
    <row r="214" spans="1:8" x14ac:dyDescent="0.35">
      <c r="A214" t="s">
        <v>74</v>
      </c>
      <c r="B214" t="s">
        <v>42</v>
      </c>
      <c r="C214" t="s">
        <v>40</v>
      </c>
      <c r="D214">
        <v>2013</v>
      </c>
      <c r="E214">
        <v>1.9060651556646271</v>
      </c>
      <c r="F214">
        <v>2.260800070139938</v>
      </c>
      <c r="G214">
        <f t="shared" si="3"/>
        <v>0.35473491447531091</v>
      </c>
      <c r="H214">
        <v>0.20688592659957639</v>
      </c>
    </row>
    <row r="215" spans="1:8" x14ac:dyDescent="0.35">
      <c r="A215" t="s">
        <v>74</v>
      </c>
      <c r="B215" t="s">
        <v>44</v>
      </c>
      <c r="C215" t="s">
        <v>40</v>
      </c>
      <c r="D215">
        <v>2013</v>
      </c>
      <c r="E215">
        <v>1.069987927348115</v>
      </c>
      <c r="F215">
        <v>2.260800070139938</v>
      </c>
      <c r="G215">
        <f t="shared" si="3"/>
        <v>1.190812142791823</v>
      </c>
      <c r="H215">
        <v>0.20688592659957639</v>
      </c>
    </row>
    <row r="216" spans="1:8" x14ac:dyDescent="0.35">
      <c r="A216" t="s">
        <v>74</v>
      </c>
      <c r="B216" t="s">
        <v>43</v>
      </c>
      <c r="C216" t="s">
        <v>38</v>
      </c>
      <c r="D216">
        <v>2014</v>
      </c>
      <c r="E216">
        <v>1.703044407164489</v>
      </c>
      <c r="F216">
        <v>9.0504209935939262</v>
      </c>
      <c r="G216">
        <f t="shared" si="3"/>
        <v>7.3473765864294371</v>
      </c>
      <c r="H216">
        <v>0.20919179823965831</v>
      </c>
    </row>
    <row r="217" spans="1:8" x14ac:dyDescent="0.35">
      <c r="A217" t="s">
        <v>74</v>
      </c>
      <c r="B217" t="s">
        <v>45</v>
      </c>
      <c r="C217" t="s">
        <v>38</v>
      </c>
      <c r="D217">
        <v>2014</v>
      </c>
      <c r="E217">
        <v>4.6151910205822766</v>
      </c>
      <c r="F217">
        <v>9.0504209935939262</v>
      </c>
      <c r="G217">
        <f t="shared" si="3"/>
        <v>4.4352299730116496</v>
      </c>
      <c r="H217">
        <v>0.20919179823965831</v>
      </c>
    </row>
    <row r="218" spans="1:8" x14ac:dyDescent="0.35">
      <c r="A218" t="s">
        <v>74</v>
      </c>
      <c r="B218" t="s">
        <v>44</v>
      </c>
      <c r="C218" t="s">
        <v>40</v>
      </c>
      <c r="D218">
        <v>2014</v>
      </c>
      <c r="E218">
        <v>2.1762610607392712</v>
      </c>
      <c r="F218">
        <v>9.0504209935939262</v>
      </c>
      <c r="G218">
        <f t="shared" si="3"/>
        <v>6.8741599328546545</v>
      </c>
      <c r="H218">
        <v>0.20919179823965831</v>
      </c>
    </row>
    <row r="219" spans="1:8" x14ac:dyDescent="0.35">
      <c r="A219" t="s">
        <v>74</v>
      </c>
      <c r="B219" t="s">
        <v>46</v>
      </c>
      <c r="C219" t="s">
        <v>40</v>
      </c>
      <c r="D219">
        <v>2014</v>
      </c>
      <c r="E219">
        <v>1.740487538042057</v>
      </c>
      <c r="F219">
        <v>9.0504209935939262</v>
      </c>
      <c r="G219">
        <f t="shared" si="3"/>
        <v>7.3099334555518691</v>
      </c>
      <c r="H219">
        <v>0.20919179823965831</v>
      </c>
    </row>
    <row r="220" spans="1:8" x14ac:dyDescent="0.35">
      <c r="A220" t="s">
        <v>74</v>
      </c>
      <c r="B220" t="s">
        <v>45</v>
      </c>
      <c r="C220" t="s">
        <v>38</v>
      </c>
      <c r="D220">
        <v>2015</v>
      </c>
      <c r="E220">
        <v>3.6221665910883831</v>
      </c>
      <c r="F220">
        <v>21.950744654507421</v>
      </c>
      <c r="G220">
        <f t="shared" si="3"/>
        <v>18.328578063419037</v>
      </c>
      <c r="H220">
        <v>0.19049801405438441</v>
      </c>
    </row>
    <row r="221" spans="1:8" x14ac:dyDescent="0.35">
      <c r="A221" t="s">
        <v>74</v>
      </c>
      <c r="B221" t="s">
        <v>47</v>
      </c>
      <c r="C221" t="s">
        <v>38</v>
      </c>
      <c r="D221">
        <v>2015</v>
      </c>
      <c r="E221">
        <v>6.0449344943167782</v>
      </c>
      <c r="F221">
        <v>21.950744654507421</v>
      </c>
      <c r="G221">
        <f t="shared" si="3"/>
        <v>15.905810160190644</v>
      </c>
      <c r="H221">
        <v>0.19049801405438441</v>
      </c>
    </row>
    <row r="222" spans="1:8" x14ac:dyDescent="0.35">
      <c r="A222" t="s">
        <v>74</v>
      </c>
      <c r="B222" t="s">
        <v>46</v>
      </c>
      <c r="C222" t="s">
        <v>40</v>
      </c>
      <c r="D222">
        <v>2015</v>
      </c>
      <c r="E222">
        <v>2.99572233370986</v>
      </c>
      <c r="F222">
        <v>21.950744654507421</v>
      </c>
      <c r="G222">
        <f t="shared" si="3"/>
        <v>18.955022320797561</v>
      </c>
      <c r="H222">
        <v>0.19049801405438441</v>
      </c>
    </row>
    <row r="223" spans="1:8" x14ac:dyDescent="0.35">
      <c r="A223" t="s">
        <v>74</v>
      </c>
      <c r="B223" t="s">
        <v>48</v>
      </c>
      <c r="C223" t="s">
        <v>40</v>
      </c>
      <c r="D223">
        <v>2015</v>
      </c>
      <c r="E223">
        <v>3.6070418929936339</v>
      </c>
      <c r="F223">
        <v>21.950744654507421</v>
      </c>
      <c r="G223">
        <f t="shared" si="3"/>
        <v>18.343702761513786</v>
      </c>
      <c r="H223">
        <v>0.19049801405438441</v>
      </c>
    </row>
    <row r="224" spans="1:8" x14ac:dyDescent="0.35">
      <c r="A224" t="s">
        <v>74</v>
      </c>
      <c r="B224" t="s">
        <v>47</v>
      </c>
      <c r="C224" t="s">
        <v>38</v>
      </c>
      <c r="D224">
        <v>2016</v>
      </c>
      <c r="E224">
        <v>4.4841243342324866</v>
      </c>
      <c r="F224">
        <v>1.1725462785856491</v>
      </c>
      <c r="G224">
        <f t="shared" si="3"/>
        <v>-3.3115780556468373</v>
      </c>
      <c r="H224">
        <v>0.1566974843662681</v>
      </c>
    </row>
    <row r="225" spans="1:8" x14ac:dyDescent="0.35">
      <c r="A225" t="s">
        <v>74</v>
      </c>
      <c r="B225" t="s">
        <v>49</v>
      </c>
      <c r="C225" t="s">
        <v>38</v>
      </c>
      <c r="D225">
        <v>2016</v>
      </c>
      <c r="E225">
        <v>4.0884411162628984</v>
      </c>
      <c r="F225">
        <v>1.1725462785856491</v>
      </c>
      <c r="G225">
        <f t="shared" si="3"/>
        <v>-2.9158948376772491</v>
      </c>
      <c r="H225">
        <v>0.1566974843662681</v>
      </c>
    </row>
    <row r="226" spans="1:8" x14ac:dyDescent="0.35">
      <c r="A226" t="s">
        <v>74</v>
      </c>
      <c r="B226" t="s">
        <v>48</v>
      </c>
      <c r="C226" t="s">
        <v>40</v>
      </c>
      <c r="D226">
        <v>2016</v>
      </c>
      <c r="E226">
        <v>3.4764574668220138</v>
      </c>
      <c r="F226">
        <v>1.1725462785856491</v>
      </c>
      <c r="G226">
        <f t="shared" si="3"/>
        <v>-2.3039111882363645</v>
      </c>
      <c r="H226">
        <v>0.1566974843662681</v>
      </c>
    </row>
    <row r="227" spans="1:8" x14ac:dyDescent="0.35">
      <c r="A227" t="s">
        <v>74</v>
      </c>
      <c r="B227" t="s">
        <v>50</v>
      </c>
      <c r="C227" t="s">
        <v>40</v>
      </c>
      <c r="D227">
        <v>2016</v>
      </c>
      <c r="E227">
        <v>4.8687098071762858</v>
      </c>
      <c r="F227">
        <v>1.1725462785856491</v>
      </c>
      <c r="G227">
        <f t="shared" si="3"/>
        <v>-3.6961635285906365</v>
      </c>
      <c r="H227">
        <v>0.1566974843662681</v>
      </c>
    </row>
    <row r="228" spans="1:8" x14ac:dyDescent="0.35">
      <c r="A228" t="s">
        <v>74</v>
      </c>
      <c r="B228" t="s">
        <v>49</v>
      </c>
      <c r="C228" t="s">
        <v>38</v>
      </c>
      <c r="D228">
        <v>2017</v>
      </c>
      <c r="E228">
        <v>3.6014209648164601</v>
      </c>
      <c r="F228">
        <v>9.6242949957613337</v>
      </c>
      <c r="G228">
        <f t="shared" si="3"/>
        <v>6.0228740309448732</v>
      </c>
      <c r="H228">
        <v>0.40580189169109832</v>
      </c>
    </row>
    <row r="229" spans="1:8" x14ac:dyDescent="0.35">
      <c r="A229" t="s">
        <v>74</v>
      </c>
      <c r="B229" t="s">
        <v>51</v>
      </c>
      <c r="C229" t="s">
        <v>38</v>
      </c>
      <c r="D229">
        <v>2017</v>
      </c>
      <c r="E229">
        <v>4.8263025218790556</v>
      </c>
      <c r="F229">
        <v>9.6242949957613337</v>
      </c>
      <c r="G229">
        <f t="shared" si="3"/>
        <v>4.7979924738822781</v>
      </c>
      <c r="H229">
        <v>0.40580189169109832</v>
      </c>
    </row>
    <row r="230" spans="1:8" x14ac:dyDescent="0.35">
      <c r="A230" t="s">
        <v>74</v>
      </c>
      <c r="B230" t="s">
        <v>50</v>
      </c>
      <c r="C230" t="s">
        <v>40</v>
      </c>
      <c r="D230">
        <v>2017</v>
      </c>
      <c r="E230">
        <v>3.6717987560630938</v>
      </c>
      <c r="F230">
        <v>9.6242949957613337</v>
      </c>
      <c r="G230">
        <f t="shared" si="3"/>
        <v>5.9524962396982399</v>
      </c>
      <c r="H230">
        <v>0.40580189169109832</v>
      </c>
    </row>
    <row r="231" spans="1:8" x14ac:dyDescent="0.35">
      <c r="A231" t="s">
        <v>74</v>
      </c>
      <c r="B231" t="s">
        <v>52</v>
      </c>
      <c r="C231" t="s">
        <v>40</v>
      </c>
      <c r="D231">
        <v>2017</v>
      </c>
      <c r="E231">
        <v>3.9509452446526701</v>
      </c>
      <c r="F231">
        <v>9.6242949957613337</v>
      </c>
      <c r="G231">
        <f t="shared" si="3"/>
        <v>5.6733497511086632</v>
      </c>
      <c r="H231">
        <v>0.40580189169109832</v>
      </c>
    </row>
    <row r="232" spans="1:8" x14ac:dyDescent="0.35">
      <c r="A232" t="s">
        <v>74</v>
      </c>
      <c r="B232" t="s">
        <v>51</v>
      </c>
      <c r="C232" t="s">
        <v>38</v>
      </c>
      <c r="D232">
        <v>2018</v>
      </c>
      <c r="E232">
        <v>3.9055452515839528</v>
      </c>
      <c r="F232">
        <v>7.4446874521163222</v>
      </c>
      <c r="G232">
        <f t="shared" si="3"/>
        <v>3.5391422005323694</v>
      </c>
      <c r="H232">
        <v>0.19086473467152659</v>
      </c>
    </row>
    <row r="233" spans="1:8" x14ac:dyDescent="0.35">
      <c r="A233" t="s">
        <v>74</v>
      </c>
      <c r="B233" t="s">
        <v>53</v>
      </c>
      <c r="C233" t="s">
        <v>38</v>
      </c>
      <c r="D233">
        <v>2018</v>
      </c>
      <c r="E233">
        <v>7.8117760082768486</v>
      </c>
      <c r="F233">
        <v>7.4446874521163222</v>
      </c>
      <c r="G233">
        <f t="shared" si="3"/>
        <v>-0.36708855616052638</v>
      </c>
      <c r="H233">
        <v>0.19086473467152659</v>
      </c>
    </row>
    <row r="234" spans="1:8" x14ac:dyDescent="0.35">
      <c r="A234" t="s">
        <v>74</v>
      </c>
      <c r="B234" t="s">
        <v>52</v>
      </c>
      <c r="C234" t="s">
        <v>40</v>
      </c>
      <c r="D234">
        <v>2018</v>
      </c>
      <c r="E234">
        <v>3.6432271266646499</v>
      </c>
      <c r="F234">
        <v>7.4446874521163222</v>
      </c>
      <c r="G234">
        <f t="shared" si="3"/>
        <v>3.8014603254516723</v>
      </c>
      <c r="H234">
        <v>0.19086473467152659</v>
      </c>
    </row>
    <row r="235" spans="1:8" x14ac:dyDescent="0.35">
      <c r="A235" t="s">
        <v>74</v>
      </c>
      <c r="B235" t="s">
        <v>54</v>
      </c>
      <c r="C235" t="s">
        <v>40</v>
      </c>
      <c r="D235">
        <v>2018</v>
      </c>
      <c r="E235">
        <v>5.6808928025538163</v>
      </c>
      <c r="F235">
        <v>7.4446874521163222</v>
      </c>
      <c r="G235">
        <f t="shared" si="3"/>
        <v>1.7637946495625059</v>
      </c>
      <c r="H235">
        <v>0.19086473467152659</v>
      </c>
    </row>
    <row r="236" spans="1:8" x14ac:dyDescent="0.35">
      <c r="A236" t="s">
        <v>74</v>
      </c>
      <c r="B236" t="s">
        <v>53</v>
      </c>
      <c r="C236" t="s">
        <v>38</v>
      </c>
      <c r="D236">
        <v>2019</v>
      </c>
      <c r="E236">
        <v>4.5299756937161373</v>
      </c>
      <c r="F236">
        <v>4.8237638263446936</v>
      </c>
      <c r="G236">
        <f t="shared" si="3"/>
        <v>0.2937881326285563</v>
      </c>
      <c r="H236">
        <v>0.26662936464636439</v>
      </c>
    </row>
    <row r="237" spans="1:8" x14ac:dyDescent="0.35">
      <c r="A237" t="s">
        <v>74</v>
      </c>
      <c r="B237" t="s">
        <v>55</v>
      </c>
      <c r="C237" t="s">
        <v>38</v>
      </c>
      <c r="D237">
        <v>2019</v>
      </c>
      <c r="E237">
        <v>5.6355935792373302</v>
      </c>
      <c r="F237">
        <v>4.8237638263446936</v>
      </c>
      <c r="G237">
        <f t="shared" si="3"/>
        <v>-0.81182975289263659</v>
      </c>
      <c r="H237">
        <v>0.26662936464636439</v>
      </c>
    </row>
    <row r="238" spans="1:8" x14ac:dyDescent="0.35">
      <c r="A238" t="s">
        <v>74</v>
      </c>
      <c r="B238" t="s">
        <v>54</v>
      </c>
      <c r="C238" t="s">
        <v>40</v>
      </c>
      <c r="D238">
        <v>2019</v>
      </c>
      <c r="E238">
        <v>4.058674421459818</v>
      </c>
      <c r="F238">
        <v>4.8237638263446936</v>
      </c>
      <c r="G238">
        <f t="shared" si="3"/>
        <v>0.76508940488487553</v>
      </c>
      <c r="H238">
        <v>0.26662936464636439</v>
      </c>
    </row>
    <row r="239" spans="1:8" x14ac:dyDescent="0.35">
      <c r="A239" t="s">
        <v>74</v>
      </c>
      <c r="B239" t="s">
        <v>56</v>
      </c>
      <c r="C239" t="s">
        <v>40</v>
      </c>
      <c r="D239">
        <v>2019</v>
      </c>
      <c r="E239">
        <v>3.759569376747196</v>
      </c>
      <c r="F239">
        <v>4.8237638263446936</v>
      </c>
      <c r="G239">
        <f t="shared" si="3"/>
        <v>1.0641944495974975</v>
      </c>
      <c r="H239">
        <v>0.26662936464636439</v>
      </c>
    </row>
    <row r="240" spans="1:8" x14ac:dyDescent="0.35">
      <c r="A240" t="s">
        <v>75</v>
      </c>
      <c r="B240" t="s">
        <v>37</v>
      </c>
      <c r="C240" t="s">
        <v>38</v>
      </c>
      <c r="D240">
        <v>2011</v>
      </c>
      <c r="E240">
        <v>0.53999066387708794</v>
      </c>
      <c r="F240">
        <v>0.85331162783846093</v>
      </c>
      <c r="G240">
        <f t="shared" si="3"/>
        <v>0.31332096396137299</v>
      </c>
      <c r="H240">
        <v>0.112869766400161</v>
      </c>
    </row>
    <row r="241" spans="1:8" x14ac:dyDescent="0.35">
      <c r="A241" t="s">
        <v>75</v>
      </c>
      <c r="B241" t="s">
        <v>39</v>
      </c>
      <c r="C241" t="s">
        <v>40</v>
      </c>
      <c r="D241">
        <v>2011</v>
      </c>
      <c r="E241">
        <v>0.95974398092302238</v>
      </c>
      <c r="F241">
        <v>0.85331162783846093</v>
      </c>
      <c r="G241">
        <f t="shared" si="3"/>
        <v>-0.10643235308456145</v>
      </c>
      <c r="H241">
        <v>0.112869766400161</v>
      </c>
    </row>
    <row r="242" spans="1:8" x14ac:dyDescent="0.35">
      <c r="A242" t="s">
        <v>75</v>
      </c>
      <c r="B242" t="s">
        <v>37</v>
      </c>
      <c r="C242" t="s">
        <v>38</v>
      </c>
      <c r="D242">
        <v>2012</v>
      </c>
      <c r="E242">
        <v>5.7128352794499897E-2</v>
      </c>
      <c r="F242">
        <v>-3.2265545234223771</v>
      </c>
      <c r="G242">
        <f t="shared" si="3"/>
        <v>-3.283682876216877</v>
      </c>
      <c r="H242">
        <v>0.12475169707490461</v>
      </c>
    </row>
    <row r="243" spans="1:8" x14ac:dyDescent="0.35">
      <c r="A243" t="s">
        <v>75</v>
      </c>
      <c r="B243" t="s">
        <v>41</v>
      </c>
      <c r="C243" t="s">
        <v>38</v>
      </c>
      <c r="D243">
        <v>2012</v>
      </c>
      <c r="E243">
        <v>-2.2867991965167418</v>
      </c>
      <c r="F243">
        <v>-3.2265545234223771</v>
      </c>
      <c r="G243">
        <f t="shared" si="3"/>
        <v>-0.93975532690563535</v>
      </c>
      <c r="H243">
        <v>0.12475169707490461</v>
      </c>
    </row>
    <row r="244" spans="1:8" x14ac:dyDescent="0.35">
      <c r="A244" t="s">
        <v>75</v>
      </c>
      <c r="B244" t="s">
        <v>39</v>
      </c>
      <c r="C244" t="s">
        <v>40</v>
      </c>
      <c r="D244">
        <v>2012</v>
      </c>
      <c r="E244">
        <v>1.314970893331791</v>
      </c>
      <c r="F244">
        <v>-3.2265545234223771</v>
      </c>
      <c r="G244">
        <f t="shared" si="3"/>
        <v>-4.5415254167541681</v>
      </c>
      <c r="H244">
        <v>0.12475169707490461</v>
      </c>
    </row>
    <row r="245" spans="1:8" x14ac:dyDescent="0.35">
      <c r="A245" t="s">
        <v>75</v>
      </c>
      <c r="B245" t="s">
        <v>42</v>
      </c>
      <c r="C245" t="s">
        <v>40</v>
      </c>
      <c r="D245">
        <v>2012</v>
      </c>
      <c r="E245">
        <v>-1.4066091621440899</v>
      </c>
      <c r="F245">
        <v>-3.2265545234223771</v>
      </c>
      <c r="G245">
        <f t="shared" si="3"/>
        <v>-1.8199453612782872</v>
      </c>
      <c r="H245">
        <v>0.12475169707490461</v>
      </c>
    </row>
    <row r="246" spans="1:8" x14ac:dyDescent="0.35">
      <c r="A246" t="s">
        <v>75</v>
      </c>
      <c r="B246" t="s">
        <v>41</v>
      </c>
      <c r="C246" t="s">
        <v>38</v>
      </c>
      <c r="D246">
        <v>2013</v>
      </c>
      <c r="E246">
        <v>-0.54027205249544963</v>
      </c>
      <c r="F246">
        <v>-1.843520911707673</v>
      </c>
      <c r="G246">
        <f t="shared" si="3"/>
        <v>-1.3032488592122233</v>
      </c>
      <c r="H246">
        <v>0.13192991082085431</v>
      </c>
    </row>
    <row r="247" spans="1:8" x14ac:dyDescent="0.35">
      <c r="A247" t="s">
        <v>75</v>
      </c>
      <c r="B247" t="s">
        <v>43</v>
      </c>
      <c r="C247" t="s">
        <v>38</v>
      </c>
      <c r="D247">
        <v>2013</v>
      </c>
      <c r="E247">
        <v>-1.8298929550776939</v>
      </c>
      <c r="F247">
        <v>-1.843520911707673</v>
      </c>
      <c r="G247">
        <f t="shared" si="3"/>
        <v>-1.3627956629979066E-2</v>
      </c>
      <c r="H247">
        <v>0.13192991082085431</v>
      </c>
    </row>
    <row r="248" spans="1:8" x14ac:dyDescent="0.35">
      <c r="A248" t="s">
        <v>75</v>
      </c>
      <c r="B248" t="s">
        <v>42</v>
      </c>
      <c r="C248" t="s">
        <v>40</v>
      </c>
      <c r="D248">
        <v>2013</v>
      </c>
      <c r="E248">
        <v>0.44387559815419753</v>
      </c>
      <c r="F248">
        <v>-1.843520911707673</v>
      </c>
      <c r="G248">
        <f t="shared" si="3"/>
        <v>-2.2873965098618703</v>
      </c>
      <c r="H248">
        <v>0.13192991082085431</v>
      </c>
    </row>
    <row r="249" spans="1:8" x14ac:dyDescent="0.35">
      <c r="A249" t="s">
        <v>75</v>
      </c>
      <c r="B249" t="s">
        <v>44</v>
      </c>
      <c r="C249" t="s">
        <v>40</v>
      </c>
      <c r="D249">
        <v>2013</v>
      </c>
      <c r="E249">
        <v>-1.3409854181595351</v>
      </c>
      <c r="F249">
        <v>-1.843520911707673</v>
      </c>
      <c r="G249">
        <f t="shared" si="3"/>
        <v>-0.50253549354813787</v>
      </c>
      <c r="H249">
        <v>0.13192991082085431</v>
      </c>
    </row>
    <row r="250" spans="1:8" x14ac:dyDescent="0.35">
      <c r="A250" t="s">
        <v>75</v>
      </c>
      <c r="B250" t="s">
        <v>43</v>
      </c>
      <c r="C250" t="s">
        <v>38</v>
      </c>
      <c r="D250">
        <v>2014</v>
      </c>
      <c r="E250">
        <v>0.71082592354936303</v>
      </c>
      <c r="F250">
        <v>7.5233947391528819E-2</v>
      </c>
      <c r="G250">
        <f t="shared" si="3"/>
        <v>-0.63559197615783425</v>
      </c>
      <c r="H250">
        <v>0.14276659834860511</v>
      </c>
    </row>
    <row r="251" spans="1:8" x14ac:dyDescent="0.35">
      <c r="A251" t="s">
        <v>75</v>
      </c>
      <c r="B251" t="s">
        <v>45</v>
      </c>
      <c r="C251" t="s">
        <v>38</v>
      </c>
      <c r="D251">
        <v>2014</v>
      </c>
      <c r="E251">
        <v>-0.39461096681301377</v>
      </c>
      <c r="F251">
        <v>7.5233947391528819E-2</v>
      </c>
      <c r="G251">
        <f t="shared" si="3"/>
        <v>0.46984491420454261</v>
      </c>
      <c r="H251">
        <v>0.14276659834860511</v>
      </c>
    </row>
    <row r="252" spans="1:8" x14ac:dyDescent="0.35">
      <c r="A252" t="s">
        <v>75</v>
      </c>
      <c r="B252" t="s">
        <v>44</v>
      </c>
      <c r="C252" t="s">
        <v>40</v>
      </c>
      <c r="D252">
        <v>2014</v>
      </c>
      <c r="E252">
        <v>0.71763548551055933</v>
      </c>
      <c r="F252">
        <v>7.5233947391528819E-2</v>
      </c>
      <c r="G252">
        <f t="shared" si="3"/>
        <v>-0.64240153811903056</v>
      </c>
      <c r="H252">
        <v>0.14276659834860511</v>
      </c>
    </row>
    <row r="253" spans="1:8" x14ac:dyDescent="0.35">
      <c r="A253" t="s">
        <v>75</v>
      </c>
      <c r="B253" t="s">
        <v>46</v>
      </c>
      <c r="C253" t="s">
        <v>40</v>
      </c>
      <c r="D253">
        <v>2014</v>
      </c>
      <c r="E253">
        <v>0.57096731898795827</v>
      </c>
      <c r="F253">
        <v>7.5233947391528819E-2</v>
      </c>
      <c r="G253">
        <f t="shared" si="3"/>
        <v>-0.49573337159642944</v>
      </c>
      <c r="H253">
        <v>0.14276659834860511</v>
      </c>
    </row>
    <row r="254" spans="1:8" x14ac:dyDescent="0.35">
      <c r="A254" t="s">
        <v>75</v>
      </c>
      <c r="B254" t="s">
        <v>45</v>
      </c>
      <c r="C254" t="s">
        <v>38</v>
      </c>
      <c r="D254">
        <v>2015</v>
      </c>
      <c r="E254">
        <v>0.62872973894907425</v>
      </c>
      <c r="F254">
        <v>0.74285153390220071</v>
      </c>
      <c r="G254">
        <f t="shared" si="3"/>
        <v>0.11412179495312647</v>
      </c>
      <c r="H254">
        <v>0.14846969286853959</v>
      </c>
    </row>
    <row r="255" spans="1:8" x14ac:dyDescent="0.35">
      <c r="A255" t="s">
        <v>75</v>
      </c>
      <c r="B255" t="s">
        <v>47</v>
      </c>
      <c r="C255" t="s">
        <v>38</v>
      </c>
      <c r="D255">
        <v>2015</v>
      </c>
      <c r="E255">
        <v>0.86665350989461043</v>
      </c>
      <c r="F255">
        <v>0.74285153390220071</v>
      </c>
      <c r="G255">
        <f t="shared" si="3"/>
        <v>-0.12380197599240972</v>
      </c>
      <c r="H255">
        <v>0.14846969286853959</v>
      </c>
    </row>
    <row r="256" spans="1:8" x14ac:dyDescent="0.35">
      <c r="A256" t="s">
        <v>75</v>
      </c>
      <c r="B256" t="s">
        <v>46</v>
      </c>
      <c r="C256" t="s">
        <v>40</v>
      </c>
      <c r="D256">
        <v>2015</v>
      </c>
      <c r="E256">
        <v>1.229987574853153</v>
      </c>
      <c r="F256">
        <v>0.74285153390220071</v>
      </c>
      <c r="G256">
        <f t="shared" si="3"/>
        <v>-0.48713604095095231</v>
      </c>
      <c r="H256">
        <v>0.14846969286853959</v>
      </c>
    </row>
    <row r="257" spans="1:8" x14ac:dyDescent="0.35">
      <c r="A257" t="s">
        <v>75</v>
      </c>
      <c r="B257" t="s">
        <v>48</v>
      </c>
      <c r="C257" t="s">
        <v>40</v>
      </c>
      <c r="D257">
        <v>2015</v>
      </c>
      <c r="E257">
        <v>0.6068597463795955</v>
      </c>
      <c r="F257">
        <v>0.74285153390220071</v>
      </c>
      <c r="G257">
        <f t="shared" si="3"/>
        <v>0.13599178752260521</v>
      </c>
      <c r="H257">
        <v>0.14846969286853959</v>
      </c>
    </row>
    <row r="258" spans="1:8" x14ac:dyDescent="0.35">
      <c r="A258" t="s">
        <v>75</v>
      </c>
      <c r="B258" t="s">
        <v>47</v>
      </c>
      <c r="C258" t="s">
        <v>38</v>
      </c>
      <c r="D258">
        <v>2016</v>
      </c>
      <c r="E258">
        <v>1.4512761867371271</v>
      </c>
      <c r="F258">
        <v>1.34543552139666</v>
      </c>
      <c r="G258">
        <f t="shared" ref="G258:G321" si="4">IF(OR(F258="",E258=""),"",F258-E258)</f>
        <v>-0.1058406653404671</v>
      </c>
      <c r="H258">
        <v>0.150135604120086</v>
      </c>
    </row>
    <row r="259" spans="1:8" x14ac:dyDescent="0.35">
      <c r="A259" t="s">
        <v>75</v>
      </c>
      <c r="B259" t="s">
        <v>49</v>
      </c>
      <c r="C259" t="s">
        <v>38</v>
      </c>
      <c r="D259">
        <v>2016</v>
      </c>
      <c r="E259">
        <v>0.70784283945437565</v>
      </c>
      <c r="F259">
        <v>1.34543552139666</v>
      </c>
      <c r="G259">
        <f t="shared" si="4"/>
        <v>0.63759268194228436</v>
      </c>
      <c r="H259">
        <v>0.150135604120086</v>
      </c>
    </row>
    <row r="260" spans="1:8" x14ac:dyDescent="0.35">
      <c r="A260" t="s">
        <v>75</v>
      </c>
      <c r="B260" t="s">
        <v>48</v>
      </c>
      <c r="C260" t="s">
        <v>40</v>
      </c>
      <c r="D260">
        <v>2016</v>
      </c>
      <c r="E260">
        <v>1.4109778499366681</v>
      </c>
      <c r="F260">
        <v>1.34543552139666</v>
      </c>
      <c r="G260">
        <f t="shared" si="4"/>
        <v>-6.5542328540008077E-2</v>
      </c>
      <c r="H260">
        <v>0.150135604120086</v>
      </c>
    </row>
    <row r="261" spans="1:8" x14ac:dyDescent="0.35">
      <c r="A261" t="s">
        <v>75</v>
      </c>
      <c r="B261" t="s">
        <v>50</v>
      </c>
      <c r="C261" t="s">
        <v>40</v>
      </c>
      <c r="D261">
        <v>2016</v>
      </c>
      <c r="E261">
        <v>1.090462780977397</v>
      </c>
      <c r="F261">
        <v>1.34543552139666</v>
      </c>
      <c r="G261">
        <f t="shared" si="4"/>
        <v>0.25497274041926299</v>
      </c>
      <c r="H261">
        <v>0.150135604120086</v>
      </c>
    </row>
    <row r="262" spans="1:8" x14ac:dyDescent="0.35">
      <c r="A262" t="s">
        <v>75</v>
      </c>
      <c r="B262" t="s">
        <v>49</v>
      </c>
      <c r="C262" t="s">
        <v>38</v>
      </c>
      <c r="D262">
        <v>2017</v>
      </c>
      <c r="E262">
        <v>0.90288361690229468</v>
      </c>
      <c r="F262">
        <v>1.6777714333363121</v>
      </c>
      <c r="G262">
        <f t="shared" si="4"/>
        <v>0.77488781643401738</v>
      </c>
      <c r="H262">
        <v>0.14949041730184481</v>
      </c>
    </row>
    <row r="263" spans="1:8" x14ac:dyDescent="0.35">
      <c r="A263" t="s">
        <v>75</v>
      </c>
      <c r="B263" t="s">
        <v>51</v>
      </c>
      <c r="C263" t="s">
        <v>38</v>
      </c>
      <c r="D263">
        <v>2017</v>
      </c>
      <c r="E263">
        <v>1.454734323287576</v>
      </c>
      <c r="F263">
        <v>1.6777714333363121</v>
      </c>
      <c r="G263">
        <f t="shared" si="4"/>
        <v>0.22303711004873605</v>
      </c>
      <c r="H263">
        <v>0.14949041730184481</v>
      </c>
    </row>
    <row r="264" spans="1:8" x14ac:dyDescent="0.35">
      <c r="A264" t="s">
        <v>75</v>
      </c>
      <c r="B264" t="s">
        <v>50</v>
      </c>
      <c r="C264" t="s">
        <v>40</v>
      </c>
      <c r="D264">
        <v>2017</v>
      </c>
      <c r="E264">
        <v>1.33546021526687</v>
      </c>
      <c r="F264">
        <v>1.6777714333363121</v>
      </c>
      <c r="G264">
        <f t="shared" si="4"/>
        <v>0.34231121806944209</v>
      </c>
      <c r="H264">
        <v>0.14949041730184481</v>
      </c>
    </row>
    <row r="265" spans="1:8" x14ac:dyDescent="0.35">
      <c r="A265" t="s">
        <v>75</v>
      </c>
      <c r="B265" t="s">
        <v>52</v>
      </c>
      <c r="C265" t="s">
        <v>40</v>
      </c>
      <c r="D265">
        <v>2017</v>
      </c>
      <c r="E265">
        <v>0.92886361941262319</v>
      </c>
      <c r="F265">
        <v>1.6777714333363121</v>
      </c>
      <c r="G265">
        <f t="shared" si="4"/>
        <v>0.74890781392368888</v>
      </c>
      <c r="H265">
        <v>0.14949041730184481</v>
      </c>
    </row>
    <row r="266" spans="1:8" x14ac:dyDescent="0.35">
      <c r="A266" t="s">
        <v>75</v>
      </c>
      <c r="B266" t="s">
        <v>51</v>
      </c>
      <c r="C266" t="s">
        <v>38</v>
      </c>
      <c r="D266">
        <v>2018</v>
      </c>
      <c r="E266">
        <v>1.301033595779133</v>
      </c>
      <c r="F266">
        <v>0.67915616097696463</v>
      </c>
      <c r="G266">
        <f t="shared" si="4"/>
        <v>-0.62187743480216839</v>
      </c>
      <c r="H266">
        <v>0.1458968049432269</v>
      </c>
    </row>
    <row r="267" spans="1:8" x14ac:dyDescent="0.35">
      <c r="A267" t="s">
        <v>75</v>
      </c>
      <c r="B267" t="s">
        <v>53</v>
      </c>
      <c r="C267" t="s">
        <v>38</v>
      </c>
      <c r="D267">
        <v>2018</v>
      </c>
      <c r="E267">
        <v>1.148974792689472</v>
      </c>
      <c r="F267">
        <v>0.67915616097696463</v>
      </c>
      <c r="G267">
        <f t="shared" si="4"/>
        <v>-0.46981863171250737</v>
      </c>
      <c r="H267">
        <v>0.1458968049432269</v>
      </c>
    </row>
    <row r="268" spans="1:8" x14ac:dyDescent="0.35">
      <c r="A268" t="s">
        <v>75</v>
      </c>
      <c r="B268" t="s">
        <v>52</v>
      </c>
      <c r="C268" t="s">
        <v>40</v>
      </c>
      <c r="D268">
        <v>2018</v>
      </c>
      <c r="E268">
        <v>1.1322194305175119</v>
      </c>
      <c r="F268">
        <v>0.67915616097696463</v>
      </c>
      <c r="G268">
        <f t="shared" si="4"/>
        <v>-0.45306326954054732</v>
      </c>
      <c r="H268">
        <v>0.1458968049432269</v>
      </c>
    </row>
    <row r="269" spans="1:8" x14ac:dyDescent="0.35">
      <c r="A269" t="s">
        <v>75</v>
      </c>
      <c r="B269" t="s">
        <v>54</v>
      </c>
      <c r="C269" t="s">
        <v>40</v>
      </c>
      <c r="D269">
        <v>2018</v>
      </c>
      <c r="E269">
        <v>1.453547985332837</v>
      </c>
      <c r="F269">
        <v>0.67915616097696463</v>
      </c>
      <c r="G269">
        <f t="shared" si="4"/>
        <v>-0.77439182435587239</v>
      </c>
      <c r="H269">
        <v>0.1458968049432269</v>
      </c>
    </row>
    <row r="270" spans="1:8" x14ac:dyDescent="0.35">
      <c r="A270" t="s">
        <v>75</v>
      </c>
      <c r="B270" t="s">
        <v>53</v>
      </c>
      <c r="C270" t="s">
        <v>38</v>
      </c>
      <c r="D270">
        <v>2019</v>
      </c>
      <c r="E270">
        <v>1.1508168253350211</v>
      </c>
      <c r="F270">
        <v>0.41751152968335331</v>
      </c>
      <c r="G270">
        <f t="shared" si="4"/>
        <v>-0.73330529565166769</v>
      </c>
      <c r="H270">
        <v>0.14739048347028469</v>
      </c>
    </row>
    <row r="271" spans="1:8" x14ac:dyDescent="0.35">
      <c r="A271" t="s">
        <v>75</v>
      </c>
      <c r="B271" t="s">
        <v>55</v>
      </c>
      <c r="C271" t="s">
        <v>38</v>
      </c>
      <c r="D271">
        <v>2019</v>
      </c>
      <c r="E271">
        <v>0.1046834039854172</v>
      </c>
      <c r="F271">
        <v>0.41751152968335331</v>
      </c>
      <c r="G271">
        <f t="shared" si="4"/>
        <v>0.31282812569793611</v>
      </c>
      <c r="H271">
        <v>0.14739048347028469</v>
      </c>
    </row>
    <row r="272" spans="1:8" x14ac:dyDescent="0.35">
      <c r="A272" t="s">
        <v>75</v>
      </c>
      <c r="B272" t="s">
        <v>54</v>
      </c>
      <c r="C272" t="s">
        <v>40</v>
      </c>
      <c r="D272">
        <v>2019</v>
      </c>
      <c r="E272">
        <v>1.208894526316961</v>
      </c>
      <c r="F272">
        <v>0.41751152968335331</v>
      </c>
      <c r="G272">
        <f t="shared" si="4"/>
        <v>-0.79138299663360767</v>
      </c>
      <c r="H272">
        <v>0.14739048347028469</v>
      </c>
    </row>
    <row r="273" spans="1:8" x14ac:dyDescent="0.35">
      <c r="A273" t="s">
        <v>75</v>
      </c>
      <c r="B273" t="s">
        <v>56</v>
      </c>
      <c r="C273" t="s">
        <v>40</v>
      </c>
      <c r="D273">
        <v>2019</v>
      </c>
      <c r="E273">
        <v>0.1006276066420453</v>
      </c>
      <c r="F273">
        <v>0.41751152968335331</v>
      </c>
      <c r="G273">
        <f t="shared" si="4"/>
        <v>0.31688392304130802</v>
      </c>
      <c r="H273">
        <v>0.14739048347028469</v>
      </c>
    </row>
    <row r="274" spans="1:8" x14ac:dyDescent="0.35">
      <c r="A274" t="s">
        <v>76</v>
      </c>
      <c r="B274" t="s">
        <v>37</v>
      </c>
      <c r="C274" t="s">
        <v>38</v>
      </c>
      <c r="D274">
        <v>2011</v>
      </c>
      <c r="E274">
        <v>1.8081352289394561</v>
      </c>
      <c r="F274">
        <v>1.763265804751377</v>
      </c>
      <c r="G274">
        <f t="shared" si="4"/>
        <v>-4.4869424188079154E-2</v>
      </c>
      <c r="H274">
        <v>0.1715983572078652</v>
      </c>
    </row>
    <row r="275" spans="1:8" x14ac:dyDescent="0.35">
      <c r="A275" t="s">
        <v>76</v>
      </c>
      <c r="B275" t="s">
        <v>39</v>
      </c>
      <c r="C275" t="s">
        <v>40</v>
      </c>
      <c r="D275">
        <v>2011</v>
      </c>
      <c r="E275">
        <v>1.926005162138456</v>
      </c>
      <c r="F275">
        <v>1.763265804751377</v>
      </c>
      <c r="G275">
        <f t="shared" si="4"/>
        <v>-0.16273935738707901</v>
      </c>
      <c r="H275">
        <v>0.1715983572078652</v>
      </c>
    </row>
    <row r="276" spans="1:8" x14ac:dyDescent="0.35">
      <c r="A276" t="s">
        <v>76</v>
      </c>
      <c r="B276" t="s">
        <v>37</v>
      </c>
      <c r="C276" t="s">
        <v>38</v>
      </c>
      <c r="D276">
        <v>2012</v>
      </c>
      <c r="E276">
        <v>0.49861923570131422</v>
      </c>
      <c r="F276">
        <v>-0.98761966818776048</v>
      </c>
      <c r="G276">
        <f t="shared" si="4"/>
        <v>-1.4862389038890746</v>
      </c>
      <c r="H276">
        <v>0.18669096495815901</v>
      </c>
    </row>
    <row r="277" spans="1:8" x14ac:dyDescent="0.35">
      <c r="A277" t="s">
        <v>76</v>
      </c>
      <c r="B277" t="s">
        <v>41</v>
      </c>
      <c r="C277" t="s">
        <v>38</v>
      </c>
      <c r="D277">
        <v>2012</v>
      </c>
      <c r="E277">
        <v>-0.28000741980042099</v>
      </c>
      <c r="F277">
        <v>-0.98761966818776048</v>
      </c>
      <c r="G277">
        <f t="shared" si="4"/>
        <v>-0.70761224838733949</v>
      </c>
      <c r="H277">
        <v>0.18669096495815901</v>
      </c>
    </row>
    <row r="278" spans="1:8" x14ac:dyDescent="0.35">
      <c r="A278" t="s">
        <v>76</v>
      </c>
      <c r="B278" t="s">
        <v>39</v>
      </c>
      <c r="C278" t="s">
        <v>40</v>
      </c>
      <c r="D278">
        <v>2012</v>
      </c>
      <c r="E278">
        <v>1.661047212655653</v>
      </c>
      <c r="F278">
        <v>-0.98761966818776048</v>
      </c>
      <c r="G278">
        <f t="shared" si="4"/>
        <v>-2.6486668808434137</v>
      </c>
      <c r="H278">
        <v>0.18669096495815901</v>
      </c>
    </row>
    <row r="279" spans="1:8" x14ac:dyDescent="0.35">
      <c r="A279" t="s">
        <v>76</v>
      </c>
      <c r="B279" t="s">
        <v>42</v>
      </c>
      <c r="C279" t="s">
        <v>40</v>
      </c>
      <c r="D279">
        <v>2012</v>
      </c>
      <c r="E279">
        <v>-0.88737458554019044</v>
      </c>
      <c r="F279">
        <v>-0.98761966818776048</v>
      </c>
      <c r="G279">
        <f t="shared" si="4"/>
        <v>-0.10024508264757004</v>
      </c>
      <c r="H279">
        <v>0.18669096495815901</v>
      </c>
    </row>
    <row r="280" spans="1:8" x14ac:dyDescent="0.35">
      <c r="A280" t="s">
        <v>76</v>
      </c>
      <c r="B280" t="s">
        <v>41</v>
      </c>
      <c r="C280" t="s">
        <v>38</v>
      </c>
      <c r="D280">
        <v>2013</v>
      </c>
      <c r="E280">
        <v>0.25101306409311958</v>
      </c>
      <c r="F280">
        <v>1.2707283722487859E-2</v>
      </c>
      <c r="G280">
        <f t="shared" si="4"/>
        <v>-0.23830578037063171</v>
      </c>
      <c r="H280">
        <v>0.20925797503467411</v>
      </c>
    </row>
    <row r="281" spans="1:8" x14ac:dyDescent="0.35">
      <c r="A281" t="s">
        <v>76</v>
      </c>
      <c r="B281" t="s">
        <v>43</v>
      </c>
      <c r="C281" t="s">
        <v>38</v>
      </c>
      <c r="D281">
        <v>2013</v>
      </c>
      <c r="E281">
        <v>-0.9800045037945293</v>
      </c>
      <c r="F281">
        <v>1.2707283722487859E-2</v>
      </c>
      <c r="G281">
        <f t="shared" si="4"/>
        <v>0.99271178751701716</v>
      </c>
      <c r="H281">
        <v>0.20925797503467411</v>
      </c>
    </row>
    <row r="282" spans="1:8" x14ac:dyDescent="0.35">
      <c r="A282" t="s">
        <v>76</v>
      </c>
      <c r="B282" t="s">
        <v>42</v>
      </c>
      <c r="C282" t="s">
        <v>40</v>
      </c>
      <c r="D282">
        <v>2013</v>
      </c>
      <c r="E282">
        <v>0.70707026821927865</v>
      </c>
      <c r="F282">
        <v>1.2707283722487859E-2</v>
      </c>
      <c r="G282">
        <f t="shared" si="4"/>
        <v>-0.69436298449679079</v>
      </c>
      <c r="H282">
        <v>0.20925797503467411</v>
      </c>
    </row>
    <row r="283" spans="1:8" x14ac:dyDescent="0.35">
      <c r="A283" t="s">
        <v>76</v>
      </c>
      <c r="B283" t="s">
        <v>44</v>
      </c>
      <c r="C283" t="s">
        <v>40</v>
      </c>
      <c r="D283">
        <v>2013</v>
      </c>
      <c r="E283">
        <v>-0.79000434577850553</v>
      </c>
      <c r="F283">
        <v>1.2707283722487859E-2</v>
      </c>
      <c r="G283">
        <f t="shared" si="4"/>
        <v>0.8027116295009934</v>
      </c>
      <c r="H283">
        <v>0.20925797503467411</v>
      </c>
    </row>
    <row r="284" spans="1:8" x14ac:dyDescent="0.35">
      <c r="A284" t="s">
        <v>76</v>
      </c>
      <c r="B284" t="s">
        <v>43</v>
      </c>
      <c r="C284" t="s">
        <v>38</v>
      </c>
      <c r="D284">
        <v>2014</v>
      </c>
      <c r="E284">
        <v>0.2460103096358246</v>
      </c>
      <c r="F284">
        <v>1.6013721912486829</v>
      </c>
      <c r="G284">
        <f t="shared" si="4"/>
        <v>1.3553618816128583</v>
      </c>
      <c r="H284">
        <v>0.20401315120496219</v>
      </c>
    </row>
    <row r="285" spans="1:8" x14ac:dyDescent="0.35">
      <c r="A285" t="s">
        <v>76</v>
      </c>
      <c r="B285" t="s">
        <v>45</v>
      </c>
      <c r="C285" t="s">
        <v>38</v>
      </c>
      <c r="D285">
        <v>2014</v>
      </c>
      <c r="E285">
        <v>0.87813009513062479</v>
      </c>
      <c r="F285">
        <v>1.6013721912486829</v>
      </c>
      <c r="G285">
        <f t="shared" si="4"/>
        <v>0.72324209611805812</v>
      </c>
      <c r="H285">
        <v>0.20401315120496219</v>
      </c>
    </row>
    <row r="286" spans="1:8" x14ac:dyDescent="0.35">
      <c r="A286" t="s">
        <v>76</v>
      </c>
      <c r="B286" t="s">
        <v>44</v>
      </c>
      <c r="C286" t="s">
        <v>40</v>
      </c>
      <c r="D286">
        <v>2014</v>
      </c>
      <c r="E286">
        <v>0.89594425952546075</v>
      </c>
      <c r="F286">
        <v>1.6013721912486829</v>
      </c>
      <c r="G286">
        <f t="shared" si="4"/>
        <v>0.70542793172322216</v>
      </c>
      <c r="H286">
        <v>0.20401315120496219</v>
      </c>
    </row>
    <row r="287" spans="1:8" x14ac:dyDescent="0.35">
      <c r="A287" t="s">
        <v>76</v>
      </c>
      <c r="B287" t="s">
        <v>46</v>
      </c>
      <c r="C287" t="s">
        <v>40</v>
      </c>
      <c r="D287">
        <v>2014</v>
      </c>
      <c r="E287">
        <v>1.1634467886850299</v>
      </c>
      <c r="F287">
        <v>1.6013721912486829</v>
      </c>
      <c r="G287">
        <f t="shared" si="4"/>
        <v>0.43792540256365298</v>
      </c>
      <c r="H287">
        <v>0.20401315120496219</v>
      </c>
    </row>
    <row r="288" spans="1:8" x14ac:dyDescent="0.35">
      <c r="A288" t="s">
        <v>76</v>
      </c>
      <c r="B288" t="s">
        <v>45</v>
      </c>
      <c r="C288" t="s">
        <v>38</v>
      </c>
      <c r="D288">
        <v>2015</v>
      </c>
      <c r="E288">
        <v>1.4152411951803721</v>
      </c>
      <c r="F288">
        <v>2.075992985655045</v>
      </c>
      <c r="G288">
        <f t="shared" si="4"/>
        <v>0.66075179047467292</v>
      </c>
      <c r="H288">
        <v>0.19984521342183281</v>
      </c>
    </row>
    <row r="289" spans="1:8" x14ac:dyDescent="0.35">
      <c r="A289" t="s">
        <v>76</v>
      </c>
      <c r="B289" t="s">
        <v>47</v>
      </c>
      <c r="C289" t="s">
        <v>38</v>
      </c>
      <c r="D289">
        <v>2015</v>
      </c>
      <c r="E289">
        <v>2.048080115775686</v>
      </c>
      <c r="F289">
        <v>2.075992985655045</v>
      </c>
      <c r="G289">
        <f t="shared" si="4"/>
        <v>2.7912869879358926E-2</v>
      </c>
      <c r="H289">
        <v>0.19984521342183281</v>
      </c>
    </row>
    <row r="290" spans="1:8" x14ac:dyDescent="0.35">
      <c r="A290" t="s">
        <v>76</v>
      </c>
      <c r="B290" t="s">
        <v>46</v>
      </c>
      <c r="C290" t="s">
        <v>40</v>
      </c>
      <c r="D290">
        <v>2015</v>
      </c>
      <c r="E290">
        <v>1.3587126188379759</v>
      </c>
      <c r="F290">
        <v>2.075992985655045</v>
      </c>
      <c r="G290">
        <f t="shared" si="4"/>
        <v>0.71728036681706908</v>
      </c>
      <c r="H290">
        <v>0.19984521342183281</v>
      </c>
    </row>
    <row r="291" spans="1:8" x14ac:dyDescent="0.35">
      <c r="A291" t="s">
        <v>76</v>
      </c>
      <c r="B291" t="s">
        <v>48</v>
      </c>
      <c r="C291" t="s">
        <v>40</v>
      </c>
      <c r="D291">
        <v>2015</v>
      </c>
      <c r="E291">
        <v>1.634744403265187</v>
      </c>
      <c r="F291">
        <v>2.075992985655045</v>
      </c>
      <c r="G291">
        <f t="shared" si="4"/>
        <v>0.44124858238985798</v>
      </c>
      <c r="H291">
        <v>0.19984521342183281</v>
      </c>
    </row>
    <row r="292" spans="1:8" x14ac:dyDescent="0.35">
      <c r="A292" t="s">
        <v>76</v>
      </c>
      <c r="B292" t="s">
        <v>47</v>
      </c>
      <c r="C292" t="s">
        <v>38</v>
      </c>
      <c r="D292">
        <v>2016</v>
      </c>
      <c r="E292">
        <v>2.1325986777734669</v>
      </c>
      <c r="F292">
        <v>2.3909782656438301</v>
      </c>
      <c r="G292">
        <f t="shared" si="4"/>
        <v>0.25837958787036319</v>
      </c>
      <c r="H292">
        <v>0.19060538891127871</v>
      </c>
    </row>
    <row r="293" spans="1:8" x14ac:dyDescent="0.35">
      <c r="A293" t="s">
        <v>76</v>
      </c>
      <c r="B293" t="s">
        <v>49</v>
      </c>
      <c r="C293" t="s">
        <v>38</v>
      </c>
      <c r="D293">
        <v>2016</v>
      </c>
      <c r="E293">
        <v>1.6589744219452249</v>
      </c>
      <c r="F293">
        <v>2.3909782656438301</v>
      </c>
      <c r="G293">
        <f t="shared" si="4"/>
        <v>0.73200384369860516</v>
      </c>
      <c r="H293">
        <v>0.19060538891127871</v>
      </c>
    </row>
    <row r="294" spans="1:8" x14ac:dyDescent="0.35">
      <c r="A294" t="s">
        <v>76</v>
      </c>
      <c r="B294" t="s">
        <v>48</v>
      </c>
      <c r="C294" t="s">
        <v>40</v>
      </c>
      <c r="D294">
        <v>2016</v>
      </c>
      <c r="E294">
        <v>1.7327119888610909</v>
      </c>
      <c r="F294">
        <v>2.3909782656438301</v>
      </c>
      <c r="G294">
        <f t="shared" si="4"/>
        <v>0.65826627678273919</v>
      </c>
      <c r="H294">
        <v>0.19060538891127871</v>
      </c>
    </row>
    <row r="295" spans="1:8" x14ac:dyDescent="0.35">
      <c r="A295" t="s">
        <v>76</v>
      </c>
      <c r="B295" t="s">
        <v>50</v>
      </c>
      <c r="C295" t="s">
        <v>40</v>
      </c>
      <c r="D295">
        <v>2016</v>
      </c>
      <c r="E295">
        <v>1.6774792555238389</v>
      </c>
      <c r="F295">
        <v>2.3909782656438301</v>
      </c>
      <c r="G295">
        <f t="shared" si="4"/>
        <v>0.71349901011999117</v>
      </c>
      <c r="H295">
        <v>0.19060538891127871</v>
      </c>
    </row>
    <row r="296" spans="1:8" x14ac:dyDescent="0.35">
      <c r="A296" t="s">
        <v>76</v>
      </c>
      <c r="B296" t="s">
        <v>49</v>
      </c>
      <c r="C296" t="s">
        <v>38</v>
      </c>
      <c r="D296">
        <v>2017</v>
      </c>
      <c r="E296">
        <v>1.6517530585588249</v>
      </c>
      <c r="F296">
        <v>2.7431906089065579</v>
      </c>
      <c r="G296">
        <f t="shared" si="4"/>
        <v>1.0914375503477329</v>
      </c>
      <c r="H296">
        <v>0.18168337186651121</v>
      </c>
    </row>
    <row r="297" spans="1:8" x14ac:dyDescent="0.35">
      <c r="A297" t="s">
        <v>76</v>
      </c>
      <c r="B297" t="s">
        <v>51</v>
      </c>
      <c r="C297" t="s">
        <v>38</v>
      </c>
      <c r="D297">
        <v>2017</v>
      </c>
      <c r="E297">
        <v>3.2081591137887999</v>
      </c>
      <c r="F297">
        <v>2.7431906089065579</v>
      </c>
      <c r="G297">
        <f t="shared" si="4"/>
        <v>-0.46496850488224206</v>
      </c>
      <c r="H297">
        <v>0.18168337186651121</v>
      </c>
    </row>
    <row r="298" spans="1:8" x14ac:dyDescent="0.35">
      <c r="A298" t="s">
        <v>76</v>
      </c>
      <c r="B298" t="s">
        <v>50</v>
      </c>
      <c r="C298" t="s">
        <v>40</v>
      </c>
      <c r="D298">
        <v>2017</v>
      </c>
      <c r="E298">
        <v>1.9694041267229729</v>
      </c>
      <c r="F298">
        <v>2.7431906089065579</v>
      </c>
      <c r="G298">
        <f t="shared" si="4"/>
        <v>0.77378648218358492</v>
      </c>
      <c r="H298">
        <v>0.18168337186651121</v>
      </c>
    </row>
    <row r="299" spans="1:8" x14ac:dyDescent="0.35">
      <c r="A299" t="s">
        <v>76</v>
      </c>
      <c r="B299" t="s">
        <v>52</v>
      </c>
      <c r="C299" t="s">
        <v>40</v>
      </c>
      <c r="D299">
        <v>2017</v>
      </c>
      <c r="E299">
        <v>2.1108256212513781</v>
      </c>
      <c r="F299">
        <v>2.7431906089065579</v>
      </c>
      <c r="G299">
        <f t="shared" si="4"/>
        <v>0.63236498765517979</v>
      </c>
      <c r="H299">
        <v>0.18168337186651121</v>
      </c>
    </row>
    <row r="300" spans="1:8" x14ac:dyDescent="0.35">
      <c r="A300" t="s">
        <v>76</v>
      </c>
      <c r="B300" t="s">
        <v>51</v>
      </c>
      <c r="C300" t="s">
        <v>38</v>
      </c>
      <c r="D300">
        <v>2018</v>
      </c>
      <c r="E300">
        <v>2.719855882122268</v>
      </c>
      <c r="F300">
        <v>2.2276489335745251</v>
      </c>
      <c r="G300">
        <f t="shared" si="4"/>
        <v>-0.49220694854774294</v>
      </c>
      <c r="H300">
        <v>0.17426099357607169</v>
      </c>
    </row>
    <row r="301" spans="1:8" x14ac:dyDescent="0.35">
      <c r="A301" t="s">
        <v>76</v>
      </c>
      <c r="B301" t="s">
        <v>53</v>
      </c>
      <c r="C301" t="s">
        <v>38</v>
      </c>
      <c r="D301">
        <v>2018</v>
      </c>
      <c r="E301">
        <v>2.836804692292016</v>
      </c>
      <c r="F301">
        <v>2.2276489335745251</v>
      </c>
      <c r="G301">
        <f t="shared" si="4"/>
        <v>-0.60915575871749095</v>
      </c>
      <c r="H301">
        <v>0.17426099357607169</v>
      </c>
    </row>
    <row r="302" spans="1:8" x14ac:dyDescent="0.35">
      <c r="A302" t="s">
        <v>76</v>
      </c>
      <c r="B302" t="s">
        <v>52</v>
      </c>
      <c r="C302" t="s">
        <v>40</v>
      </c>
      <c r="D302">
        <v>2018</v>
      </c>
      <c r="E302">
        <v>1.81696463155987</v>
      </c>
      <c r="F302">
        <v>2.2276489335745251</v>
      </c>
      <c r="G302">
        <f t="shared" si="4"/>
        <v>0.41068430201465511</v>
      </c>
      <c r="H302">
        <v>0.17426099357607169</v>
      </c>
    </row>
    <row r="303" spans="1:8" x14ac:dyDescent="0.35">
      <c r="A303" t="s">
        <v>76</v>
      </c>
      <c r="B303" t="s">
        <v>54</v>
      </c>
      <c r="C303" t="s">
        <v>40</v>
      </c>
      <c r="D303">
        <v>2018</v>
      </c>
      <c r="E303">
        <v>2.9504045313044398</v>
      </c>
      <c r="F303">
        <v>2.2276489335745251</v>
      </c>
      <c r="G303">
        <f t="shared" si="4"/>
        <v>-0.72275559772991471</v>
      </c>
      <c r="H303">
        <v>0.17426099357607169</v>
      </c>
    </row>
    <row r="304" spans="1:8" x14ac:dyDescent="0.35">
      <c r="A304" t="s">
        <v>76</v>
      </c>
      <c r="B304" t="s">
        <v>53</v>
      </c>
      <c r="C304" t="s">
        <v>38</v>
      </c>
      <c r="D304">
        <v>2019</v>
      </c>
      <c r="E304">
        <v>2.3973855170303038</v>
      </c>
      <c r="F304">
        <v>2.2687921571426761</v>
      </c>
      <c r="G304">
        <f t="shared" si="4"/>
        <v>-0.12859335988762766</v>
      </c>
      <c r="H304">
        <v>0.17313412187867469</v>
      </c>
    </row>
    <row r="305" spans="1:8" x14ac:dyDescent="0.35">
      <c r="A305" t="s">
        <v>76</v>
      </c>
      <c r="B305" t="s">
        <v>55</v>
      </c>
      <c r="C305" t="s">
        <v>38</v>
      </c>
      <c r="D305">
        <v>2019</v>
      </c>
      <c r="E305">
        <v>1.699934171052897</v>
      </c>
      <c r="F305">
        <v>2.2687921571426761</v>
      </c>
      <c r="G305">
        <f t="shared" si="4"/>
        <v>0.56885798608977911</v>
      </c>
      <c r="H305">
        <v>0.17313412187867469</v>
      </c>
    </row>
    <row r="306" spans="1:8" x14ac:dyDescent="0.35">
      <c r="A306" t="s">
        <v>76</v>
      </c>
      <c r="B306" t="s">
        <v>54</v>
      </c>
      <c r="C306" t="s">
        <v>40</v>
      </c>
      <c r="D306">
        <v>2019</v>
      </c>
      <c r="E306">
        <v>2.5903398154754731</v>
      </c>
      <c r="F306">
        <v>2.2687921571426761</v>
      </c>
      <c r="G306">
        <f t="shared" si="4"/>
        <v>-0.32154765833279697</v>
      </c>
      <c r="H306">
        <v>0.17313412187867469</v>
      </c>
    </row>
    <row r="307" spans="1:8" x14ac:dyDescent="0.35">
      <c r="A307" t="s">
        <v>76</v>
      </c>
      <c r="B307" t="s">
        <v>56</v>
      </c>
      <c r="C307" t="s">
        <v>40</v>
      </c>
      <c r="D307">
        <v>2019</v>
      </c>
      <c r="E307">
        <v>1.627911133653104</v>
      </c>
      <c r="F307">
        <v>2.2687921571426761</v>
      </c>
      <c r="G307">
        <f t="shared" si="4"/>
        <v>0.6408810234895721</v>
      </c>
      <c r="H307">
        <v>0.17313412187867469</v>
      </c>
    </row>
    <row r="308" spans="1:8" x14ac:dyDescent="0.35">
      <c r="A308" t="s">
        <v>77</v>
      </c>
      <c r="B308" t="s">
        <v>37</v>
      </c>
      <c r="C308" t="s">
        <v>38</v>
      </c>
      <c r="D308">
        <v>2011</v>
      </c>
      <c r="E308">
        <v>-1.8696006757531689</v>
      </c>
      <c r="F308">
        <v>-1.7283467654708611</v>
      </c>
      <c r="G308">
        <f t="shared" si="4"/>
        <v>0.14125391028230783</v>
      </c>
      <c r="H308">
        <v>0.1324422843256379</v>
      </c>
    </row>
    <row r="309" spans="1:8" x14ac:dyDescent="0.35">
      <c r="A309" t="s">
        <v>77</v>
      </c>
      <c r="B309" t="s">
        <v>39</v>
      </c>
      <c r="C309" t="s">
        <v>40</v>
      </c>
      <c r="D309">
        <v>2011</v>
      </c>
      <c r="E309">
        <v>-2.2032240541474901</v>
      </c>
      <c r="F309">
        <v>-1.7283467654708611</v>
      </c>
      <c r="G309">
        <f t="shared" si="4"/>
        <v>0.47487728867662904</v>
      </c>
      <c r="H309">
        <v>0.1324422843256379</v>
      </c>
    </row>
    <row r="310" spans="1:8" x14ac:dyDescent="0.35">
      <c r="A310" t="s">
        <v>77</v>
      </c>
      <c r="B310" t="s">
        <v>37</v>
      </c>
      <c r="C310" t="s">
        <v>38</v>
      </c>
      <c r="D310">
        <v>2012</v>
      </c>
      <c r="E310">
        <v>-3.035670582279193</v>
      </c>
      <c r="F310">
        <v>-4.1352247921585192</v>
      </c>
      <c r="G310">
        <f t="shared" si="4"/>
        <v>-1.0995542098793263</v>
      </c>
      <c r="H310">
        <v>0.15448284624209199</v>
      </c>
    </row>
    <row r="311" spans="1:8" x14ac:dyDescent="0.35">
      <c r="A311" t="s">
        <v>77</v>
      </c>
      <c r="B311" t="s">
        <v>41</v>
      </c>
      <c r="C311" t="s">
        <v>38</v>
      </c>
      <c r="D311">
        <v>2012</v>
      </c>
      <c r="E311">
        <v>-2.9592221038484801</v>
      </c>
      <c r="F311">
        <v>-4.1352247921585192</v>
      </c>
      <c r="G311">
        <f t="shared" si="4"/>
        <v>-1.1760026883100392</v>
      </c>
      <c r="H311">
        <v>0.15448284624209199</v>
      </c>
    </row>
    <row r="312" spans="1:8" x14ac:dyDescent="0.35">
      <c r="A312" t="s">
        <v>77</v>
      </c>
      <c r="B312" t="s">
        <v>39</v>
      </c>
      <c r="C312" t="s">
        <v>40</v>
      </c>
      <c r="D312">
        <v>2012</v>
      </c>
      <c r="E312">
        <v>-1.7542339094107959</v>
      </c>
      <c r="F312">
        <v>-4.1352247921585192</v>
      </c>
      <c r="G312">
        <f t="shared" si="4"/>
        <v>-2.3809908827477235</v>
      </c>
      <c r="H312">
        <v>0.15448284624209199</v>
      </c>
    </row>
    <row r="313" spans="1:8" x14ac:dyDescent="0.35">
      <c r="A313" t="s">
        <v>77</v>
      </c>
      <c r="B313" t="s">
        <v>42</v>
      </c>
      <c r="C313" t="s">
        <v>40</v>
      </c>
      <c r="D313">
        <v>2012</v>
      </c>
      <c r="E313">
        <v>-3.2622256936120531</v>
      </c>
      <c r="F313">
        <v>-4.1352247921585192</v>
      </c>
      <c r="G313">
        <f t="shared" si="4"/>
        <v>-0.87299909854646618</v>
      </c>
      <c r="H313">
        <v>0.15448284624209199</v>
      </c>
    </row>
    <row r="314" spans="1:8" x14ac:dyDescent="0.35">
      <c r="A314" t="s">
        <v>77</v>
      </c>
      <c r="B314" t="s">
        <v>41</v>
      </c>
      <c r="C314" t="s">
        <v>38</v>
      </c>
      <c r="D314">
        <v>2013</v>
      </c>
      <c r="E314">
        <v>-0.99451273527885187</v>
      </c>
      <c r="F314">
        <v>-0.98897197690870997</v>
      </c>
      <c r="G314">
        <f t="shared" si="4"/>
        <v>5.5407583701418961E-3</v>
      </c>
      <c r="H314">
        <v>0.15875367403053001</v>
      </c>
    </row>
    <row r="315" spans="1:8" x14ac:dyDescent="0.35">
      <c r="A315" t="s">
        <v>77</v>
      </c>
      <c r="B315" t="s">
        <v>43</v>
      </c>
      <c r="C315" t="s">
        <v>38</v>
      </c>
      <c r="D315">
        <v>2013</v>
      </c>
      <c r="E315">
        <v>-1.7638843604673491</v>
      </c>
      <c r="F315">
        <v>-0.98897197690870997</v>
      </c>
      <c r="G315">
        <f t="shared" si="4"/>
        <v>0.77491238355863912</v>
      </c>
      <c r="H315">
        <v>0.15875367403053001</v>
      </c>
    </row>
    <row r="316" spans="1:8" x14ac:dyDescent="0.35">
      <c r="A316" t="s">
        <v>77</v>
      </c>
      <c r="B316" t="s">
        <v>42</v>
      </c>
      <c r="C316" t="s">
        <v>40</v>
      </c>
      <c r="D316">
        <v>2013</v>
      </c>
      <c r="E316">
        <v>0.25474465246075878</v>
      </c>
      <c r="F316">
        <v>-0.98897197690870997</v>
      </c>
      <c r="G316">
        <f t="shared" si="4"/>
        <v>-1.2437166293694688</v>
      </c>
      <c r="H316">
        <v>0.15875367403053001</v>
      </c>
    </row>
    <row r="317" spans="1:8" x14ac:dyDescent="0.35">
      <c r="A317" t="s">
        <v>77</v>
      </c>
      <c r="B317" t="s">
        <v>44</v>
      </c>
      <c r="C317" t="s">
        <v>40</v>
      </c>
      <c r="D317">
        <v>2013</v>
      </c>
      <c r="E317">
        <v>-2.3430661136081392</v>
      </c>
      <c r="F317">
        <v>-0.98897197690870997</v>
      </c>
      <c r="G317">
        <f t="shared" si="4"/>
        <v>1.3540941366994292</v>
      </c>
      <c r="H317">
        <v>0.15875367403053001</v>
      </c>
    </row>
    <row r="318" spans="1:8" x14ac:dyDescent="0.35">
      <c r="A318" t="s">
        <v>77</v>
      </c>
      <c r="B318" t="s">
        <v>43</v>
      </c>
      <c r="C318" t="s">
        <v>38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0.16205320636764509</v>
      </c>
    </row>
    <row r="319" spans="1:8" x14ac:dyDescent="0.35">
      <c r="A319" t="s">
        <v>77</v>
      </c>
      <c r="B319" t="s">
        <v>45</v>
      </c>
      <c r="C319" t="s">
        <v>38</v>
      </c>
      <c r="D319">
        <v>2014</v>
      </c>
      <c r="E319">
        <v>0.93766267530348557</v>
      </c>
      <c r="F319">
        <v>0.73862541356536338</v>
      </c>
      <c r="G319">
        <f t="shared" si="4"/>
        <v>-0.1990372617381222</v>
      </c>
      <c r="H319">
        <v>0.16205320636764509</v>
      </c>
    </row>
    <row r="320" spans="1:8" x14ac:dyDescent="0.35">
      <c r="A320" t="s">
        <v>77</v>
      </c>
      <c r="B320" t="s">
        <v>44</v>
      </c>
      <c r="C320" t="s">
        <v>40</v>
      </c>
      <c r="D320">
        <v>2014</v>
      </c>
      <c r="E320">
        <v>0.55862666597106259</v>
      </c>
      <c r="F320">
        <v>0.73862541356536338</v>
      </c>
      <c r="G320">
        <f t="shared" si="4"/>
        <v>0.17999874759430079</v>
      </c>
      <c r="H320">
        <v>0.16205320636764509</v>
      </c>
    </row>
    <row r="321" spans="1:8" x14ac:dyDescent="0.35">
      <c r="A321" t="s">
        <v>77</v>
      </c>
      <c r="B321" t="s">
        <v>46</v>
      </c>
      <c r="C321" t="s">
        <v>40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0.16205320636764509</v>
      </c>
    </row>
    <row r="322" spans="1:8" x14ac:dyDescent="0.35">
      <c r="A322" t="s">
        <v>77</v>
      </c>
      <c r="B322" t="s">
        <v>45</v>
      </c>
      <c r="C322" t="s">
        <v>38</v>
      </c>
      <c r="D322">
        <v>2015</v>
      </c>
      <c r="E322">
        <v>1.29819266835165</v>
      </c>
      <c r="F322">
        <v>1.5772755552952269</v>
      </c>
      <c r="G322">
        <f t="shared" ref="G322:G341" si="5">IF(OR(F322="",E322=""),"",F322-E322)</f>
        <v>0.27908288694357686</v>
      </c>
      <c r="H322">
        <v>0.15554637618713571</v>
      </c>
    </row>
    <row r="323" spans="1:8" x14ac:dyDescent="0.35">
      <c r="A323" t="s">
        <v>77</v>
      </c>
      <c r="B323" t="s">
        <v>47</v>
      </c>
      <c r="C323" t="s">
        <v>38</v>
      </c>
      <c r="D323">
        <v>2015</v>
      </c>
      <c r="E323">
        <v>1.741329419958926</v>
      </c>
      <c r="F323">
        <v>1.5772755552952269</v>
      </c>
      <c r="G323">
        <f t="shared" si="5"/>
        <v>-0.16405386466369909</v>
      </c>
      <c r="H323">
        <v>0.15554637618713571</v>
      </c>
    </row>
    <row r="324" spans="1:8" x14ac:dyDescent="0.35">
      <c r="A324" t="s">
        <v>77</v>
      </c>
      <c r="B324" t="s">
        <v>46</v>
      </c>
      <c r="C324" t="s">
        <v>40</v>
      </c>
      <c r="D324">
        <v>2015</v>
      </c>
      <c r="E324">
        <v>1.4931874273763861</v>
      </c>
      <c r="F324">
        <v>1.5772755552952269</v>
      </c>
      <c r="G324">
        <f t="shared" si="5"/>
        <v>8.4088127918840794E-2</v>
      </c>
      <c r="H324">
        <v>0.15554637618713571</v>
      </c>
    </row>
    <row r="325" spans="1:8" x14ac:dyDescent="0.35">
      <c r="A325" t="s">
        <v>77</v>
      </c>
      <c r="B325" t="s">
        <v>48</v>
      </c>
      <c r="C325" t="s">
        <v>40</v>
      </c>
      <c r="D325">
        <v>2015</v>
      </c>
      <c r="E325">
        <v>1.6418853965775471</v>
      </c>
      <c r="F325">
        <v>1.5772755552952269</v>
      </c>
      <c r="G325">
        <f t="shared" si="5"/>
        <v>-6.4609841282320168E-2</v>
      </c>
      <c r="H325">
        <v>0.15554637618713571</v>
      </c>
    </row>
    <row r="326" spans="1:8" x14ac:dyDescent="0.35">
      <c r="A326" t="s">
        <v>77</v>
      </c>
      <c r="B326" t="s">
        <v>47</v>
      </c>
      <c r="C326" t="s">
        <v>38</v>
      </c>
      <c r="D326">
        <v>2016</v>
      </c>
      <c r="E326">
        <v>1.659048842216615</v>
      </c>
      <c r="F326">
        <v>1.9843922204112789</v>
      </c>
      <c r="G326">
        <f t="shared" si="5"/>
        <v>0.32534337819466397</v>
      </c>
      <c r="H326">
        <v>0.14130583113852541</v>
      </c>
    </row>
    <row r="327" spans="1:8" x14ac:dyDescent="0.35">
      <c r="A327" t="s">
        <v>77</v>
      </c>
      <c r="B327" t="s">
        <v>49</v>
      </c>
      <c r="C327" t="s">
        <v>38</v>
      </c>
      <c r="D327">
        <v>2016</v>
      </c>
      <c r="E327">
        <v>0.92930181879138374</v>
      </c>
      <c r="F327">
        <v>1.9843922204112789</v>
      </c>
      <c r="G327">
        <f t="shared" si="5"/>
        <v>1.0550904016198952</v>
      </c>
      <c r="H327">
        <v>0.14130583113852541</v>
      </c>
    </row>
    <row r="328" spans="1:8" x14ac:dyDescent="0.35">
      <c r="A328" t="s">
        <v>77</v>
      </c>
      <c r="B328" t="s">
        <v>48</v>
      </c>
      <c r="C328" t="s">
        <v>40</v>
      </c>
      <c r="D328">
        <v>2016</v>
      </c>
      <c r="E328">
        <v>1.838363161189682</v>
      </c>
      <c r="F328">
        <v>1.9843922204112789</v>
      </c>
      <c r="G328">
        <f t="shared" si="5"/>
        <v>0.14602905922159692</v>
      </c>
      <c r="H328">
        <v>0.14130583113852541</v>
      </c>
    </row>
    <row r="329" spans="1:8" x14ac:dyDescent="0.35">
      <c r="A329" t="s">
        <v>77</v>
      </c>
      <c r="B329" t="s">
        <v>50</v>
      </c>
      <c r="C329" t="s">
        <v>40</v>
      </c>
      <c r="D329">
        <v>2016</v>
      </c>
      <c r="E329">
        <v>1.458222731677794</v>
      </c>
      <c r="F329">
        <v>1.9843922204112789</v>
      </c>
      <c r="G329">
        <f t="shared" si="5"/>
        <v>0.5261694887334849</v>
      </c>
      <c r="H329">
        <v>0.14130583113852541</v>
      </c>
    </row>
    <row r="330" spans="1:8" x14ac:dyDescent="0.35">
      <c r="A330" t="s">
        <v>77</v>
      </c>
      <c r="B330" t="s">
        <v>49</v>
      </c>
      <c r="C330" t="s">
        <v>38</v>
      </c>
      <c r="D330">
        <v>2017</v>
      </c>
      <c r="E330">
        <v>1.2443844685501531</v>
      </c>
      <c r="F330">
        <v>3.260896558994415</v>
      </c>
      <c r="G330">
        <f t="shared" si="5"/>
        <v>2.0165120904442619</v>
      </c>
      <c r="H330">
        <v>0.1419919770087415</v>
      </c>
    </row>
    <row r="331" spans="1:8" x14ac:dyDescent="0.35">
      <c r="A331" t="s">
        <v>77</v>
      </c>
      <c r="B331" t="s">
        <v>51</v>
      </c>
      <c r="C331" t="s">
        <v>38</v>
      </c>
      <c r="D331">
        <v>2017</v>
      </c>
      <c r="E331">
        <v>2.6293844522458749</v>
      </c>
      <c r="F331">
        <v>3.260896558994415</v>
      </c>
      <c r="G331">
        <f t="shared" si="5"/>
        <v>0.63151210674854008</v>
      </c>
      <c r="H331">
        <v>0.1419919770087415</v>
      </c>
    </row>
    <row r="332" spans="1:8" x14ac:dyDescent="0.35">
      <c r="A332" t="s">
        <v>77</v>
      </c>
      <c r="B332" t="s">
        <v>50</v>
      </c>
      <c r="C332" t="s">
        <v>40</v>
      </c>
      <c r="D332">
        <v>2017</v>
      </c>
      <c r="E332">
        <v>1.7439816750679069</v>
      </c>
      <c r="F332">
        <v>3.260896558994415</v>
      </c>
      <c r="G332">
        <f t="shared" si="5"/>
        <v>1.5169148839265081</v>
      </c>
      <c r="H332">
        <v>0.1419919770087415</v>
      </c>
    </row>
    <row r="333" spans="1:8" x14ac:dyDescent="0.35">
      <c r="A333" t="s">
        <v>77</v>
      </c>
      <c r="B333" t="s">
        <v>52</v>
      </c>
      <c r="C333" t="s">
        <v>40</v>
      </c>
      <c r="D333">
        <v>2017</v>
      </c>
      <c r="E333">
        <v>1.838683940143615</v>
      </c>
      <c r="F333">
        <v>3.260896558994415</v>
      </c>
      <c r="G333">
        <f t="shared" si="5"/>
        <v>1.4222126188508</v>
      </c>
      <c r="H333">
        <v>0.1419919770087415</v>
      </c>
    </row>
    <row r="334" spans="1:8" x14ac:dyDescent="0.35">
      <c r="A334" t="s">
        <v>77</v>
      </c>
      <c r="B334" t="s">
        <v>51</v>
      </c>
      <c r="C334" t="s">
        <v>38</v>
      </c>
      <c r="D334">
        <v>2018</v>
      </c>
      <c r="E334">
        <v>2.0625112156605669</v>
      </c>
      <c r="F334">
        <v>2.903725267458769</v>
      </c>
      <c r="G334">
        <f t="shared" si="5"/>
        <v>0.84121405179820208</v>
      </c>
      <c r="H334">
        <v>0.13948003480297469</v>
      </c>
    </row>
    <row r="335" spans="1:8" x14ac:dyDescent="0.35">
      <c r="A335" t="s">
        <v>77</v>
      </c>
      <c r="B335" t="s">
        <v>53</v>
      </c>
      <c r="C335" t="s">
        <v>38</v>
      </c>
      <c r="D335">
        <v>2018</v>
      </c>
      <c r="E335">
        <v>2.1672748154352162</v>
      </c>
      <c r="F335">
        <v>2.903725267458769</v>
      </c>
      <c r="G335">
        <f t="shared" si="5"/>
        <v>0.73645045202355286</v>
      </c>
      <c r="H335">
        <v>0.13948003480297469</v>
      </c>
    </row>
    <row r="336" spans="1:8" x14ac:dyDescent="0.35">
      <c r="A336" t="s">
        <v>77</v>
      </c>
      <c r="B336" t="s">
        <v>52</v>
      </c>
      <c r="C336" t="s">
        <v>40</v>
      </c>
      <c r="D336">
        <v>2018</v>
      </c>
      <c r="E336">
        <v>1.5677461936429939</v>
      </c>
      <c r="F336">
        <v>2.903725267458769</v>
      </c>
      <c r="G336">
        <f t="shared" si="5"/>
        <v>1.3359790738157751</v>
      </c>
      <c r="H336">
        <v>0.13948003480297469</v>
      </c>
    </row>
    <row r="337" spans="1:8" x14ac:dyDescent="0.35">
      <c r="A337" t="s">
        <v>77</v>
      </c>
      <c r="B337" t="s">
        <v>54</v>
      </c>
      <c r="C337" t="s">
        <v>40</v>
      </c>
      <c r="D337">
        <v>2018</v>
      </c>
      <c r="E337">
        <v>2.3337380052623979</v>
      </c>
      <c r="F337">
        <v>2.903725267458769</v>
      </c>
      <c r="G337">
        <f t="shared" si="5"/>
        <v>0.56998726219637108</v>
      </c>
      <c r="H337">
        <v>0.13948003480297469</v>
      </c>
    </row>
    <row r="338" spans="1:8" x14ac:dyDescent="0.35">
      <c r="A338" t="s">
        <v>77</v>
      </c>
      <c r="B338" t="s">
        <v>53</v>
      </c>
      <c r="C338" t="s">
        <v>38</v>
      </c>
      <c r="D338">
        <v>2019</v>
      </c>
      <c r="E338">
        <v>1.839454993980616</v>
      </c>
      <c r="F338">
        <v>2.7086922955372188</v>
      </c>
      <c r="G338">
        <f t="shared" si="5"/>
        <v>0.86923730155660284</v>
      </c>
      <c r="H338">
        <v>0.1380850606401679</v>
      </c>
    </row>
    <row r="339" spans="1:8" x14ac:dyDescent="0.35">
      <c r="A339" t="s">
        <v>77</v>
      </c>
      <c r="B339" t="s">
        <v>55</v>
      </c>
      <c r="C339" t="s">
        <v>38</v>
      </c>
      <c r="D339">
        <v>2019</v>
      </c>
      <c r="E339">
        <v>1.950475273387009</v>
      </c>
      <c r="F339">
        <v>2.7086922955372188</v>
      </c>
      <c r="G339">
        <f t="shared" si="5"/>
        <v>0.75821702215020981</v>
      </c>
      <c r="H339">
        <v>0.1380850606401679</v>
      </c>
    </row>
    <row r="340" spans="1:8" x14ac:dyDescent="0.35">
      <c r="A340" t="s">
        <v>77</v>
      </c>
      <c r="B340" t="s">
        <v>54</v>
      </c>
      <c r="C340" t="s">
        <v>40</v>
      </c>
      <c r="D340">
        <v>2019</v>
      </c>
      <c r="E340">
        <v>2.0372674050813671</v>
      </c>
      <c r="F340">
        <v>2.7086922955372188</v>
      </c>
      <c r="G340">
        <f t="shared" si="5"/>
        <v>0.67142489045585174</v>
      </c>
      <c r="H340">
        <v>0.1380850606401679</v>
      </c>
    </row>
    <row r="341" spans="1:8" x14ac:dyDescent="0.35">
      <c r="A341" t="s">
        <v>77</v>
      </c>
      <c r="B341" t="s">
        <v>56</v>
      </c>
      <c r="C341" t="s">
        <v>40</v>
      </c>
      <c r="D341">
        <v>2019</v>
      </c>
      <c r="E341">
        <v>1.672451894689297</v>
      </c>
      <c r="F341">
        <v>2.7086922955372188</v>
      </c>
      <c r="G341">
        <f t="shared" si="5"/>
        <v>1.0362404008479218</v>
      </c>
      <c r="H341">
        <v>0.1380850606401679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58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6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6.0810296667168041E-3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6.0810296667168041E-3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5.1501038457717457E-3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5.1501038457717457E-3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5.1501038457717457E-3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5.1501038457717457E-3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4.9104806969426009E-3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4.9104806969426009E-3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4.9104806969426009E-3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4.9104806969426009E-3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5.2414028038574598E-3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5.2414028038574598E-3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5.2414028038574598E-3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5.2414028038574598E-3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5.6174915482511594E-3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5.6174915482511594E-3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5.6174915482511594E-3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5.6174915482511594E-3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5.5009113707549639E-3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5.5009113707549639E-3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5.5009113707549639E-3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5.5009113707549639E-3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5.3416232953854264E-3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5.3416232953854264E-3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5.3416232953854264E-3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5.3416232953854264E-3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6.1210722167909584E-3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6.1210722167909584E-3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6.1210722167909584E-3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6.1210722167909584E-3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6.350496657154401E-3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6.350496657154401E-3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6.350496657154401E-3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6.350496657154401E-3</v>
      </c>
    </row>
    <row r="36" spans="1:8" x14ac:dyDescent="0.35">
      <c r="A36" t="s">
        <v>36</v>
      </c>
      <c r="B36" t="s">
        <v>55</v>
      </c>
      <c r="C36" t="s">
        <v>38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8.5662439392624936E-3</v>
      </c>
    </row>
    <row r="37" spans="1:8" x14ac:dyDescent="0.35">
      <c r="A37" t="s">
        <v>36</v>
      </c>
      <c r="B37" t="s">
        <v>57</v>
      </c>
      <c r="C37" t="s">
        <v>38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8.5662439392624936E-3</v>
      </c>
    </row>
    <row r="38" spans="1:8" x14ac:dyDescent="0.35">
      <c r="A38" t="s">
        <v>36</v>
      </c>
      <c r="B38" t="s">
        <v>56</v>
      </c>
      <c r="C38" t="s">
        <v>40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8.5662439392624936E-3</v>
      </c>
    </row>
    <row r="39" spans="1:8" x14ac:dyDescent="0.35">
      <c r="A39" t="s">
        <v>36</v>
      </c>
      <c r="B39" t="s">
        <v>58</v>
      </c>
      <c r="C39" t="s">
        <v>40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8.5662439392624936E-3</v>
      </c>
    </row>
    <row r="40" spans="1:8" x14ac:dyDescent="0.35">
      <c r="A40" t="s">
        <v>36</v>
      </c>
      <c r="B40" t="s">
        <v>57</v>
      </c>
      <c r="C40" t="s">
        <v>38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8.943056702231925E-3</v>
      </c>
    </row>
    <row r="41" spans="1:8" x14ac:dyDescent="0.35">
      <c r="A41" t="s">
        <v>36</v>
      </c>
      <c r="B41" t="s">
        <v>59</v>
      </c>
      <c r="C41" t="s">
        <v>38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8.943056702231925E-3</v>
      </c>
    </row>
    <row r="42" spans="1:8" x14ac:dyDescent="0.35">
      <c r="A42" t="s">
        <v>36</v>
      </c>
      <c r="B42" t="s">
        <v>58</v>
      </c>
      <c r="C42" t="s">
        <v>40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8.943056702231925E-3</v>
      </c>
    </row>
    <row r="43" spans="1:8" x14ac:dyDescent="0.35">
      <c r="A43" t="s">
        <v>36</v>
      </c>
      <c r="B43" t="s">
        <v>60</v>
      </c>
      <c r="C43" t="s">
        <v>40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8.943056702231925E-3</v>
      </c>
    </row>
    <row r="44" spans="1:8" x14ac:dyDescent="0.35">
      <c r="A44" t="s">
        <v>36</v>
      </c>
      <c r="B44" t="s">
        <v>59</v>
      </c>
      <c r="C44" t="s">
        <v>38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8.9996521427787666E-3</v>
      </c>
    </row>
    <row r="45" spans="1:8" x14ac:dyDescent="0.35">
      <c r="A45" t="s">
        <v>36</v>
      </c>
      <c r="B45" t="s">
        <v>61</v>
      </c>
      <c r="C45" t="s">
        <v>38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8.9996521427787666E-3</v>
      </c>
    </row>
    <row r="46" spans="1:8" x14ac:dyDescent="0.35">
      <c r="A46" t="s">
        <v>36</v>
      </c>
      <c r="B46" t="s">
        <v>60</v>
      </c>
      <c r="C46" t="s">
        <v>40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8.9996521427787666E-3</v>
      </c>
    </row>
    <row r="47" spans="1:8" x14ac:dyDescent="0.35">
      <c r="A47" t="s">
        <v>36</v>
      </c>
      <c r="B47" t="s">
        <v>62</v>
      </c>
      <c r="C47" t="s">
        <v>40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8.9996521427787666E-3</v>
      </c>
    </row>
    <row r="48" spans="1:8" x14ac:dyDescent="0.35">
      <c r="A48" t="s">
        <v>36</v>
      </c>
      <c r="B48" t="s">
        <v>61</v>
      </c>
      <c r="C48" t="s">
        <v>38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1.018602861865241E-2</v>
      </c>
    </row>
    <row r="49" spans="1:8" x14ac:dyDescent="0.35">
      <c r="A49" t="s">
        <v>36</v>
      </c>
      <c r="B49" t="s">
        <v>63</v>
      </c>
      <c r="C49" t="s">
        <v>38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1.018602861865241E-2</v>
      </c>
    </row>
    <row r="50" spans="1:8" x14ac:dyDescent="0.35">
      <c r="A50" t="s">
        <v>36</v>
      </c>
      <c r="B50" t="s">
        <v>62</v>
      </c>
      <c r="C50" t="s">
        <v>40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1.018602861865241E-2</v>
      </c>
    </row>
    <row r="51" spans="1:8" x14ac:dyDescent="0.35">
      <c r="A51" t="s">
        <v>36</v>
      </c>
      <c r="B51" t="s">
        <v>64</v>
      </c>
      <c r="C51" t="s">
        <v>40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1.018602861865241E-2</v>
      </c>
    </row>
    <row r="52" spans="1:8" x14ac:dyDescent="0.35">
      <c r="A52" t="s">
        <v>36</v>
      </c>
      <c r="B52" t="s">
        <v>63</v>
      </c>
      <c r="C52" t="s">
        <v>38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1.1274054550446029E-2</v>
      </c>
    </row>
    <row r="53" spans="1:8" x14ac:dyDescent="0.35">
      <c r="A53" t="s">
        <v>36</v>
      </c>
      <c r="B53" t="s">
        <v>65</v>
      </c>
      <c r="C53" t="s">
        <v>38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1.1274054550446029E-2</v>
      </c>
    </row>
    <row r="54" spans="1:8" x14ac:dyDescent="0.35">
      <c r="A54" t="s">
        <v>36</v>
      </c>
      <c r="B54" t="s">
        <v>64</v>
      </c>
      <c r="C54" t="s">
        <v>40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1.1274054550446029E-2</v>
      </c>
    </row>
    <row r="55" spans="1:8" x14ac:dyDescent="0.35">
      <c r="A55" t="s">
        <v>36</v>
      </c>
      <c r="B55" t="s">
        <v>66</v>
      </c>
      <c r="C55" t="s">
        <v>40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1.1274054550446029E-2</v>
      </c>
    </row>
    <row r="56" spans="1:8" x14ac:dyDescent="0.35">
      <c r="A56" t="s">
        <v>36</v>
      </c>
      <c r="B56" t="s">
        <v>65</v>
      </c>
      <c r="C56" t="s">
        <v>38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1.1274054550446029E-2</v>
      </c>
    </row>
    <row r="57" spans="1:8" x14ac:dyDescent="0.35">
      <c r="A57" t="s">
        <v>36</v>
      </c>
      <c r="B57" t="s">
        <v>71</v>
      </c>
      <c r="C57" t="s">
        <v>38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1.1274054550446029E-2</v>
      </c>
    </row>
    <row r="58" spans="1:8" x14ac:dyDescent="0.35">
      <c r="A58" t="s">
        <v>36</v>
      </c>
      <c r="B58" t="s">
        <v>66</v>
      </c>
      <c r="C58" t="s">
        <v>40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1.1274054550446029E-2</v>
      </c>
    </row>
    <row r="59" spans="1:8" x14ac:dyDescent="0.35">
      <c r="A59" t="s">
        <v>36</v>
      </c>
      <c r="B59" t="s">
        <v>72</v>
      </c>
      <c r="C59" t="s">
        <v>40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1.1274054550446029E-2</v>
      </c>
    </row>
    <row r="60" spans="1:8" x14ac:dyDescent="0.35">
      <c r="A60" t="s">
        <v>67</v>
      </c>
      <c r="B60" t="s">
        <v>37</v>
      </c>
      <c r="C60" t="s">
        <v>38</v>
      </c>
      <c r="D60">
        <v>2011</v>
      </c>
      <c r="E60">
        <v>2.1783942373023502</v>
      </c>
      <c r="F60">
        <v>1.9127519277234819</v>
      </c>
      <c r="G60">
        <f t="shared" si="0"/>
        <v>-0.26564230957886825</v>
      </c>
      <c r="H60">
        <v>1.785334474075977E-3</v>
      </c>
    </row>
    <row r="61" spans="1:8" x14ac:dyDescent="0.35">
      <c r="A61" t="s">
        <v>67</v>
      </c>
      <c r="B61" t="s">
        <v>39</v>
      </c>
      <c r="C61" t="s">
        <v>40</v>
      </c>
      <c r="D61">
        <v>2011</v>
      </c>
      <c r="E61">
        <v>2.356686907237338</v>
      </c>
      <c r="F61">
        <v>1.9127519277234819</v>
      </c>
      <c r="G61">
        <f t="shared" si="0"/>
        <v>-0.44393497951385608</v>
      </c>
      <c r="H61">
        <v>1.785334474075977E-3</v>
      </c>
    </row>
    <row r="62" spans="1:8" x14ac:dyDescent="0.35">
      <c r="A62" t="s">
        <v>67</v>
      </c>
      <c r="B62" t="s">
        <v>37</v>
      </c>
      <c r="C62" t="s">
        <v>38</v>
      </c>
      <c r="D62">
        <v>2012</v>
      </c>
      <c r="E62">
        <v>0.94750037204316406</v>
      </c>
      <c r="F62">
        <v>0.2155903836940283</v>
      </c>
      <c r="G62">
        <f t="shared" si="0"/>
        <v>-0.73190998834913579</v>
      </c>
      <c r="H62">
        <v>1.5063974111351539E-3</v>
      </c>
    </row>
    <row r="63" spans="1:8" x14ac:dyDescent="0.35">
      <c r="A63" t="s">
        <v>67</v>
      </c>
      <c r="B63" t="s">
        <v>41</v>
      </c>
      <c r="C63" t="s">
        <v>38</v>
      </c>
      <c r="D63">
        <v>2012</v>
      </c>
      <c r="E63">
        <v>-0.20103838842507879</v>
      </c>
      <c r="F63">
        <v>0.2155903836940283</v>
      </c>
      <c r="G63">
        <f t="shared" si="0"/>
        <v>0.41662877211910709</v>
      </c>
      <c r="H63">
        <v>1.5063974111351539E-3</v>
      </c>
    </row>
    <row r="64" spans="1:8" x14ac:dyDescent="0.35">
      <c r="A64" t="s">
        <v>67</v>
      </c>
      <c r="B64" t="s">
        <v>39</v>
      </c>
      <c r="C64" t="s">
        <v>40</v>
      </c>
      <c r="D64">
        <v>2012</v>
      </c>
      <c r="E64">
        <v>2.2102235249893849</v>
      </c>
      <c r="F64">
        <v>0.2155903836940283</v>
      </c>
      <c r="G64">
        <f t="shared" si="0"/>
        <v>-1.9946331412953566</v>
      </c>
      <c r="H64">
        <v>1.5063974111351539E-3</v>
      </c>
    </row>
    <row r="65" spans="1:8" x14ac:dyDescent="0.35">
      <c r="A65" t="s">
        <v>67</v>
      </c>
      <c r="B65" t="s">
        <v>42</v>
      </c>
      <c r="C65" t="s">
        <v>40</v>
      </c>
      <c r="D65">
        <v>2012</v>
      </c>
      <c r="E65">
        <v>-1.8249929426483739E-2</v>
      </c>
      <c r="F65">
        <v>0.2155903836940283</v>
      </c>
      <c r="G65">
        <f t="shared" si="0"/>
        <v>0.23384031312051204</v>
      </c>
      <c r="H65">
        <v>1.5063974111351539E-3</v>
      </c>
    </row>
    <row r="66" spans="1:8" x14ac:dyDescent="0.35">
      <c r="A66" t="s">
        <v>67</v>
      </c>
      <c r="B66" t="s">
        <v>41</v>
      </c>
      <c r="C66" t="s">
        <v>38</v>
      </c>
      <c r="D66">
        <v>2013</v>
      </c>
      <c r="E66">
        <v>0.74022419318038324</v>
      </c>
      <c r="F66">
        <v>0.30504047757239749</v>
      </c>
      <c r="G66">
        <f t="shared" ref="G66:G129" si="1">IF(OR(F66="",E66=""),"",F66-E66)</f>
        <v>-0.43518371560798574</v>
      </c>
      <c r="H66">
        <v>1.586033074688545E-3</v>
      </c>
    </row>
    <row r="67" spans="1:8" x14ac:dyDescent="0.35">
      <c r="A67" t="s">
        <v>67</v>
      </c>
      <c r="B67" t="s">
        <v>43</v>
      </c>
      <c r="C67" t="s">
        <v>38</v>
      </c>
      <c r="D67">
        <v>2013</v>
      </c>
      <c r="E67">
        <v>0.1418580624652277</v>
      </c>
      <c r="F67">
        <v>0.30504047757239749</v>
      </c>
      <c r="G67">
        <f t="shared" si="1"/>
        <v>0.1631824151071698</v>
      </c>
      <c r="H67">
        <v>1.586033074688545E-3</v>
      </c>
    </row>
    <row r="68" spans="1:8" x14ac:dyDescent="0.35">
      <c r="A68" t="s">
        <v>67</v>
      </c>
      <c r="B68" t="s">
        <v>42</v>
      </c>
      <c r="C68" t="s">
        <v>40</v>
      </c>
      <c r="D68">
        <v>2013</v>
      </c>
      <c r="E68">
        <v>1.243358392394422</v>
      </c>
      <c r="F68">
        <v>0.30504047757239749</v>
      </c>
      <c r="G68">
        <f t="shared" si="1"/>
        <v>-0.93831791482202453</v>
      </c>
      <c r="H68">
        <v>1.586033074688545E-3</v>
      </c>
    </row>
    <row r="69" spans="1:8" x14ac:dyDescent="0.35">
      <c r="A69" t="s">
        <v>67</v>
      </c>
      <c r="B69" t="s">
        <v>44</v>
      </c>
      <c r="C69" t="s">
        <v>40</v>
      </c>
      <c r="D69">
        <v>2013</v>
      </c>
      <c r="E69">
        <v>4.2242834906547337E-2</v>
      </c>
      <c r="F69">
        <v>0.30504047757239749</v>
      </c>
      <c r="G69">
        <f t="shared" si="1"/>
        <v>0.26279764266585015</v>
      </c>
      <c r="H69">
        <v>1.586033074688545E-3</v>
      </c>
    </row>
    <row r="70" spans="1:8" x14ac:dyDescent="0.35">
      <c r="A70" t="s">
        <v>67</v>
      </c>
      <c r="B70" t="s">
        <v>43</v>
      </c>
      <c r="C70" t="s">
        <v>38</v>
      </c>
      <c r="D70">
        <v>2014</v>
      </c>
      <c r="E70">
        <v>1.142047499237697</v>
      </c>
      <c r="F70">
        <v>1.750092739581359</v>
      </c>
      <c r="G70">
        <f t="shared" si="1"/>
        <v>0.60804524034366203</v>
      </c>
      <c r="H70">
        <v>1.832777504202993E-3</v>
      </c>
    </row>
    <row r="71" spans="1:8" x14ac:dyDescent="0.35">
      <c r="A71" t="s">
        <v>67</v>
      </c>
      <c r="B71" t="s">
        <v>45</v>
      </c>
      <c r="C71" t="s">
        <v>38</v>
      </c>
      <c r="D71">
        <v>2014</v>
      </c>
      <c r="E71">
        <v>0.92282985431766384</v>
      </c>
      <c r="F71">
        <v>1.750092739581359</v>
      </c>
      <c r="G71">
        <f t="shared" si="1"/>
        <v>0.82726288526369518</v>
      </c>
      <c r="H71">
        <v>1.832777504202993E-3</v>
      </c>
    </row>
    <row r="72" spans="1:8" x14ac:dyDescent="0.35">
      <c r="A72" t="s">
        <v>67</v>
      </c>
      <c r="B72" t="s">
        <v>44</v>
      </c>
      <c r="C72" t="s">
        <v>40</v>
      </c>
      <c r="D72">
        <v>2014</v>
      </c>
      <c r="E72">
        <v>1.19023811784591</v>
      </c>
      <c r="F72">
        <v>1.750092739581359</v>
      </c>
      <c r="G72">
        <f t="shared" si="1"/>
        <v>0.55985462173544898</v>
      </c>
      <c r="H72">
        <v>1.832777504202993E-3</v>
      </c>
    </row>
    <row r="73" spans="1:8" x14ac:dyDescent="0.35">
      <c r="A73" t="s">
        <v>67</v>
      </c>
      <c r="B73" t="s">
        <v>46</v>
      </c>
      <c r="C73" t="s">
        <v>40</v>
      </c>
      <c r="D73">
        <v>2014</v>
      </c>
      <c r="E73">
        <v>1.443053096414237</v>
      </c>
      <c r="F73">
        <v>1.750092739581359</v>
      </c>
      <c r="G73">
        <f t="shared" si="1"/>
        <v>0.30703964316712207</v>
      </c>
      <c r="H73">
        <v>1.832777504202993E-3</v>
      </c>
    </row>
    <row r="74" spans="1:8" x14ac:dyDescent="0.35">
      <c r="A74" t="s">
        <v>67</v>
      </c>
      <c r="B74" t="s">
        <v>45</v>
      </c>
      <c r="C74" t="s">
        <v>38</v>
      </c>
      <c r="D74">
        <v>2015</v>
      </c>
      <c r="E74">
        <v>0.86159735965183337</v>
      </c>
      <c r="F74">
        <v>1.4634410714791239</v>
      </c>
      <c r="G74">
        <f t="shared" si="1"/>
        <v>0.60184371182729057</v>
      </c>
      <c r="H74">
        <v>2.3021800043303512E-3</v>
      </c>
    </row>
    <row r="75" spans="1:8" x14ac:dyDescent="0.35">
      <c r="A75" t="s">
        <v>67</v>
      </c>
      <c r="B75" t="s">
        <v>47</v>
      </c>
      <c r="C75" t="s">
        <v>38</v>
      </c>
      <c r="D75">
        <v>2015</v>
      </c>
      <c r="E75">
        <v>1.262482967982592</v>
      </c>
      <c r="F75">
        <v>1.4634410714791239</v>
      </c>
      <c r="G75">
        <f t="shared" si="1"/>
        <v>0.20095810349653198</v>
      </c>
      <c r="H75">
        <v>2.3021800043303512E-3</v>
      </c>
    </row>
    <row r="76" spans="1:8" x14ac:dyDescent="0.35">
      <c r="A76" t="s">
        <v>67</v>
      </c>
      <c r="B76" t="s">
        <v>46</v>
      </c>
      <c r="C76" t="s">
        <v>40</v>
      </c>
      <c r="D76">
        <v>2015</v>
      </c>
      <c r="E76">
        <v>1.5593135161243941</v>
      </c>
      <c r="F76">
        <v>1.4634410714791239</v>
      </c>
      <c r="G76">
        <f t="shared" si="1"/>
        <v>-9.5872444645270116E-2</v>
      </c>
      <c r="H76">
        <v>2.3021800043303512E-3</v>
      </c>
    </row>
    <row r="77" spans="1:8" x14ac:dyDescent="0.35">
      <c r="A77" t="s">
        <v>67</v>
      </c>
      <c r="B77" t="s">
        <v>48</v>
      </c>
      <c r="C77" t="s">
        <v>40</v>
      </c>
      <c r="D77">
        <v>2015</v>
      </c>
      <c r="E77">
        <v>1.08741840250608</v>
      </c>
      <c r="F77">
        <v>1.4634410714791239</v>
      </c>
      <c r="G77">
        <f t="shared" si="1"/>
        <v>0.37602266897304393</v>
      </c>
      <c r="H77">
        <v>2.3021800043303512E-3</v>
      </c>
    </row>
    <row r="78" spans="1:8" x14ac:dyDescent="0.35">
      <c r="A78" t="s">
        <v>67</v>
      </c>
      <c r="B78" t="s">
        <v>47</v>
      </c>
      <c r="C78" t="s">
        <v>38</v>
      </c>
      <c r="D78">
        <v>2016</v>
      </c>
      <c r="E78">
        <v>1.305005005659998</v>
      </c>
      <c r="F78">
        <v>1.1863946679844091</v>
      </c>
      <c r="G78">
        <f t="shared" si="1"/>
        <v>-0.11861033767558893</v>
      </c>
      <c r="H78">
        <v>2.496557133405468E-3</v>
      </c>
    </row>
    <row r="79" spans="1:8" x14ac:dyDescent="0.35">
      <c r="A79" t="s">
        <v>67</v>
      </c>
      <c r="B79" t="s">
        <v>49</v>
      </c>
      <c r="C79" t="s">
        <v>38</v>
      </c>
      <c r="D79">
        <v>2016</v>
      </c>
      <c r="E79">
        <v>1.233699257987553</v>
      </c>
      <c r="F79">
        <v>1.1863946679844091</v>
      </c>
      <c r="G79">
        <f t="shared" si="1"/>
        <v>-4.7304590003143909E-2</v>
      </c>
      <c r="H79">
        <v>2.496557133405468E-3</v>
      </c>
    </row>
    <row r="80" spans="1:8" x14ac:dyDescent="0.35">
      <c r="A80" t="s">
        <v>67</v>
      </c>
      <c r="B80" t="s">
        <v>48</v>
      </c>
      <c r="C80" t="s">
        <v>40</v>
      </c>
      <c r="D80">
        <v>2016</v>
      </c>
      <c r="E80">
        <v>1.466822845081617</v>
      </c>
      <c r="F80">
        <v>1.1863946679844091</v>
      </c>
      <c r="G80">
        <f t="shared" si="1"/>
        <v>-0.28042817709720791</v>
      </c>
      <c r="H80">
        <v>2.496557133405468E-3</v>
      </c>
    </row>
    <row r="81" spans="1:8" x14ac:dyDescent="0.35">
      <c r="A81" t="s">
        <v>67</v>
      </c>
      <c r="B81" t="s">
        <v>50</v>
      </c>
      <c r="C81" t="s">
        <v>40</v>
      </c>
      <c r="D81">
        <v>2016</v>
      </c>
      <c r="E81">
        <v>1.197250966203911</v>
      </c>
      <c r="F81">
        <v>1.1863946679844091</v>
      </c>
      <c r="G81">
        <f t="shared" si="1"/>
        <v>-1.0856298219501959E-2</v>
      </c>
      <c r="H81">
        <v>2.496557133405468E-3</v>
      </c>
    </row>
    <row r="82" spans="1:8" x14ac:dyDescent="0.35">
      <c r="A82" t="s">
        <v>67</v>
      </c>
      <c r="B82" t="s">
        <v>49</v>
      </c>
      <c r="C82" t="s">
        <v>38</v>
      </c>
      <c r="D82">
        <v>2017</v>
      </c>
      <c r="E82">
        <v>1.3129307877172809</v>
      </c>
      <c r="F82">
        <v>1.4637105039357461</v>
      </c>
      <c r="G82">
        <f t="shared" si="1"/>
        <v>0.1507797162184652</v>
      </c>
      <c r="H82">
        <v>2.8564511679683561E-3</v>
      </c>
    </row>
    <row r="83" spans="1:8" x14ac:dyDescent="0.35">
      <c r="A83" t="s">
        <v>67</v>
      </c>
      <c r="B83" t="s">
        <v>51</v>
      </c>
      <c r="C83" t="s">
        <v>38</v>
      </c>
      <c r="D83">
        <v>2017</v>
      </c>
      <c r="E83">
        <v>1.732555567629479</v>
      </c>
      <c r="F83">
        <v>1.4637105039357461</v>
      </c>
      <c r="G83">
        <f t="shared" si="1"/>
        <v>-0.26884506369373296</v>
      </c>
      <c r="H83">
        <v>2.8564511679683561E-3</v>
      </c>
    </row>
    <row r="84" spans="1:8" x14ac:dyDescent="0.35">
      <c r="A84" t="s">
        <v>67</v>
      </c>
      <c r="B84" t="s">
        <v>50</v>
      </c>
      <c r="C84" t="s">
        <v>40</v>
      </c>
      <c r="D84">
        <v>2017</v>
      </c>
      <c r="E84">
        <v>1.566209901734994</v>
      </c>
      <c r="F84">
        <v>1.4637105039357461</v>
      </c>
      <c r="G84">
        <f t="shared" si="1"/>
        <v>-0.10249939779924788</v>
      </c>
      <c r="H84">
        <v>2.8564511679683561E-3</v>
      </c>
    </row>
    <row r="85" spans="1:8" x14ac:dyDescent="0.35">
      <c r="A85" t="s">
        <v>67</v>
      </c>
      <c r="B85" t="s">
        <v>52</v>
      </c>
      <c r="C85" t="s">
        <v>40</v>
      </c>
      <c r="D85">
        <v>2017</v>
      </c>
      <c r="E85">
        <v>1.543494370971477</v>
      </c>
      <c r="F85">
        <v>1.4637105039357461</v>
      </c>
      <c r="G85">
        <f t="shared" si="1"/>
        <v>-7.9783867035730927E-2</v>
      </c>
      <c r="H85">
        <v>2.8564511679683561E-3</v>
      </c>
    </row>
    <row r="86" spans="1:8" x14ac:dyDescent="0.35">
      <c r="A86" t="s">
        <v>67</v>
      </c>
      <c r="B86" t="s">
        <v>51</v>
      </c>
      <c r="C86" t="s">
        <v>38</v>
      </c>
      <c r="D86">
        <v>2018</v>
      </c>
      <c r="E86">
        <v>1.802338911935264</v>
      </c>
      <c r="F86">
        <v>1.8605501927054691</v>
      </c>
      <c r="G86">
        <f t="shared" si="1"/>
        <v>5.8211280770205098E-2</v>
      </c>
      <c r="H86">
        <v>1.907211497318204E-3</v>
      </c>
    </row>
    <row r="87" spans="1:8" x14ac:dyDescent="0.35">
      <c r="A87" t="s">
        <v>67</v>
      </c>
      <c r="B87" t="s">
        <v>53</v>
      </c>
      <c r="C87" t="s">
        <v>38</v>
      </c>
      <c r="D87">
        <v>2018</v>
      </c>
      <c r="E87">
        <v>1.5323838734635939</v>
      </c>
      <c r="F87">
        <v>1.8605501927054691</v>
      </c>
      <c r="G87">
        <f t="shared" si="1"/>
        <v>0.32816631924187512</v>
      </c>
      <c r="H87">
        <v>1.907211497318204E-3</v>
      </c>
    </row>
    <row r="88" spans="1:8" x14ac:dyDescent="0.35">
      <c r="A88" t="s">
        <v>67</v>
      </c>
      <c r="B88" t="s">
        <v>52</v>
      </c>
      <c r="C88" t="s">
        <v>40</v>
      </c>
      <c r="D88">
        <v>2018</v>
      </c>
      <c r="E88">
        <v>1.6830527400463651</v>
      </c>
      <c r="F88">
        <v>1.8605501927054691</v>
      </c>
      <c r="G88">
        <f t="shared" si="1"/>
        <v>0.17749745265910399</v>
      </c>
      <c r="H88">
        <v>1.907211497318204E-3</v>
      </c>
    </row>
    <row r="89" spans="1:8" x14ac:dyDescent="0.35">
      <c r="A89" t="s">
        <v>67</v>
      </c>
      <c r="B89" t="s">
        <v>54</v>
      </c>
      <c r="C89" t="s">
        <v>40</v>
      </c>
      <c r="D89">
        <v>2018</v>
      </c>
      <c r="E89">
        <v>1.8083342533319999</v>
      </c>
      <c r="F89">
        <v>1.8605501927054691</v>
      </c>
      <c r="G89">
        <f t="shared" si="1"/>
        <v>5.2215939373469133E-2</v>
      </c>
      <c r="H89">
        <v>1.907211497318204E-3</v>
      </c>
    </row>
    <row r="90" spans="1:8" x14ac:dyDescent="0.35">
      <c r="A90" t="s">
        <v>67</v>
      </c>
      <c r="B90" t="s">
        <v>53</v>
      </c>
      <c r="C90" t="s">
        <v>38</v>
      </c>
      <c r="D90">
        <v>2019</v>
      </c>
      <c r="E90">
        <v>1.5152383923937141</v>
      </c>
      <c r="F90">
        <v>2.4135230125478802</v>
      </c>
      <c r="G90">
        <f t="shared" si="1"/>
        <v>0.8982846201541661</v>
      </c>
      <c r="H90">
        <v>1.483770068217442E-3</v>
      </c>
    </row>
    <row r="91" spans="1:8" x14ac:dyDescent="0.35">
      <c r="A91" t="s">
        <v>67</v>
      </c>
      <c r="B91" t="s">
        <v>55</v>
      </c>
      <c r="C91" t="s">
        <v>38</v>
      </c>
      <c r="D91">
        <v>2019</v>
      </c>
      <c r="E91">
        <v>1.136502566631536</v>
      </c>
      <c r="F91">
        <v>2.4135230125478802</v>
      </c>
      <c r="G91">
        <f t="shared" si="1"/>
        <v>1.2770204459163441</v>
      </c>
      <c r="H91">
        <v>1.483770068217442E-3</v>
      </c>
    </row>
    <row r="92" spans="1:8" x14ac:dyDescent="0.35">
      <c r="A92" t="s">
        <v>67</v>
      </c>
      <c r="B92" t="s">
        <v>54</v>
      </c>
      <c r="C92" t="s">
        <v>40</v>
      </c>
      <c r="D92">
        <v>2019</v>
      </c>
      <c r="E92">
        <v>1.7329380565713759</v>
      </c>
      <c r="F92">
        <v>2.4135230125478802</v>
      </c>
      <c r="G92">
        <f t="shared" si="1"/>
        <v>0.68058495597650426</v>
      </c>
      <c r="H92">
        <v>1.483770068217442E-3</v>
      </c>
    </row>
    <row r="93" spans="1:8" x14ac:dyDescent="0.35">
      <c r="A93" t="s">
        <v>67</v>
      </c>
      <c r="B93" t="s">
        <v>56</v>
      </c>
      <c r="C93" t="s">
        <v>40</v>
      </c>
      <c r="D93">
        <v>2019</v>
      </c>
      <c r="E93">
        <v>1.2263795589823929</v>
      </c>
      <c r="F93">
        <v>2.4135230125478802</v>
      </c>
      <c r="G93">
        <f t="shared" si="1"/>
        <v>1.1871434535654872</v>
      </c>
      <c r="H93">
        <v>1.483770068217442E-3</v>
      </c>
    </row>
    <row r="94" spans="1:8" x14ac:dyDescent="0.35">
      <c r="A94" t="s">
        <v>67</v>
      </c>
      <c r="B94" t="s">
        <v>55</v>
      </c>
      <c r="C94" t="s">
        <v>38</v>
      </c>
      <c r="D94">
        <v>2020</v>
      </c>
      <c r="E94">
        <v>0.96034482213216421</v>
      </c>
      <c r="F94">
        <v>-4.9116764965584894</v>
      </c>
      <c r="G94">
        <f t="shared" si="1"/>
        <v>-5.8720213186906536</v>
      </c>
      <c r="H94">
        <v>1.2802209101079819E-3</v>
      </c>
    </row>
    <row r="95" spans="1:8" x14ac:dyDescent="0.35">
      <c r="A95" t="s">
        <v>67</v>
      </c>
      <c r="B95" t="s">
        <v>57</v>
      </c>
      <c r="C95" t="s">
        <v>38</v>
      </c>
      <c r="D95">
        <v>2020</v>
      </c>
      <c r="E95">
        <v>-8.420158667688538</v>
      </c>
      <c r="F95">
        <v>-4.9116764965584894</v>
      </c>
      <c r="G95">
        <f t="shared" si="1"/>
        <v>3.5084821711300487</v>
      </c>
      <c r="H95">
        <v>1.2802209101079819E-3</v>
      </c>
    </row>
    <row r="96" spans="1:8" x14ac:dyDescent="0.35">
      <c r="A96" t="s">
        <v>67</v>
      </c>
      <c r="B96" t="s">
        <v>56</v>
      </c>
      <c r="C96" t="s">
        <v>40</v>
      </c>
      <c r="D96">
        <v>2020</v>
      </c>
      <c r="E96">
        <v>1.199077085455502</v>
      </c>
      <c r="F96">
        <v>-4.9116764965584894</v>
      </c>
      <c r="G96">
        <f t="shared" si="1"/>
        <v>-6.1107535820139915</v>
      </c>
      <c r="H96">
        <v>1.2802209101079819E-3</v>
      </c>
    </row>
    <row r="97" spans="1:8" x14ac:dyDescent="0.35">
      <c r="A97" t="s">
        <v>67</v>
      </c>
      <c r="B97" t="s">
        <v>58</v>
      </c>
      <c r="C97" t="s">
        <v>40</v>
      </c>
      <c r="D97">
        <v>2020</v>
      </c>
      <c r="E97">
        <v>-7.1575995247655024</v>
      </c>
      <c r="F97">
        <v>-4.9116764965584894</v>
      </c>
      <c r="G97">
        <f t="shared" si="1"/>
        <v>2.2459230282070131</v>
      </c>
      <c r="H97">
        <v>1.2802209101079819E-3</v>
      </c>
    </row>
    <row r="98" spans="1:8" x14ac:dyDescent="0.35">
      <c r="A98" t="s">
        <v>67</v>
      </c>
      <c r="B98" t="s">
        <v>57</v>
      </c>
      <c r="C98" t="s">
        <v>38</v>
      </c>
      <c r="D98">
        <v>2021</v>
      </c>
      <c r="E98">
        <v>4.1239049795648741</v>
      </c>
      <c r="F98">
        <v>6.0667175798443678</v>
      </c>
      <c r="G98">
        <f t="shared" si="1"/>
        <v>1.9428126002794937</v>
      </c>
      <c r="H98">
        <v>1.1517525996332381E-3</v>
      </c>
    </row>
    <row r="99" spans="1:8" x14ac:dyDescent="0.35">
      <c r="A99" t="s">
        <v>67</v>
      </c>
      <c r="B99" t="s">
        <v>59</v>
      </c>
      <c r="C99" t="s">
        <v>38</v>
      </c>
      <c r="D99">
        <v>2021</v>
      </c>
      <c r="E99">
        <v>5.9836029339416452</v>
      </c>
      <c r="F99">
        <v>6.0667175798443678</v>
      </c>
      <c r="G99">
        <f t="shared" si="1"/>
        <v>8.311464590272255E-2</v>
      </c>
      <c r="H99">
        <v>1.1517525996332381E-3</v>
      </c>
    </row>
    <row r="100" spans="1:8" x14ac:dyDescent="0.35">
      <c r="A100" t="s">
        <v>67</v>
      </c>
      <c r="B100" t="s">
        <v>58</v>
      </c>
      <c r="C100" t="s">
        <v>40</v>
      </c>
      <c r="D100">
        <v>2021</v>
      </c>
      <c r="E100">
        <v>6.6899129841448302</v>
      </c>
      <c r="F100">
        <v>6.0667175798443678</v>
      </c>
      <c r="G100">
        <f t="shared" si="1"/>
        <v>-0.62319540430046239</v>
      </c>
      <c r="H100">
        <v>1.1517525996332381E-3</v>
      </c>
    </row>
    <row r="101" spans="1:8" x14ac:dyDescent="0.35">
      <c r="A101" t="s">
        <v>67</v>
      </c>
      <c r="B101" t="s">
        <v>60</v>
      </c>
      <c r="C101" t="s">
        <v>40</v>
      </c>
      <c r="D101">
        <v>2021</v>
      </c>
      <c r="E101">
        <v>4.5423071463688514</v>
      </c>
      <c r="F101">
        <v>6.0667175798443678</v>
      </c>
      <c r="G101">
        <f t="shared" si="1"/>
        <v>1.5244104334755164</v>
      </c>
      <c r="H101">
        <v>1.1517525996332381E-3</v>
      </c>
    </row>
    <row r="102" spans="1:8" x14ac:dyDescent="0.35">
      <c r="A102" t="s">
        <v>67</v>
      </c>
      <c r="B102" t="s">
        <v>59</v>
      </c>
      <c r="C102" t="s">
        <v>38</v>
      </c>
      <c r="D102">
        <v>2022</v>
      </c>
      <c r="E102">
        <v>2.6471364529380592</v>
      </c>
      <c r="F102">
        <v>3.945716681463399</v>
      </c>
      <c r="G102">
        <f t="shared" si="1"/>
        <v>1.2985802285253398</v>
      </c>
      <c r="H102">
        <v>1.014469878411819E-3</v>
      </c>
    </row>
    <row r="103" spans="1:8" x14ac:dyDescent="0.35">
      <c r="A103" t="s">
        <v>67</v>
      </c>
      <c r="B103" t="s">
        <v>61</v>
      </c>
      <c r="C103" t="s">
        <v>38</v>
      </c>
      <c r="D103">
        <v>2022</v>
      </c>
      <c r="E103">
        <v>2.8171147512312089</v>
      </c>
      <c r="F103">
        <v>3.945716681463399</v>
      </c>
      <c r="G103">
        <f t="shared" si="1"/>
        <v>1.1286019302321901</v>
      </c>
      <c r="H103">
        <v>1.014469878411819E-3</v>
      </c>
    </row>
    <row r="104" spans="1:8" x14ac:dyDescent="0.35">
      <c r="A104" t="s">
        <v>67</v>
      </c>
      <c r="B104" t="s">
        <v>60</v>
      </c>
      <c r="C104" t="s">
        <v>40</v>
      </c>
      <c r="D104">
        <v>2022</v>
      </c>
      <c r="E104">
        <v>3.671117125209777</v>
      </c>
      <c r="F104">
        <v>3.945716681463399</v>
      </c>
      <c r="G104">
        <f t="shared" si="1"/>
        <v>0.27459955625362209</v>
      </c>
      <c r="H104">
        <v>1.014469878411819E-3</v>
      </c>
    </row>
    <row r="105" spans="1:8" x14ac:dyDescent="0.35">
      <c r="A105" t="s">
        <v>67</v>
      </c>
      <c r="B105" t="s">
        <v>62</v>
      </c>
      <c r="C105" t="s">
        <v>40</v>
      </c>
      <c r="D105">
        <v>2022</v>
      </c>
      <c r="E105">
        <v>2.0165795618690252</v>
      </c>
      <c r="F105">
        <v>3.945716681463399</v>
      </c>
      <c r="G105">
        <f t="shared" si="1"/>
        <v>1.9291371195943738</v>
      </c>
      <c r="H105">
        <v>1.014469878411819E-3</v>
      </c>
    </row>
    <row r="106" spans="1:8" x14ac:dyDescent="0.35">
      <c r="A106" t="s">
        <v>67</v>
      </c>
      <c r="B106" t="s">
        <v>61</v>
      </c>
      <c r="C106" t="s">
        <v>38</v>
      </c>
      <c r="D106">
        <v>2023</v>
      </c>
      <c r="E106">
        <v>0.1608186912456899</v>
      </c>
      <c r="F106">
        <v>1.5491827810755261</v>
      </c>
      <c r="G106">
        <f t="shared" si="1"/>
        <v>1.3883640898298362</v>
      </c>
      <c r="H106">
        <v>1.324636913672042E-3</v>
      </c>
    </row>
    <row r="107" spans="1:8" x14ac:dyDescent="0.35">
      <c r="A107" t="s">
        <v>67</v>
      </c>
      <c r="B107" t="s">
        <v>63</v>
      </c>
      <c r="C107" t="s">
        <v>38</v>
      </c>
      <c r="D107">
        <v>2023</v>
      </c>
      <c r="E107">
        <v>1.44096095579862</v>
      </c>
      <c r="F107">
        <v>1.5491827810755261</v>
      </c>
      <c r="G107">
        <f t="shared" si="1"/>
        <v>0.10822182527690605</v>
      </c>
      <c r="H107">
        <v>1.324636913672042E-3</v>
      </c>
    </row>
    <row r="108" spans="1:8" x14ac:dyDescent="0.35">
      <c r="A108" t="s">
        <v>67</v>
      </c>
      <c r="B108" t="s">
        <v>62</v>
      </c>
      <c r="C108" t="s">
        <v>40</v>
      </c>
      <c r="D108">
        <v>2023</v>
      </c>
      <c r="E108">
        <v>1.7766240808305469</v>
      </c>
      <c r="F108">
        <v>1.5491827810755261</v>
      </c>
      <c r="G108">
        <f t="shared" si="1"/>
        <v>-0.22744129975502081</v>
      </c>
      <c r="H108">
        <v>1.324636913672042E-3</v>
      </c>
    </row>
    <row r="109" spans="1:8" x14ac:dyDescent="0.35">
      <c r="A109" t="s">
        <v>67</v>
      </c>
      <c r="B109" t="s">
        <v>64</v>
      </c>
      <c r="C109" t="s">
        <v>40</v>
      </c>
      <c r="D109">
        <v>2023</v>
      </c>
      <c r="E109">
        <v>1.2330728065618859</v>
      </c>
      <c r="F109">
        <v>1.5491827810755261</v>
      </c>
      <c r="G109">
        <f t="shared" si="1"/>
        <v>0.3161099745136402</v>
      </c>
      <c r="H109">
        <v>1.324636913672042E-3</v>
      </c>
    </row>
    <row r="110" spans="1:8" x14ac:dyDescent="0.35">
      <c r="A110" t="s">
        <v>67</v>
      </c>
      <c r="B110" t="s">
        <v>63</v>
      </c>
      <c r="C110" t="s">
        <v>38</v>
      </c>
      <c r="D110">
        <v>2024</v>
      </c>
      <c r="E110">
        <v>1.366814397179428</v>
      </c>
      <c r="F110">
        <v>1.0917584184985489</v>
      </c>
      <c r="G110">
        <f t="shared" si="1"/>
        <v>-0.27505597868087905</v>
      </c>
      <c r="H110">
        <v>1.372182399148419E-3</v>
      </c>
    </row>
    <row r="111" spans="1:8" x14ac:dyDescent="0.35">
      <c r="A111" t="s">
        <v>67</v>
      </c>
      <c r="B111" t="s">
        <v>65</v>
      </c>
      <c r="C111" t="s">
        <v>38</v>
      </c>
      <c r="D111">
        <v>2024</v>
      </c>
      <c r="E111">
        <v>1.144309940913812</v>
      </c>
      <c r="F111">
        <v>1.0917584184985489</v>
      </c>
      <c r="G111">
        <f t="shared" si="1"/>
        <v>-5.2551522415263063E-2</v>
      </c>
      <c r="H111">
        <v>1.372182399148419E-3</v>
      </c>
    </row>
    <row r="112" spans="1:8" x14ac:dyDescent="0.35">
      <c r="A112" t="s">
        <v>67</v>
      </c>
      <c r="B112" t="s">
        <v>64</v>
      </c>
      <c r="C112" t="s">
        <v>40</v>
      </c>
      <c r="D112">
        <v>2024</v>
      </c>
      <c r="E112">
        <v>1.3611844962323929</v>
      </c>
      <c r="F112">
        <v>1.0917584184985489</v>
      </c>
      <c r="G112">
        <f t="shared" si="1"/>
        <v>-0.26942607773384397</v>
      </c>
      <c r="H112">
        <v>1.372182399148419E-3</v>
      </c>
    </row>
    <row r="113" spans="1:8" x14ac:dyDescent="0.35">
      <c r="A113" t="s">
        <v>67</v>
      </c>
      <c r="B113" t="s">
        <v>66</v>
      </c>
      <c r="C113" t="s">
        <v>40</v>
      </c>
      <c r="D113">
        <v>2024</v>
      </c>
      <c r="E113">
        <v>1.2741731353000501</v>
      </c>
      <c r="F113">
        <v>1.0917584184985489</v>
      </c>
      <c r="G113">
        <f t="shared" si="1"/>
        <v>-0.18241471680150112</v>
      </c>
      <c r="H113">
        <v>1.372182399148419E-3</v>
      </c>
    </row>
    <row r="114" spans="1:8" x14ac:dyDescent="0.35">
      <c r="A114" t="s">
        <v>67</v>
      </c>
      <c r="B114" t="s">
        <v>65</v>
      </c>
      <c r="C114" t="s">
        <v>38</v>
      </c>
      <c r="D114">
        <v>2025</v>
      </c>
      <c r="E114">
        <v>1.2445832169132749</v>
      </c>
      <c r="F114">
        <v>0.97833513074895262</v>
      </c>
      <c r="G114">
        <f t="shared" si="1"/>
        <v>-0.26624808616432227</v>
      </c>
      <c r="H114">
        <v>1.372182399148419E-3</v>
      </c>
    </row>
    <row r="115" spans="1:8" x14ac:dyDescent="0.35">
      <c r="A115" t="s">
        <v>67</v>
      </c>
      <c r="B115" t="s">
        <v>71</v>
      </c>
      <c r="C115" t="s">
        <v>38</v>
      </c>
      <c r="D115">
        <v>2025</v>
      </c>
      <c r="E115">
        <v>0.99784735760106713</v>
      </c>
      <c r="F115">
        <v>0.97833513074895262</v>
      </c>
      <c r="G115">
        <f t="shared" si="1"/>
        <v>-1.9512226852114511E-2</v>
      </c>
      <c r="H115">
        <v>1.372182399148419E-3</v>
      </c>
    </row>
    <row r="116" spans="1:8" x14ac:dyDescent="0.35">
      <c r="A116" t="s">
        <v>67</v>
      </c>
      <c r="B116" t="s">
        <v>66</v>
      </c>
      <c r="C116" t="s">
        <v>40</v>
      </c>
      <c r="D116">
        <v>2025</v>
      </c>
      <c r="E116">
        <v>1.3772936758912999</v>
      </c>
      <c r="F116">
        <v>0.97833513074895262</v>
      </c>
      <c r="G116">
        <f t="shared" si="1"/>
        <v>-0.3989585451423473</v>
      </c>
      <c r="H116">
        <v>1.372182399148419E-3</v>
      </c>
    </row>
    <row r="117" spans="1:8" x14ac:dyDescent="0.35">
      <c r="A117" t="s">
        <v>67</v>
      </c>
      <c r="B117" t="s">
        <v>72</v>
      </c>
      <c r="C117" t="s">
        <v>40</v>
      </c>
      <c r="D117">
        <v>2025</v>
      </c>
      <c r="E117">
        <v>0.76893815941332377</v>
      </c>
      <c r="F117">
        <v>0.97833513074895262</v>
      </c>
      <c r="G117">
        <f t="shared" si="1"/>
        <v>0.20939697133562885</v>
      </c>
      <c r="H117">
        <v>1.372182399148419E-3</v>
      </c>
    </row>
    <row r="118" spans="1:8" x14ac:dyDescent="0.35">
      <c r="A118" t="s">
        <v>68</v>
      </c>
      <c r="B118" t="s">
        <v>37</v>
      </c>
      <c r="C118" t="s">
        <v>38</v>
      </c>
      <c r="D118">
        <v>2011</v>
      </c>
      <c r="E118">
        <v>2.871708621036118</v>
      </c>
      <c r="F118">
        <v>3.7711034609926739</v>
      </c>
      <c r="G118">
        <f t="shared" si="1"/>
        <v>0.89939483995655589</v>
      </c>
      <c r="H118">
        <v>6.6895895733449784E-3</v>
      </c>
    </row>
    <row r="119" spans="1:8" x14ac:dyDescent="0.35">
      <c r="A119" t="s">
        <v>68</v>
      </c>
      <c r="B119" t="s">
        <v>39</v>
      </c>
      <c r="C119" t="s">
        <v>40</v>
      </c>
      <c r="D119">
        <v>2011</v>
      </c>
      <c r="E119">
        <v>2.5902474284125621</v>
      </c>
      <c r="F119">
        <v>3.7711034609926739</v>
      </c>
      <c r="G119">
        <f t="shared" si="1"/>
        <v>1.1808560325801118</v>
      </c>
      <c r="H119">
        <v>6.6895895733449784E-3</v>
      </c>
    </row>
    <row r="120" spans="1:8" x14ac:dyDescent="0.35">
      <c r="A120" t="s">
        <v>68</v>
      </c>
      <c r="B120" t="s">
        <v>37</v>
      </c>
      <c r="C120" t="s">
        <v>38</v>
      </c>
      <c r="D120">
        <v>2012</v>
      </c>
      <c r="E120">
        <v>0.75853952005673353</v>
      </c>
      <c r="F120">
        <v>0.70451026571915831</v>
      </c>
      <c r="G120">
        <f t="shared" si="1"/>
        <v>-5.4029254337575217E-2</v>
      </c>
      <c r="H120">
        <v>4.8249554887439478E-3</v>
      </c>
    </row>
    <row r="121" spans="1:8" x14ac:dyDescent="0.35">
      <c r="A121" t="s">
        <v>68</v>
      </c>
      <c r="B121" t="s">
        <v>41</v>
      </c>
      <c r="C121" t="s">
        <v>38</v>
      </c>
      <c r="D121">
        <v>2012</v>
      </c>
      <c r="E121">
        <v>0.8314871930005685</v>
      </c>
      <c r="F121">
        <v>0.70451026571915831</v>
      </c>
      <c r="G121">
        <f t="shared" si="1"/>
        <v>-0.12697692728141019</v>
      </c>
      <c r="H121">
        <v>4.8249554887439478E-3</v>
      </c>
    </row>
    <row r="122" spans="1:8" x14ac:dyDescent="0.35">
      <c r="A122" t="s">
        <v>68</v>
      </c>
      <c r="B122" t="s">
        <v>39</v>
      </c>
      <c r="C122" t="s">
        <v>40</v>
      </c>
      <c r="D122">
        <v>2012</v>
      </c>
      <c r="E122">
        <v>1.947486880825489</v>
      </c>
      <c r="F122">
        <v>0.70451026571915831</v>
      </c>
      <c r="G122">
        <f t="shared" si="1"/>
        <v>-1.2429766151063308</v>
      </c>
      <c r="H122">
        <v>4.8249554887439478E-3</v>
      </c>
    </row>
    <row r="123" spans="1:8" x14ac:dyDescent="0.35">
      <c r="A123" t="s">
        <v>68</v>
      </c>
      <c r="B123" t="s">
        <v>42</v>
      </c>
      <c r="C123" t="s">
        <v>40</v>
      </c>
      <c r="D123">
        <v>2012</v>
      </c>
      <c r="E123">
        <v>0.68323358153099534</v>
      </c>
      <c r="F123">
        <v>0.70451026571915831</v>
      </c>
      <c r="G123">
        <f t="shared" si="1"/>
        <v>2.1276684188162975E-2</v>
      </c>
      <c r="H123">
        <v>4.8249554887439478E-3</v>
      </c>
    </row>
    <row r="124" spans="1:8" x14ac:dyDescent="0.35">
      <c r="A124" t="s">
        <v>68</v>
      </c>
      <c r="B124" t="s">
        <v>41</v>
      </c>
      <c r="C124" t="s">
        <v>38</v>
      </c>
      <c r="D124">
        <v>2013</v>
      </c>
      <c r="E124">
        <v>0.83761648451896598</v>
      </c>
      <c r="F124">
        <v>0.57080505068838228</v>
      </c>
      <c r="G124">
        <f t="shared" si="1"/>
        <v>-0.2668114338305837</v>
      </c>
      <c r="H124">
        <v>4.7224478417125654E-3</v>
      </c>
    </row>
    <row r="125" spans="1:8" x14ac:dyDescent="0.35">
      <c r="A125" t="s">
        <v>68</v>
      </c>
      <c r="B125" t="s">
        <v>43</v>
      </c>
      <c r="C125" t="s">
        <v>38</v>
      </c>
      <c r="D125">
        <v>2013</v>
      </c>
      <c r="E125">
        <v>0.46473090150995772</v>
      </c>
      <c r="F125">
        <v>0.57080505068838228</v>
      </c>
      <c r="G125">
        <f t="shared" si="1"/>
        <v>0.10607414917842456</v>
      </c>
      <c r="H125">
        <v>4.7224478417125654E-3</v>
      </c>
    </row>
    <row r="126" spans="1:8" x14ac:dyDescent="0.35">
      <c r="A126" t="s">
        <v>68</v>
      </c>
      <c r="B126" t="s">
        <v>42</v>
      </c>
      <c r="C126" t="s">
        <v>40</v>
      </c>
      <c r="D126">
        <v>2013</v>
      </c>
      <c r="E126">
        <v>1.6744076981229929</v>
      </c>
      <c r="F126">
        <v>0.57080505068838228</v>
      </c>
      <c r="G126">
        <f t="shared" si="1"/>
        <v>-1.1036026474346108</v>
      </c>
      <c r="H126">
        <v>4.7224478417125654E-3</v>
      </c>
    </row>
    <row r="127" spans="1:8" x14ac:dyDescent="0.35">
      <c r="A127" t="s">
        <v>68</v>
      </c>
      <c r="B127" t="s">
        <v>44</v>
      </c>
      <c r="C127" t="s">
        <v>40</v>
      </c>
      <c r="D127">
        <v>2013</v>
      </c>
      <c r="E127">
        <v>0.37981982770534112</v>
      </c>
      <c r="F127">
        <v>0.57080505068838228</v>
      </c>
      <c r="G127">
        <f t="shared" si="1"/>
        <v>0.19098522298304116</v>
      </c>
      <c r="H127">
        <v>4.7224478417125654E-3</v>
      </c>
    </row>
    <row r="128" spans="1:8" x14ac:dyDescent="0.35">
      <c r="A128" t="s">
        <v>68</v>
      </c>
      <c r="B128" t="s">
        <v>43</v>
      </c>
      <c r="C128" t="s">
        <v>38</v>
      </c>
      <c r="D128">
        <v>2014</v>
      </c>
      <c r="E128">
        <v>1.702614326444496</v>
      </c>
      <c r="F128">
        <v>2.2065294370805351</v>
      </c>
      <c r="G128">
        <f t="shared" si="1"/>
        <v>0.50391511063603911</v>
      </c>
      <c r="H128">
        <v>5.3357040941452126E-3</v>
      </c>
    </row>
    <row r="129" spans="1:8" x14ac:dyDescent="0.35">
      <c r="A129" t="s">
        <v>68</v>
      </c>
      <c r="B129" t="s">
        <v>45</v>
      </c>
      <c r="C129" t="s">
        <v>38</v>
      </c>
      <c r="D129">
        <v>2014</v>
      </c>
      <c r="E129">
        <v>1.267570285804642</v>
      </c>
      <c r="F129">
        <v>2.2065294370805351</v>
      </c>
      <c r="G129">
        <f t="shared" si="1"/>
        <v>0.93895915127589302</v>
      </c>
      <c r="H129">
        <v>5.3357040941452126E-3</v>
      </c>
    </row>
    <row r="130" spans="1:8" x14ac:dyDescent="0.35">
      <c r="A130" t="s">
        <v>68</v>
      </c>
      <c r="B130" t="s">
        <v>44</v>
      </c>
      <c r="C130" t="s">
        <v>40</v>
      </c>
      <c r="D130">
        <v>2014</v>
      </c>
      <c r="E130">
        <v>1.821630101383787</v>
      </c>
      <c r="F130">
        <v>2.2065294370805351</v>
      </c>
      <c r="G130">
        <f t="shared" ref="G130:G193" si="2">IF(OR(F130="",E130=""),"",F130-E130)</f>
        <v>0.38489933569674806</v>
      </c>
      <c r="H130">
        <v>5.3357040941452126E-3</v>
      </c>
    </row>
    <row r="131" spans="1:8" x14ac:dyDescent="0.35">
      <c r="A131" t="s">
        <v>68</v>
      </c>
      <c r="B131" t="s">
        <v>46</v>
      </c>
      <c r="C131" t="s">
        <v>40</v>
      </c>
      <c r="D131">
        <v>2014</v>
      </c>
      <c r="E131">
        <v>1.846054067989833</v>
      </c>
      <c r="F131">
        <v>2.2065294370805351</v>
      </c>
      <c r="G131">
        <f t="shared" si="2"/>
        <v>0.3604753690907021</v>
      </c>
      <c r="H131">
        <v>5.3357040941452126E-3</v>
      </c>
    </row>
    <row r="132" spans="1:8" x14ac:dyDescent="0.35">
      <c r="A132" t="s">
        <v>68</v>
      </c>
      <c r="B132" t="s">
        <v>45</v>
      </c>
      <c r="C132" t="s">
        <v>38</v>
      </c>
      <c r="D132">
        <v>2015</v>
      </c>
      <c r="E132">
        <v>1.095015499462715</v>
      </c>
      <c r="F132">
        <v>1.511701771928704</v>
      </c>
      <c r="G132">
        <f t="shared" si="2"/>
        <v>0.41668627246598899</v>
      </c>
      <c r="H132">
        <v>5.4147439174576876E-3</v>
      </c>
    </row>
    <row r="133" spans="1:8" x14ac:dyDescent="0.35">
      <c r="A133" t="s">
        <v>68</v>
      </c>
      <c r="B133" t="s">
        <v>47</v>
      </c>
      <c r="C133" t="s">
        <v>38</v>
      </c>
      <c r="D133">
        <v>2015</v>
      </c>
      <c r="E133">
        <v>1.7105611289528031</v>
      </c>
      <c r="F133">
        <v>1.511701771928704</v>
      </c>
      <c r="G133">
        <f t="shared" si="2"/>
        <v>-0.19885935702409907</v>
      </c>
      <c r="H133">
        <v>5.4147439174576876E-3</v>
      </c>
    </row>
    <row r="134" spans="1:8" x14ac:dyDescent="0.35">
      <c r="A134" t="s">
        <v>68</v>
      </c>
      <c r="B134" t="s">
        <v>46</v>
      </c>
      <c r="C134" t="s">
        <v>40</v>
      </c>
      <c r="D134">
        <v>2015</v>
      </c>
      <c r="E134">
        <v>1.9840546273578901</v>
      </c>
      <c r="F134">
        <v>1.511701771928704</v>
      </c>
      <c r="G134">
        <f t="shared" si="2"/>
        <v>-0.47235285542918604</v>
      </c>
      <c r="H134">
        <v>5.4147439174576876E-3</v>
      </c>
    </row>
    <row r="135" spans="1:8" x14ac:dyDescent="0.35">
      <c r="A135" t="s">
        <v>68</v>
      </c>
      <c r="B135" t="s">
        <v>48</v>
      </c>
      <c r="C135" t="s">
        <v>40</v>
      </c>
      <c r="D135">
        <v>2015</v>
      </c>
      <c r="E135">
        <v>1.8717908251089099</v>
      </c>
      <c r="F135">
        <v>1.511701771928704</v>
      </c>
      <c r="G135">
        <f t="shared" si="2"/>
        <v>-0.3600890531802059</v>
      </c>
      <c r="H135">
        <v>5.4147439174576876E-3</v>
      </c>
    </row>
    <row r="136" spans="1:8" x14ac:dyDescent="0.35">
      <c r="A136" t="s">
        <v>68</v>
      </c>
      <c r="B136" t="s">
        <v>47</v>
      </c>
      <c r="C136" t="s">
        <v>38</v>
      </c>
      <c r="D136">
        <v>2016</v>
      </c>
      <c r="E136">
        <v>1.9064608618794221</v>
      </c>
      <c r="F136">
        <v>2.1850659941992001</v>
      </c>
      <c r="G136">
        <f t="shared" si="2"/>
        <v>0.27860513231977801</v>
      </c>
      <c r="H136">
        <v>5.3806800427406544E-3</v>
      </c>
    </row>
    <row r="137" spans="1:8" x14ac:dyDescent="0.35">
      <c r="A137" t="s">
        <v>68</v>
      </c>
      <c r="B137" t="s">
        <v>49</v>
      </c>
      <c r="C137" t="s">
        <v>38</v>
      </c>
      <c r="D137">
        <v>2016</v>
      </c>
      <c r="E137">
        <v>1.9388708932542631</v>
      </c>
      <c r="F137">
        <v>2.1850659941992001</v>
      </c>
      <c r="G137">
        <f t="shared" si="2"/>
        <v>0.24619510094493702</v>
      </c>
      <c r="H137">
        <v>5.3806800427406544E-3</v>
      </c>
    </row>
    <row r="138" spans="1:8" x14ac:dyDescent="0.35">
      <c r="A138" t="s">
        <v>68</v>
      </c>
      <c r="B138" t="s">
        <v>48</v>
      </c>
      <c r="C138" t="s">
        <v>40</v>
      </c>
      <c r="D138">
        <v>2016</v>
      </c>
      <c r="E138">
        <v>2.0247448397811012</v>
      </c>
      <c r="F138">
        <v>2.1850659941992001</v>
      </c>
      <c r="G138">
        <f t="shared" si="2"/>
        <v>0.16032115441809891</v>
      </c>
      <c r="H138">
        <v>5.3806800427406544E-3</v>
      </c>
    </row>
    <row r="139" spans="1:8" x14ac:dyDescent="0.35">
      <c r="A139" t="s">
        <v>68</v>
      </c>
      <c r="B139" t="s">
        <v>50</v>
      </c>
      <c r="C139" t="s">
        <v>40</v>
      </c>
      <c r="D139">
        <v>2016</v>
      </c>
      <c r="E139">
        <v>1.624850184809512</v>
      </c>
      <c r="F139">
        <v>2.1850659941992001</v>
      </c>
      <c r="G139">
        <f t="shared" si="2"/>
        <v>0.56021580938968807</v>
      </c>
      <c r="H139">
        <v>5.3806800427406544E-3</v>
      </c>
    </row>
    <row r="140" spans="1:8" x14ac:dyDescent="0.35">
      <c r="A140" t="s">
        <v>68</v>
      </c>
      <c r="B140" t="s">
        <v>49</v>
      </c>
      <c r="C140" t="s">
        <v>38</v>
      </c>
      <c r="D140">
        <v>2017</v>
      </c>
      <c r="E140">
        <v>1.4744000913811779</v>
      </c>
      <c r="F140">
        <v>3.139119319610074</v>
      </c>
      <c r="G140">
        <f t="shared" si="2"/>
        <v>1.6647192282288961</v>
      </c>
      <c r="H140">
        <v>6.2433576307011837E-3</v>
      </c>
    </row>
    <row r="141" spans="1:8" x14ac:dyDescent="0.35">
      <c r="A141" t="s">
        <v>68</v>
      </c>
      <c r="B141" t="s">
        <v>51</v>
      </c>
      <c r="C141" t="s">
        <v>38</v>
      </c>
      <c r="D141">
        <v>2017</v>
      </c>
      <c r="E141">
        <v>2.1518537819505301</v>
      </c>
      <c r="F141">
        <v>3.139119319610074</v>
      </c>
      <c r="G141">
        <f t="shared" si="2"/>
        <v>0.98726553765954383</v>
      </c>
      <c r="H141">
        <v>6.2433576307011837E-3</v>
      </c>
    </row>
    <row r="142" spans="1:8" x14ac:dyDescent="0.35">
      <c r="A142" t="s">
        <v>68</v>
      </c>
      <c r="B142" t="s">
        <v>50</v>
      </c>
      <c r="C142" t="s">
        <v>40</v>
      </c>
      <c r="D142">
        <v>2017</v>
      </c>
      <c r="E142">
        <v>1.5665137095587811</v>
      </c>
      <c r="F142">
        <v>3.139119319610074</v>
      </c>
      <c r="G142">
        <f t="shared" si="2"/>
        <v>1.5726056100512928</v>
      </c>
      <c r="H142">
        <v>6.2433576307011837E-3</v>
      </c>
    </row>
    <row r="143" spans="1:8" x14ac:dyDescent="0.35">
      <c r="A143" t="s">
        <v>68</v>
      </c>
      <c r="B143" t="s">
        <v>52</v>
      </c>
      <c r="C143" t="s">
        <v>40</v>
      </c>
      <c r="D143">
        <v>2017</v>
      </c>
      <c r="E143">
        <v>1.6411721834364681</v>
      </c>
      <c r="F143">
        <v>3.139119319610074</v>
      </c>
      <c r="G143">
        <f t="shared" si="2"/>
        <v>1.4979471361736059</v>
      </c>
      <c r="H143">
        <v>6.2433576307011837E-3</v>
      </c>
    </row>
    <row r="144" spans="1:8" x14ac:dyDescent="0.35">
      <c r="A144" t="s">
        <v>68</v>
      </c>
      <c r="B144" t="s">
        <v>51</v>
      </c>
      <c r="C144" t="s">
        <v>38</v>
      </c>
      <c r="D144">
        <v>2018</v>
      </c>
      <c r="E144">
        <v>2.1207866853858448</v>
      </c>
      <c r="F144">
        <v>1.2673227814059229</v>
      </c>
      <c r="G144">
        <f t="shared" si="2"/>
        <v>-0.85346390397992189</v>
      </c>
      <c r="H144">
        <v>6.8209627085312934E-3</v>
      </c>
    </row>
    <row r="145" spans="1:8" x14ac:dyDescent="0.35">
      <c r="A145" t="s">
        <v>68</v>
      </c>
      <c r="B145" t="s">
        <v>53</v>
      </c>
      <c r="C145" t="s">
        <v>38</v>
      </c>
      <c r="D145">
        <v>2018</v>
      </c>
      <c r="E145">
        <v>1.7181609113874341</v>
      </c>
      <c r="F145">
        <v>1.2673227814059229</v>
      </c>
      <c r="G145">
        <f t="shared" si="2"/>
        <v>-0.45083812998151118</v>
      </c>
      <c r="H145">
        <v>6.8209627085312934E-3</v>
      </c>
    </row>
    <row r="146" spans="1:8" x14ac:dyDescent="0.35">
      <c r="A146" t="s">
        <v>68</v>
      </c>
      <c r="B146" t="s">
        <v>52</v>
      </c>
      <c r="C146" t="s">
        <v>40</v>
      </c>
      <c r="D146">
        <v>2018</v>
      </c>
      <c r="E146">
        <v>1.853976950650349</v>
      </c>
      <c r="F146">
        <v>1.2673227814059229</v>
      </c>
      <c r="G146">
        <f t="shared" si="2"/>
        <v>-0.58665416924442604</v>
      </c>
      <c r="H146">
        <v>6.8209627085312934E-3</v>
      </c>
    </row>
    <row r="147" spans="1:8" x14ac:dyDescent="0.35">
      <c r="A147" t="s">
        <v>68</v>
      </c>
      <c r="B147" t="s">
        <v>54</v>
      </c>
      <c r="C147" t="s">
        <v>40</v>
      </c>
      <c r="D147">
        <v>2018</v>
      </c>
      <c r="E147">
        <v>2.3062043523037761</v>
      </c>
      <c r="F147">
        <v>1.2673227814059229</v>
      </c>
      <c r="G147">
        <f t="shared" si="2"/>
        <v>-1.0388815708978532</v>
      </c>
      <c r="H147">
        <v>6.8209627085312934E-3</v>
      </c>
    </row>
    <row r="148" spans="1:8" x14ac:dyDescent="0.35">
      <c r="A148" t="s">
        <v>68</v>
      </c>
      <c r="B148" t="s">
        <v>53</v>
      </c>
      <c r="C148" t="s">
        <v>38</v>
      </c>
      <c r="D148">
        <v>2019</v>
      </c>
      <c r="E148">
        <v>1.837083008004692</v>
      </c>
      <c r="F148">
        <v>1.110244719033926</v>
      </c>
      <c r="G148">
        <f t="shared" si="2"/>
        <v>-0.72683828897076608</v>
      </c>
      <c r="H148">
        <v>7.0803682370956548E-3</v>
      </c>
    </row>
    <row r="149" spans="1:8" x14ac:dyDescent="0.35">
      <c r="A149" t="s">
        <v>68</v>
      </c>
      <c r="B149" t="s">
        <v>55</v>
      </c>
      <c r="C149" t="s">
        <v>38</v>
      </c>
      <c r="D149">
        <v>2019</v>
      </c>
      <c r="E149">
        <v>0.43652728225691551</v>
      </c>
      <c r="F149">
        <v>1.110244719033926</v>
      </c>
      <c r="G149">
        <f t="shared" si="2"/>
        <v>0.67371743677701046</v>
      </c>
      <c r="H149">
        <v>7.0803682370956548E-3</v>
      </c>
    </row>
    <row r="150" spans="1:8" x14ac:dyDescent="0.35">
      <c r="A150" t="s">
        <v>68</v>
      </c>
      <c r="B150" t="s">
        <v>54</v>
      </c>
      <c r="C150" t="s">
        <v>40</v>
      </c>
      <c r="D150">
        <v>2019</v>
      </c>
      <c r="E150">
        <v>2.050241516126516</v>
      </c>
      <c r="F150">
        <v>1.110244719033926</v>
      </c>
      <c r="G150">
        <f t="shared" si="2"/>
        <v>-0.93999679709258999</v>
      </c>
      <c r="H150">
        <v>7.0803682370956548E-3</v>
      </c>
    </row>
    <row r="151" spans="1:8" x14ac:dyDescent="0.35">
      <c r="A151" t="s">
        <v>68</v>
      </c>
      <c r="B151" t="s">
        <v>56</v>
      </c>
      <c r="C151" t="s">
        <v>40</v>
      </c>
      <c r="D151">
        <v>2019</v>
      </c>
      <c r="E151">
        <v>0.54362498919910962</v>
      </c>
      <c r="F151">
        <v>1.110244719033926</v>
      </c>
      <c r="G151">
        <f t="shared" si="2"/>
        <v>0.56661972983481634</v>
      </c>
      <c r="H151">
        <v>7.0803682370956548E-3</v>
      </c>
    </row>
    <row r="152" spans="1:8" x14ac:dyDescent="0.35">
      <c r="A152" t="s">
        <v>68</v>
      </c>
      <c r="B152" t="s">
        <v>55</v>
      </c>
      <c r="C152" t="s">
        <v>38</v>
      </c>
      <c r="D152">
        <v>2020</v>
      </c>
      <c r="E152">
        <v>1.0098419735112829</v>
      </c>
      <c r="F152">
        <v>-4.5019012679871278</v>
      </c>
      <c r="G152">
        <f t="shared" si="2"/>
        <v>-5.5117432414984107</v>
      </c>
      <c r="H152">
        <v>7.8392311441250039E-3</v>
      </c>
    </row>
    <row r="153" spans="1:8" x14ac:dyDescent="0.35">
      <c r="A153" t="s">
        <v>68</v>
      </c>
      <c r="B153" t="s">
        <v>57</v>
      </c>
      <c r="C153" t="s">
        <v>38</v>
      </c>
      <c r="D153">
        <v>2020</v>
      </c>
      <c r="E153">
        <v>-5.5682040725027582</v>
      </c>
      <c r="F153">
        <v>-4.5019012679871278</v>
      </c>
      <c r="G153">
        <f t="shared" si="2"/>
        <v>1.0663028045156304</v>
      </c>
      <c r="H153">
        <v>7.8392311441250039E-3</v>
      </c>
    </row>
    <row r="154" spans="1:8" x14ac:dyDescent="0.35">
      <c r="A154" t="s">
        <v>68</v>
      </c>
      <c r="B154" t="s">
        <v>56</v>
      </c>
      <c r="C154" t="s">
        <v>40</v>
      </c>
      <c r="D154">
        <v>2020</v>
      </c>
      <c r="E154">
        <v>1.5458815393741829</v>
      </c>
      <c r="F154">
        <v>-4.5019012679871278</v>
      </c>
      <c r="G154">
        <f t="shared" si="2"/>
        <v>-6.0477828073613109</v>
      </c>
      <c r="H154">
        <v>7.8392311441250039E-3</v>
      </c>
    </row>
    <row r="155" spans="1:8" x14ac:dyDescent="0.35">
      <c r="A155" t="s">
        <v>68</v>
      </c>
      <c r="B155" t="s">
        <v>58</v>
      </c>
      <c r="C155" t="s">
        <v>40</v>
      </c>
      <c r="D155">
        <v>2020</v>
      </c>
      <c r="E155">
        <v>-6.4695771848944261</v>
      </c>
      <c r="F155">
        <v>-4.5019012679871278</v>
      </c>
      <c r="G155">
        <f t="shared" si="2"/>
        <v>1.9676759169072984</v>
      </c>
      <c r="H155">
        <v>7.8392311441250039E-3</v>
      </c>
    </row>
    <row r="156" spans="1:8" x14ac:dyDescent="0.35">
      <c r="A156" t="s">
        <v>68</v>
      </c>
      <c r="B156" t="s">
        <v>57</v>
      </c>
      <c r="C156" t="s">
        <v>38</v>
      </c>
      <c r="D156">
        <v>2021</v>
      </c>
      <c r="E156">
        <v>3.5168418141955371</v>
      </c>
      <c r="F156">
        <v>3.8314526417859192</v>
      </c>
      <c r="G156">
        <f t="shared" si="2"/>
        <v>0.31461082759038206</v>
      </c>
      <c r="H156">
        <v>7.7356755077016047E-3</v>
      </c>
    </row>
    <row r="157" spans="1:8" x14ac:dyDescent="0.35">
      <c r="A157" t="s">
        <v>68</v>
      </c>
      <c r="B157" t="s">
        <v>59</v>
      </c>
      <c r="C157" t="s">
        <v>38</v>
      </c>
      <c r="D157">
        <v>2021</v>
      </c>
      <c r="E157">
        <v>2.7343389231728081</v>
      </c>
      <c r="F157">
        <v>3.8314526417859192</v>
      </c>
      <c r="G157">
        <f t="shared" si="2"/>
        <v>1.097113718613111</v>
      </c>
      <c r="H157">
        <v>7.7356755077016047E-3</v>
      </c>
    </row>
    <row r="158" spans="1:8" x14ac:dyDescent="0.35">
      <c r="A158" t="s">
        <v>68</v>
      </c>
      <c r="B158" t="s">
        <v>58</v>
      </c>
      <c r="C158" t="s">
        <v>40</v>
      </c>
      <c r="D158">
        <v>2021</v>
      </c>
      <c r="E158">
        <v>5.8723795390502653</v>
      </c>
      <c r="F158">
        <v>3.8314526417859192</v>
      </c>
      <c r="G158">
        <f t="shared" si="2"/>
        <v>-2.0409268972643462</v>
      </c>
      <c r="H158">
        <v>7.7356755077016047E-3</v>
      </c>
    </row>
    <row r="159" spans="1:8" x14ac:dyDescent="0.35">
      <c r="A159" t="s">
        <v>68</v>
      </c>
      <c r="B159" t="s">
        <v>60</v>
      </c>
      <c r="C159" t="s">
        <v>40</v>
      </c>
      <c r="D159">
        <v>2021</v>
      </c>
      <c r="E159">
        <v>3.405406776981335</v>
      </c>
      <c r="F159">
        <v>3.8314526417859192</v>
      </c>
      <c r="G159">
        <f t="shared" si="2"/>
        <v>0.42604586480458417</v>
      </c>
      <c r="H159">
        <v>7.7356755077016047E-3</v>
      </c>
    </row>
    <row r="160" spans="1:8" x14ac:dyDescent="0.35">
      <c r="A160" t="s">
        <v>68</v>
      </c>
      <c r="B160" t="s">
        <v>59</v>
      </c>
      <c r="C160" t="s">
        <v>38</v>
      </c>
      <c r="D160">
        <v>2022</v>
      </c>
      <c r="E160">
        <v>4.5927784434600882</v>
      </c>
      <c r="F160">
        <v>1.931834126476093</v>
      </c>
      <c r="G160">
        <f t="shared" si="2"/>
        <v>-2.6609443169839953</v>
      </c>
      <c r="H160">
        <v>7.6054945428721031E-3</v>
      </c>
    </row>
    <row r="161" spans="1:8" x14ac:dyDescent="0.35">
      <c r="A161" t="s">
        <v>68</v>
      </c>
      <c r="B161" t="s">
        <v>61</v>
      </c>
      <c r="C161" t="s">
        <v>38</v>
      </c>
      <c r="D161">
        <v>2022</v>
      </c>
      <c r="E161">
        <v>1.55845355711639</v>
      </c>
      <c r="F161">
        <v>1.931834126476093</v>
      </c>
      <c r="G161">
        <f t="shared" si="2"/>
        <v>0.37338056935970299</v>
      </c>
      <c r="H161">
        <v>7.6054945428721031E-3</v>
      </c>
    </row>
    <row r="162" spans="1:8" x14ac:dyDescent="0.35">
      <c r="A162" t="s">
        <v>68</v>
      </c>
      <c r="B162" t="s">
        <v>60</v>
      </c>
      <c r="C162" t="s">
        <v>40</v>
      </c>
      <c r="D162">
        <v>2022</v>
      </c>
      <c r="E162">
        <v>4.0547699734103224</v>
      </c>
      <c r="F162">
        <v>1.931834126476093</v>
      </c>
      <c r="G162">
        <f t="shared" si="2"/>
        <v>-2.1229358469342294</v>
      </c>
      <c r="H162">
        <v>7.6054945428721031E-3</v>
      </c>
    </row>
    <row r="163" spans="1:8" x14ac:dyDescent="0.35">
      <c r="A163" t="s">
        <v>68</v>
      </c>
      <c r="B163" t="s">
        <v>62</v>
      </c>
      <c r="C163" t="s">
        <v>40</v>
      </c>
      <c r="D163">
        <v>2022</v>
      </c>
      <c r="E163">
        <v>1.5579683422439761</v>
      </c>
      <c r="F163">
        <v>1.931834126476093</v>
      </c>
      <c r="G163">
        <f t="shared" si="2"/>
        <v>0.37386578423211692</v>
      </c>
      <c r="H163">
        <v>7.6054945428721031E-3</v>
      </c>
    </row>
    <row r="164" spans="1:8" x14ac:dyDescent="0.35">
      <c r="A164" t="s">
        <v>68</v>
      </c>
      <c r="B164" t="s">
        <v>61</v>
      </c>
      <c r="C164" t="s">
        <v>38</v>
      </c>
      <c r="D164">
        <v>2023</v>
      </c>
      <c r="E164">
        <v>-0.62595524483003429</v>
      </c>
      <c r="F164">
        <v>-0.81689108427086243</v>
      </c>
      <c r="G164">
        <f t="shared" si="2"/>
        <v>-0.19093583944082815</v>
      </c>
      <c r="H164">
        <v>8.2683809672599654E-3</v>
      </c>
    </row>
    <row r="165" spans="1:8" x14ac:dyDescent="0.35">
      <c r="A165" t="s">
        <v>68</v>
      </c>
      <c r="B165" t="s">
        <v>63</v>
      </c>
      <c r="C165" t="s">
        <v>38</v>
      </c>
      <c r="D165">
        <v>2023</v>
      </c>
      <c r="E165">
        <v>-0.27334918709761569</v>
      </c>
      <c r="F165">
        <v>-0.81689108427086243</v>
      </c>
      <c r="G165">
        <f t="shared" si="2"/>
        <v>-0.54354189717324675</v>
      </c>
      <c r="H165">
        <v>8.2683809672599654E-3</v>
      </c>
    </row>
    <row r="166" spans="1:8" x14ac:dyDescent="0.35">
      <c r="A166" t="s">
        <v>68</v>
      </c>
      <c r="B166" t="s">
        <v>62</v>
      </c>
      <c r="C166" t="s">
        <v>40</v>
      </c>
      <c r="D166">
        <v>2023</v>
      </c>
      <c r="E166">
        <v>2.4090316591396821</v>
      </c>
      <c r="F166">
        <v>-0.81689108427086243</v>
      </c>
      <c r="G166">
        <f t="shared" si="2"/>
        <v>-3.2259227434105444</v>
      </c>
      <c r="H166">
        <v>8.2683809672599654E-3</v>
      </c>
    </row>
    <row r="167" spans="1:8" x14ac:dyDescent="0.35">
      <c r="A167" t="s">
        <v>68</v>
      </c>
      <c r="B167" t="s">
        <v>64</v>
      </c>
      <c r="C167" t="s">
        <v>40</v>
      </c>
      <c r="D167">
        <v>2023</v>
      </c>
      <c r="E167">
        <v>0.18957305278237691</v>
      </c>
      <c r="F167">
        <v>-0.81689108427086243</v>
      </c>
      <c r="G167">
        <f t="shared" si="2"/>
        <v>-1.0064641370532392</v>
      </c>
      <c r="H167">
        <v>8.2683809672599654E-3</v>
      </c>
    </row>
    <row r="168" spans="1:8" x14ac:dyDescent="0.35">
      <c r="A168" t="s">
        <v>68</v>
      </c>
      <c r="B168" t="s">
        <v>63</v>
      </c>
      <c r="C168" t="s">
        <v>38</v>
      </c>
      <c r="D168">
        <v>2024</v>
      </c>
      <c r="E168">
        <v>0.80450584510622924</v>
      </c>
      <c r="F168">
        <v>4.0523394564314849E-2</v>
      </c>
      <c r="G168">
        <f t="shared" si="2"/>
        <v>-0.76398245054191438</v>
      </c>
      <c r="H168">
        <v>9.0522441223979538E-3</v>
      </c>
    </row>
    <row r="169" spans="1:8" x14ac:dyDescent="0.35">
      <c r="A169" t="s">
        <v>68</v>
      </c>
      <c r="B169" t="s">
        <v>65</v>
      </c>
      <c r="C169" t="s">
        <v>38</v>
      </c>
      <c r="D169">
        <v>2024</v>
      </c>
      <c r="E169">
        <v>-0.1114510968873272</v>
      </c>
      <c r="F169">
        <v>4.0523394564314849E-2</v>
      </c>
      <c r="G169">
        <f t="shared" si="2"/>
        <v>0.15197449145164205</v>
      </c>
      <c r="H169">
        <v>9.0522441223979538E-3</v>
      </c>
    </row>
    <row r="170" spans="1:8" x14ac:dyDescent="0.35">
      <c r="A170" t="s">
        <v>68</v>
      </c>
      <c r="B170" t="s">
        <v>64</v>
      </c>
      <c r="C170" t="s">
        <v>40</v>
      </c>
      <c r="D170">
        <v>2024</v>
      </c>
      <c r="E170">
        <v>1.358688832068133</v>
      </c>
      <c r="F170">
        <v>4.0523394564314849E-2</v>
      </c>
      <c r="G170">
        <f t="shared" si="2"/>
        <v>-1.3181654375038181</v>
      </c>
      <c r="H170">
        <v>9.0522441223979538E-3</v>
      </c>
    </row>
    <row r="171" spans="1:8" x14ac:dyDescent="0.35">
      <c r="A171" t="s">
        <v>68</v>
      </c>
      <c r="B171" t="s">
        <v>66</v>
      </c>
      <c r="C171" t="s">
        <v>40</v>
      </c>
      <c r="D171">
        <v>2024</v>
      </c>
      <c r="E171">
        <v>0.12753656568900151</v>
      </c>
      <c r="F171">
        <v>4.0523394564314849E-2</v>
      </c>
      <c r="G171">
        <f t="shared" si="2"/>
        <v>-8.7013171124686664E-2</v>
      </c>
      <c r="H171">
        <v>9.0522441223979538E-3</v>
      </c>
    </row>
    <row r="172" spans="1:8" x14ac:dyDescent="0.35">
      <c r="A172" t="s">
        <v>68</v>
      </c>
      <c r="B172" t="s">
        <v>65</v>
      </c>
      <c r="C172" t="s">
        <v>38</v>
      </c>
      <c r="D172">
        <v>2025</v>
      </c>
      <c r="E172">
        <v>0.69333808233418281</v>
      </c>
      <c r="F172">
        <v>0.34025588112837718</v>
      </c>
      <c r="G172">
        <f t="shared" si="2"/>
        <v>-0.35308220120580563</v>
      </c>
      <c r="H172">
        <v>9.0522441223979538E-3</v>
      </c>
    </row>
    <row r="173" spans="1:8" x14ac:dyDescent="0.35">
      <c r="A173" t="s">
        <v>68</v>
      </c>
      <c r="B173" t="s">
        <v>71</v>
      </c>
      <c r="C173" t="s">
        <v>38</v>
      </c>
      <c r="D173">
        <v>2025</v>
      </c>
      <c r="E173">
        <v>0.17068748819852869</v>
      </c>
      <c r="F173">
        <v>0.34025588112837718</v>
      </c>
      <c r="G173">
        <f t="shared" si="2"/>
        <v>0.16956839292984849</v>
      </c>
      <c r="H173">
        <v>9.0522441223979538E-3</v>
      </c>
    </row>
    <row r="174" spans="1:8" x14ac:dyDescent="0.35">
      <c r="A174" t="s">
        <v>68</v>
      </c>
      <c r="B174" t="s">
        <v>66</v>
      </c>
      <c r="C174" t="s">
        <v>40</v>
      </c>
      <c r="D174">
        <v>2025</v>
      </c>
      <c r="E174">
        <v>1.014129227832639</v>
      </c>
      <c r="F174">
        <v>0.34025588112837718</v>
      </c>
      <c r="G174">
        <f t="shared" si="2"/>
        <v>-0.67387334670426191</v>
      </c>
      <c r="H174">
        <v>9.0522441223979538E-3</v>
      </c>
    </row>
    <row r="175" spans="1:8" x14ac:dyDescent="0.35">
      <c r="A175" t="s">
        <v>68</v>
      </c>
      <c r="B175" t="s">
        <v>72</v>
      </c>
      <c r="C175" t="s">
        <v>40</v>
      </c>
      <c r="D175">
        <v>2025</v>
      </c>
      <c r="E175">
        <v>-2.9831521216272531E-2</v>
      </c>
      <c r="F175">
        <v>0.34025588112837718</v>
      </c>
      <c r="G175">
        <f t="shared" si="2"/>
        <v>0.37008740234464971</v>
      </c>
      <c r="H175">
        <v>9.0522441223979538E-3</v>
      </c>
    </row>
    <row r="176" spans="1:8" x14ac:dyDescent="0.35">
      <c r="A176" t="s">
        <v>69</v>
      </c>
      <c r="B176" t="s">
        <v>37</v>
      </c>
      <c r="C176" t="s">
        <v>38</v>
      </c>
      <c r="D176">
        <v>2011</v>
      </c>
      <c r="E176">
        <v>0.73935243476188628</v>
      </c>
      <c r="F176">
        <v>-0.64197941531252334</v>
      </c>
      <c r="G176">
        <f t="shared" si="2"/>
        <v>-1.3813318500744096</v>
      </c>
      <c r="H176">
        <v>9.8602791112884273E-4</v>
      </c>
    </row>
    <row r="177" spans="1:8" x14ac:dyDescent="0.35">
      <c r="A177" t="s">
        <v>69</v>
      </c>
      <c r="B177" t="s">
        <v>39</v>
      </c>
      <c r="C177" t="s">
        <v>40</v>
      </c>
      <c r="D177">
        <v>2011</v>
      </c>
      <c r="E177">
        <v>0.76223621019062548</v>
      </c>
      <c r="F177">
        <v>-0.64197941531252334</v>
      </c>
      <c r="G177">
        <f t="shared" si="2"/>
        <v>-1.4042156255031488</v>
      </c>
      <c r="H177">
        <v>9.8602791112884273E-4</v>
      </c>
    </row>
    <row r="178" spans="1:8" x14ac:dyDescent="0.35">
      <c r="A178" t="s">
        <v>69</v>
      </c>
      <c r="B178" t="s">
        <v>37</v>
      </c>
      <c r="C178" t="s">
        <v>38</v>
      </c>
      <c r="D178">
        <v>2012</v>
      </c>
      <c r="E178">
        <v>0.65087819203448749</v>
      </c>
      <c r="F178">
        <v>-2.906965118995676</v>
      </c>
      <c r="G178">
        <f t="shared" si="2"/>
        <v>-3.5578433110301635</v>
      </c>
      <c r="H178">
        <v>8.5916088536536466E-4</v>
      </c>
    </row>
    <row r="179" spans="1:8" x14ac:dyDescent="0.35">
      <c r="A179" t="s">
        <v>69</v>
      </c>
      <c r="B179" t="s">
        <v>41</v>
      </c>
      <c r="C179" t="s">
        <v>38</v>
      </c>
      <c r="D179">
        <v>2012</v>
      </c>
      <c r="E179">
        <v>-1.438880133100584</v>
      </c>
      <c r="F179">
        <v>-2.906965118995676</v>
      </c>
      <c r="G179">
        <f t="shared" si="2"/>
        <v>-1.468084985895092</v>
      </c>
      <c r="H179">
        <v>8.5916088536536466E-4</v>
      </c>
    </row>
    <row r="180" spans="1:8" x14ac:dyDescent="0.35">
      <c r="A180" t="s">
        <v>69</v>
      </c>
      <c r="B180" t="s">
        <v>39</v>
      </c>
      <c r="C180" t="s">
        <v>40</v>
      </c>
      <c r="D180">
        <v>2012</v>
      </c>
      <c r="E180">
        <v>1.5110276949649171</v>
      </c>
      <c r="F180">
        <v>-2.906965118995676</v>
      </c>
      <c r="G180">
        <f t="shared" si="2"/>
        <v>-4.4179928139605931</v>
      </c>
      <c r="H180">
        <v>8.5916088536536466E-4</v>
      </c>
    </row>
    <row r="181" spans="1:8" x14ac:dyDescent="0.35">
      <c r="A181" t="s">
        <v>69</v>
      </c>
      <c r="B181" t="s">
        <v>42</v>
      </c>
      <c r="C181" t="s">
        <v>40</v>
      </c>
      <c r="D181">
        <v>2012</v>
      </c>
      <c r="E181">
        <v>-1.7627808297010159</v>
      </c>
      <c r="F181">
        <v>-2.906965118995676</v>
      </c>
      <c r="G181">
        <f t="shared" si="2"/>
        <v>-1.1441842892946601</v>
      </c>
      <c r="H181">
        <v>8.5916088536536466E-4</v>
      </c>
    </row>
    <row r="182" spans="1:8" x14ac:dyDescent="0.35">
      <c r="A182" t="s">
        <v>69</v>
      </c>
      <c r="B182" t="s">
        <v>41</v>
      </c>
      <c r="C182" t="s">
        <v>38</v>
      </c>
      <c r="D182">
        <v>2013</v>
      </c>
      <c r="E182">
        <v>-1.4440800286151581</v>
      </c>
      <c r="F182">
        <v>-1.437599419188256</v>
      </c>
      <c r="G182">
        <f t="shared" si="2"/>
        <v>6.4806094269020953E-3</v>
      </c>
      <c r="H182">
        <v>9.4029754192236721E-4</v>
      </c>
    </row>
    <row r="183" spans="1:8" x14ac:dyDescent="0.35">
      <c r="A183" t="s">
        <v>69</v>
      </c>
      <c r="B183" t="s">
        <v>43</v>
      </c>
      <c r="C183" t="s">
        <v>38</v>
      </c>
      <c r="D183">
        <v>2013</v>
      </c>
      <c r="E183">
        <v>-1.3067912142153639</v>
      </c>
      <c r="F183">
        <v>-1.437599419188256</v>
      </c>
      <c r="G183">
        <f t="shared" si="2"/>
        <v>-0.13080820497289203</v>
      </c>
      <c r="H183">
        <v>9.4029754192236721E-4</v>
      </c>
    </row>
    <row r="184" spans="1:8" x14ac:dyDescent="0.35">
      <c r="A184" t="s">
        <v>69</v>
      </c>
      <c r="B184" t="s">
        <v>42</v>
      </c>
      <c r="C184" t="s">
        <v>40</v>
      </c>
      <c r="D184">
        <v>2013</v>
      </c>
      <c r="E184">
        <v>-0.3312062646812497</v>
      </c>
      <c r="F184">
        <v>-1.437599419188256</v>
      </c>
      <c r="G184">
        <f t="shared" si="2"/>
        <v>-1.1063931545070063</v>
      </c>
      <c r="H184">
        <v>9.4029754192236721E-4</v>
      </c>
    </row>
    <row r="185" spans="1:8" x14ac:dyDescent="0.35">
      <c r="A185" t="s">
        <v>69</v>
      </c>
      <c r="B185" t="s">
        <v>44</v>
      </c>
      <c r="C185" t="s">
        <v>40</v>
      </c>
      <c r="D185">
        <v>2013</v>
      </c>
      <c r="E185">
        <v>-1.474157069656223</v>
      </c>
      <c r="F185">
        <v>-1.437599419188256</v>
      </c>
      <c r="G185">
        <f t="shared" si="2"/>
        <v>3.6557650467966996E-2</v>
      </c>
      <c r="H185">
        <v>9.4029754192236721E-4</v>
      </c>
    </row>
    <row r="186" spans="1:8" x14ac:dyDescent="0.35">
      <c r="A186" t="s">
        <v>69</v>
      </c>
      <c r="B186" t="s">
        <v>43</v>
      </c>
      <c r="C186" t="s">
        <v>38</v>
      </c>
      <c r="D186">
        <v>2014</v>
      </c>
      <c r="E186">
        <v>0.53460867752352925</v>
      </c>
      <c r="F186">
        <v>1.509054117610189</v>
      </c>
      <c r="G186">
        <f t="shared" si="2"/>
        <v>0.97444544008665979</v>
      </c>
      <c r="H186">
        <v>9.163700818761272E-4</v>
      </c>
    </row>
    <row r="187" spans="1:8" x14ac:dyDescent="0.35">
      <c r="A187" t="s">
        <v>69</v>
      </c>
      <c r="B187" t="s">
        <v>45</v>
      </c>
      <c r="C187" t="s">
        <v>38</v>
      </c>
      <c r="D187">
        <v>2014</v>
      </c>
      <c r="E187">
        <v>1.249540362435053</v>
      </c>
      <c r="F187">
        <v>1.509054117610189</v>
      </c>
      <c r="G187">
        <f t="shared" si="2"/>
        <v>0.25951375517513608</v>
      </c>
      <c r="H187">
        <v>9.163700818761272E-4</v>
      </c>
    </row>
    <row r="188" spans="1:8" x14ac:dyDescent="0.35">
      <c r="A188" t="s">
        <v>69</v>
      </c>
      <c r="B188" t="s">
        <v>44</v>
      </c>
      <c r="C188" t="s">
        <v>40</v>
      </c>
      <c r="D188">
        <v>2014</v>
      </c>
      <c r="E188">
        <v>0.93589599660655054</v>
      </c>
      <c r="F188">
        <v>1.509054117610189</v>
      </c>
      <c r="G188">
        <f t="shared" si="2"/>
        <v>0.5731581210036385</v>
      </c>
      <c r="H188">
        <v>9.163700818761272E-4</v>
      </c>
    </row>
    <row r="189" spans="1:8" x14ac:dyDescent="0.35">
      <c r="A189" t="s">
        <v>69</v>
      </c>
      <c r="B189" t="s">
        <v>46</v>
      </c>
      <c r="C189" t="s">
        <v>40</v>
      </c>
      <c r="D189">
        <v>2014</v>
      </c>
      <c r="E189">
        <v>1.14800430968125</v>
      </c>
      <c r="F189">
        <v>1.509054117610189</v>
      </c>
      <c r="G189">
        <f t="shared" si="2"/>
        <v>0.36104980792893904</v>
      </c>
      <c r="H189">
        <v>9.163700818761272E-4</v>
      </c>
    </row>
    <row r="190" spans="1:8" x14ac:dyDescent="0.35">
      <c r="A190" t="s">
        <v>69</v>
      </c>
      <c r="B190" t="s">
        <v>45</v>
      </c>
      <c r="C190" t="s">
        <v>38</v>
      </c>
      <c r="D190">
        <v>2015</v>
      </c>
      <c r="E190">
        <v>1.7298208953237191</v>
      </c>
      <c r="F190">
        <v>3.980574024380553</v>
      </c>
      <c r="G190">
        <f t="shared" si="2"/>
        <v>2.2507531290568341</v>
      </c>
      <c r="H190">
        <v>9.2679802456791676E-4</v>
      </c>
    </row>
    <row r="191" spans="1:8" x14ac:dyDescent="0.35">
      <c r="A191" t="s">
        <v>69</v>
      </c>
      <c r="B191" t="s">
        <v>47</v>
      </c>
      <c r="C191" t="s">
        <v>38</v>
      </c>
      <c r="D191">
        <v>2015</v>
      </c>
      <c r="E191">
        <v>3.1330217546616361</v>
      </c>
      <c r="F191">
        <v>3.980574024380553</v>
      </c>
      <c r="G191">
        <f t="shared" si="2"/>
        <v>0.84755226971891684</v>
      </c>
      <c r="H191">
        <v>9.2679802456791676E-4</v>
      </c>
    </row>
    <row r="192" spans="1:8" x14ac:dyDescent="0.35">
      <c r="A192" t="s">
        <v>69</v>
      </c>
      <c r="B192" t="s">
        <v>46</v>
      </c>
      <c r="C192" t="s">
        <v>40</v>
      </c>
      <c r="D192">
        <v>2015</v>
      </c>
      <c r="E192">
        <v>2.0578550096999941</v>
      </c>
      <c r="F192">
        <v>3.980574024380553</v>
      </c>
      <c r="G192">
        <f t="shared" si="2"/>
        <v>1.9227190146805588</v>
      </c>
      <c r="H192">
        <v>9.2679802456791676E-4</v>
      </c>
    </row>
    <row r="193" spans="1:8" x14ac:dyDescent="0.35">
      <c r="A193" t="s">
        <v>69</v>
      </c>
      <c r="B193" t="s">
        <v>48</v>
      </c>
      <c r="C193" t="s">
        <v>40</v>
      </c>
      <c r="D193">
        <v>2015</v>
      </c>
      <c r="E193">
        <v>2.8163023499567119</v>
      </c>
      <c r="F193">
        <v>3.980574024380553</v>
      </c>
      <c r="G193">
        <f t="shared" si="2"/>
        <v>1.1642716744238411</v>
      </c>
      <c r="H193">
        <v>9.2679802456791676E-4</v>
      </c>
    </row>
    <row r="194" spans="1:8" x14ac:dyDescent="0.35">
      <c r="A194" t="s">
        <v>69</v>
      </c>
      <c r="B194" t="s">
        <v>47</v>
      </c>
      <c r="C194" t="s">
        <v>38</v>
      </c>
      <c r="D194">
        <v>2016</v>
      </c>
      <c r="E194">
        <v>2.6664587847684769</v>
      </c>
      <c r="F194">
        <v>2.8733724111720398</v>
      </c>
      <c r="G194">
        <f t="shared" ref="G194:G257" si="3">IF(OR(F194="",E194=""),"",F194-E194)</f>
        <v>0.20691362640356292</v>
      </c>
      <c r="H194">
        <v>8.8495785408932489E-4</v>
      </c>
    </row>
    <row r="195" spans="1:8" x14ac:dyDescent="0.35">
      <c r="A195" t="s">
        <v>69</v>
      </c>
      <c r="B195" t="s">
        <v>49</v>
      </c>
      <c r="C195" t="s">
        <v>38</v>
      </c>
      <c r="D195">
        <v>2016</v>
      </c>
      <c r="E195">
        <v>3.1977481622379229</v>
      </c>
      <c r="F195">
        <v>2.8733724111720398</v>
      </c>
      <c r="G195">
        <f t="shared" si="3"/>
        <v>-0.32437575106588312</v>
      </c>
      <c r="H195">
        <v>8.8495785408932489E-4</v>
      </c>
    </row>
    <row r="196" spans="1:8" x14ac:dyDescent="0.35">
      <c r="A196" t="s">
        <v>69</v>
      </c>
      <c r="B196" t="s">
        <v>48</v>
      </c>
      <c r="C196" t="s">
        <v>40</v>
      </c>
      <c r="D196">
        <v>2016</v>
      </c>
      <c r="E196">
        <v>2.5804277166284968</v>
      </c>
      <c r="F196">
        <v>2.8733724111720398</v>
      </c>
      <c r="G196">
        <f t="shared" si="3"/>
        <v>0.29294469454354299</v>
      </c>
      <c r="H196">
        <v>8.8495785408932489E-4</v>
      </c>
    </row>
    <row r="197" spans="1:8" x14ac:dyDescent="0.35">
      <c r="A197" t="s">
        <v>69</v>
      </c>
      <c r="B197" t="s">
        <v>50</v>
      </c>
      <c r="C197" t="s">
        <v>40</v>
      </c>
      <c r="D197">
        <v>2016</v>
      </c>
      <c r="E197">
        <v>2.5934687983342641</v>
      </c>
      <c r="F197">
        <v>2.8733724111720398</v>
      </c>
      <c r="G197">
        <f t="shared" si="3"/>
        <v>0.27990361283777565</v>
      </c>
      <c r="H197">
        <v>8.8495785408932489E-4</v>
      </c>
    </row>
    <row r="198" spans="1:8" x14ac:dyDescent="0.35">
      <c r="A198" t="s">
        <v>69</v>
      </c>
      <c r="B198" t="s">
        <v>49</v>
      </c>
      <c r="C198" t="s">
        <v>38</v>
      </c>
      <c r="D198">
        <v>2017</v>
      </c>
      <c r="E198">
        <v>2.255443360388365</v>
      </c>
      <c r="F198">
        <v>2.855001546118654</v>
      </c>
      <c r="G198">
        <f t="shared" si="3"/>
        <v>0.59955818573028896</v>
      </c>
      <c r="H198">
        <v>1.055465061505679E-3</v>
      </c>
    </row>
    <row r="199" spans="1:8" x14ac:dyDescent="0.35">
      <c r="A199" t="s">
        <v>69</v>
      </c>
      <c r="B199" t="s">
        <v>51</v>
      </c>
      <c r="C199" t="s">
        <v>38</v>
      </c>
      <c r="D199">
        <v>2017</v>
      </c>
      <c r="E199">
        <v>3.068359604619419</v>
      </c>
      <c r="F199">
        <v>2.855001546118654</v>
      </c>
      <c r="G199">
        <f t="shared" si="3"/>
        <v>-0.21335805850076506</v>
      </c>
      <c r="H199">
        <v>1.055465061505679E-3</v>
      </c>
    </row>
    <row r="200" spans="1:8" x14ac:dyDescent="0.35">
      <c r="A200" t="s">
        <v>69</v>
      </c>
      <c r="B200" t="s">
        <v>50</v>
      </c>
      <c r="C200" t="s">
        <v>40</v>
      </c>
      <c r="D200">
        <v>2017</v>
      </c>
      <c r="E200">
        <v>2.5049942578537321</v>
      </c>
      <c r="F200">
        <v>2.855001546118654</v>
      </c>
      <c r="G200">
        <f t="shared" si="3"/>
        <v>0.35000728826492189</v>
      </c>
      <c r="H200">
        <v>1.055465061505679E-3</v>
      </c>
    </row>
    <row r="201" spans="1:8" x14ac:dyDescent="0.35">
      <c r="A201" t="s">
        <v>69</v>
      </c>
      <c r="B201" t="s">
        <v>52</v>
      </c>
      <c r="C201" t="s">
        <v>40</v>
      </c>
      <c r="D201">
        <v>2017</v>
      </c>
      <c r="E201">
        <v>2.763295099061525</v>
      </c>
      <c r="F201">
        <v>2.855001546118654</v>
      </c>
      <c r="G201">
        <f t="shared" si="3"/>
        <v>9.1706447057128937E-2</v>
      </c>
      <c r="H201">
        <v>1.055465061505679E-3</v>
      </c>
    </row>
    <row r="202" spans="1:8" x14ac:dyDescent="0.35">
      <c r="A202" t="s">
        <v>69</v>
      </c>
      <c r="B202" t="s">
        <v>51</v>
      </c>
      <c r="C202" t="s">
        <v>38</v>
      </c>
      <c r="D202">
        <v>2018</v>
      </c>
      <c r="E202">
        <v>2.5372488700963869</v>
      </c>
      <c r="F202">
        <v>2.367158610415725</v>
      </c>
      <c r="G202">
        <f t="shared" si="3"/>
        <v>-0.17009025968066194</v>
      </c>
      <c r="H202">
        <v>1.0194633256850379E-3</v>
      </c>
    </row>
    <row r="203" spans="1:8" x14ac:dyDescent="0.35">
      <c r="A203" t="s">
        <v>69</v>
      </c>
      <c r="B203" t="s">
        <v>53</v>
      </c>
      <c r="C203" t="s">
        <v>38</v>
      </c>
      <c r="D203">
        <v>2018</v>
      </c>
      <c r="E203">
        <v>2.5579730614092582</v>
      </c>
      <c r="F203">
        <v>2.367158610415725</v>
      </c>
      <c r="G203">
        <f t="shared" si="3"/>
        <v>-0.19081445099353322</v>
      </c>
      <c r="H203">
        <v>1.0194633256850379E-3</v>
      </c>
    </row>
    <row r="204" spans="1:8" x14ac:dyDescent="0.35">
      <c r="A204" t="s">
        <v>69</v>
      </c>
      <c r="B204" t="s">
        <v>52</v>
      </c>
      <c r="C204" t="s">
        <v>40</v>
      </c>
      <c r="D204">
        <v>2018</v>
      </c>
      <c r="E204">
        <v>2.3641938543665701</v>
      </c>
      <c r="F204">
        <v>2.367158610415725</v>
      </c>
      <c r="G204">
        <f t="shared" si="3"/>
        <v>2.9647560491548042E-3</v>
      </c>
      <c r="H204">
        <v>1.0194633256850379E-3</v>
      </c>
    </row>
    <row r="205" spans="1:8" x14ac:dyDescent="0.35">
      <c r="A205" t="s">
        <v>69</v>
      </c>
      <c r="B205" t="s">
        <v>54</v>
      </c>
      <c r="C205" t="s">
        <v>40</v>
      </c>
      <c r="D205">
        <v>2018</v>
      </c>
      <c r="E205">
        <v>2.8513007726971522</v>
      </c>
      <c r="F205">
        <v>2.367158610415725</v>
      </c>
      <c r="G205">
        <f t="shared" si="3"/>
        <v>-0.48414216228142726</v>
      </c>
      <c r="H205">
        <v>1.0194633256850379E-3</v>
      </c>
    </row>
    <row r="206" spans="1:8" x14ac:dyDescent="0.35">
      <c r="A206" t="s">
        <v>69</v>
      </c>
      <c r="B206" t="s">
        <v>53</v>
      </c>
      <c r="C206" t="s">
        <v>38</v>
      </c>
      <c r="D206">
        <v>2019</v>
      </c>
      <c r="E206">
        <v>2.1553608163649152</v>
      </c>
      <c r="F206">
        <v>1.9422910480512949</v>
      </c>
      <c r="G206">
        <f t="shared" si="3"/>
        <v>-0.21306976831362023</v>
      </c>
      <c r="H206">
        <v>1.030961216508944E-3</v>
      </c>
    </row>
    <row r="207" spans="1:8" x14ac:dyDescent="0.35">
      <c r="A207" t="s">
        <v>69</v>
      </c>
      <c r="B207" t="s">
        <v>55</v>
      </c>
      <c r="C207" t="s">
        <v>38</v>
      </c>
      <c r="D207">
        <v>2019</v>
      </c>
      <c r="E207">
        <v>1.870053317687548</v>
      </c>
      <c r="F207">
        <v>1.9422910480512949</v>
      </c>
      <c r="G207">
        <f t="shared" si="3"/>
        <v>7.2237730363746921E-2</v>
      </c>
      <c r="H207">
        <v>1.030961216508944E-3</v>
      </c>
    </row>
    <row r="208" spans="1:8" x14ac:dyDescent="0.35">
      <c r="A208" t="s">
        <v>69</v>
      </c>
      <c r="B208" t="s">
        <v>54</v>
      </c>
      <c r="C208" t="s">
        <v>40</v>
      </c>
      <c r="D208">
        <v>2019</v>
      </c>
      <c r="E208">
        <v>2.355960635013798</v>
      </c>
      <c r="F208">
        <v>1.9422910480512949</v>
      </c>
      <c r="G208">
        <f t="shared" si="3"/>
        <v>-0.41366958696250311</v>
      </c>
      <c r="H208">
        <v>1.030961216508944E-3</v>
      </c>
    </row>
    <row r="209" spans="1:8" x14ac:dyDescent="0.35">
      <c r="A209" t="s">
        <v>69</v>
      </c>
      <c r="B209" t="s">
        <v>56</v>
      </c>
      <c r="C209" t="s">
        <v>40</v>
      </c>
      <c r="D209">
        <v>2019</v>
      </c>
      <c r="E209">
        <v>2.0959399874803002</v>
      </c>
      <c r="F209">
        <v>1.9422910480512949</v>
      </c>
      <c r="G209">
        <f t="shared" si="3"/>
        <v>-0.15364893942900526</v>
      </c>
      <c r="H209">
        <v>1.030961216508944E-3</v>
      </c>
    </row>
    <row r="210" spans="1:8" x14ac:dyDescent="0.35">
      <c r="A210" t="s">
        <v>69</v>
      </c>
      <c r="B210" t="s">
        <v>55</v>
      </c>
      <c r="C210" t="s">
        <v>38</v>
      </c>
      <c r="D210">
        <v>2020</v>
      </c>
      <c r="E210">
        <v>1.490576223487361</v>
      </c>
      <c r="F210">
        <v>-11.58616521695834</v>
      </c>
      <c r="G210">
        <f t="shared" si="3"/>
        <v>-13.076741440445701</v>
      </c>
      <c r="H210">
        <v>1.089781682979109E-3</v>
      </c>
    </row>
    <row r="211" spans="1:8" x14ac:dyDescent="0.35">
      <c r="A211" t="s">
        <v>69</v>
      </c>
      <c r="B211" t="s">
        <v>57</v>
      </c>
      <c r="C211" t="s">
        <v>38</v>
      </c>
      <c r="D211">
        <v>2020</v>
      </c>
      <c r="E211">
        <v>-12.410533977614319</v>
      </c>
      <c r="F211">
        <v>-11.58616521695834</v>
      </c>
      <c r="G211">
        <f t="shared" si="3"/>
        <v>0.82436876065597886</v>
      </c>
      <c r="H211">
        <v>1.089781682979109E-3</v>
      </c>
    </row>
    <row r="212" spans="1:8" x14ac:dyDescent="0.35">
      <c r="A212" t="s">
        <v>69</v>
      </c>
      <c r="B212" t="s">
        <v>56</v>
      </c>
      <c r="C212" t="s">
        <v>40</v>
      </c>
      <c r="D212">
        <v>2020</v>
      </c>
      <c r="E212">
        <v>1.863359760106897</v>
      </c>
      <c r="F212">
        <v>-11.58616521695834</v>
      </c>
      <c r="G212">
        <f t="shared" si="3"/>
        <v>-13.449524977065238</v>
      </c>
      <c r="H212">
        <v>1.089781682979109E-3</v>
      </c>
    </row>
    <row r="213" spans="1:8" x14ac:dyDescent="0.35">
      <c r="A213" t="s">
        <v>69</v>
      </c>
      <c r="B213" t="s">
        <v>58</v>
      </c>
      <c r="C213" t="s">
        <v>40</v>
      </c>
      <c r="D213">
        <v>2020</v>
      </c>
      <c r="E213">
        <v>-9.3843459766278272</v>
      </c>
      <c r="F213">
        <v>-11.58616521695834</v>
      </c>
      <c r="G213">
        <f t="shared" si="3"/>
        <v>-2.2018192403305132</v>
      </c>
      <c r="H213">
        <v>1.089781682979109E-3</v>
      </c>
    </row>
    <row r="214" spans="1:8" x14ac:dyDescent="0.35">
      <c r="A214" t="s">
        <v>69</v>
      </c>
      <c r="B214" t="s">
        <v>57</v>
      </c>
      <c r="C214" t="s">
        <v>38</v>
      </c>
      <c r="D214">
        <v>2021</v>
      </c>
      <c r="E214">
        <v>5.3508536215682634</v>
      </c>
      <c r="F214">
        <v>6.4693143142877041</v>
      </c>
      <c r="G214">
        <f t="shared" si="3"/>
        <v>1.1184606927194407</v>
      </c>
      <c r="H214">
        <v>9.4978125409007018E-4</v>
      </c>
    </row>
    <row r="215" spans="1:8" x14ac:dyDescent="0.35">
      <c r="A215" t="s">
        <v>69</v>
      </c>
      <c r="B215" t="s">
        <v>59</v>
      </c>
      <c r="C215" t="s">
        <v>38</v>
      </c>
      <c r="D215">
        <v>2021</v>
      </c>
      <c r="E215">
        <v>4.6234510847103616</v>
      </c>
      <c r="F215">
        <v>6.4693143142877041</v>
      </c>
      <c r="G215">
        <f t="shared" si="3"/>
        <v>1.8458632295773425</v>
      </c>
      <c r="H215">
        <v>9.4978125409007018E-4</v>
      </c>
    </row>
    <row r="216" spans="1:8" x14ac:dyDescent="0.35">
      <c r="A216" t="s">
        <v>69</v>
      </c>
      <c r="B216" t="s">
        <v>58</v>
      </c>
      <c r="C216" t="s">
        <v>40</v>
      </c>
      <c r="D216">
        <v>2021</v>
      </c>
      <c r="E216">
        <v>6.9761759541974167</v>
      </c>
      <c r="F216">
        <v>6.4693143142877041</v>
      </c>
      <c r="G216">
        <f t="shared" si="3"/>
        <v>-0.50686163990971256</v>
      </c>
      <c r="H216">
        <v>9.4978125409007018E-4</v>
      </c>
    </row>
    <row r="217" spans="1:8" x14ac:dyDescent="0.35">
      <c r="A217" t="s">
        <v>69</v>
      </c>
      <c r="B217" t="s">
        <v>60</v>
      </c>
      <c r="C217" t="s">
        <v>40</v>
      </c>
      <c r="D217">
        <v>2021</v>
      </c>
      <c r="E217">
        <v>5.8812532644924698</v>
      </c>
      <c r="F217">
        <v>6.4693143142877041</v>
      </c>
      <c r="G217">
        <f t="shared" si="3"/>
        <v>0.58806104979523433</v>
      </c>
      <c r="H217">
        <v>9.4978125409007018E-4</v>
      </c>
    </row>
    <row r="218" spans="1:8" x14ac:dyDescent="0.35">
      <c r="A218" t="s">
        <v>69</v>
      </c>
      <c r="B218" t="s">
        <v>59</v>
      </c>
      <c r="C218" t="s">
        <v>38</v>
      </c>
      <c r="D218">
        <v>2022</v>
      </c>
      <c r="E218">
        <v>5.5278236152833893</v>
      </c>
      <c r="F218">
        <v>6.1757125573772758</v>
      </c>
      <c r="G218">
        <f t="shared" si="3"/>
        <v>0.64788894209388648</v>
      </c>
      <c r="H218">
        <v>7.4930942000427699E-4</v>
      </c>
    </row>
    <row r="219" spans="1:8" x14ac:dyDescent="0.35">
      <c r="A219" t="s">
        <v>69</v>
      </c>
      <c r="B219" t="s">
        <v>61</v>
      </c>
      <c r="C219" t="s">
        <v>38</v>
      </c>
      <c r="D219">
        <v>2022</v>
      </c>
      <c r="E219">
        <v>4.547669246739372</v>
      </c>
      <c r="F219">
        <v>6.1757125573772758</v>
      </c>
      <c r="G219">
        <f t="shared" si="3"/>
        <v>1.6280433106379038</v>
      </c>
      <c r="H219">
        <v>7.4930942000427699E-4</v>
      </c>
    </row>
    <row r="220" spans="1:8" x14ac:dyDescent="0.35">
      <c r="A220" t="s">
        <v>69</v>
      </c>
      <c r="B220" t="s">
        <v>60</v>
      </c>
      <c r="C220" t="s">
        <v>40</v>
      </c>
      <c r="D220">
        <v>2022</v>
      </c>
      <c r="E220">
        <v>6.7779918001151573</v>
      </c>
      <c r="F220">
        <v>6.1757125573772758</v>
      </c>
      <c r="G220">
        <f t="shared" si="3"/>
        <v>-0.60227924273788158</v>
      </c>
      <c r="H220">
        <v>7.4930942000427699E-4</v>
      </c>
    </row>
    <row r="221" spans="1:8" x14ac:dyDescent="0.35">
      <c r="A221" t="s">
        <v>69</v>
      </c>
      <c r="B221" t="s">
        <v>62</v>
      </c>
      <c r="C221" t="s">
        <v>40</v>
      </c>
      <c r="D221">
        <v>2022</v>
      </c>
      <c r="E221">
        <v>4.0260894815609127</v>
      </c>
      <c r="F221">
        <v>6.1757125573772758</v>
      </c>
      <c r="G221">
        <f t="shared" si="3"/>
        <v>2.149623075816363</v>
      </c>
      <c r="H221">
        <v>7.4930942000427699E-4</v>
      </c>
    </row>
    <row r="222" spans="1:8" x14ac:dyDescent="0.35">
      <c r="A222" t="s">
        <v>69</v>
      </c>
      <c r="B222" t="s">
        <v>61</v>
      </c>
      <c r="C222" t="s">
        <v>38</v>
      </c>
      <c r="D222">
        <v>2023</v>
      </c>
      <c r="E222">
        <v>0.95503996038659444</v>
      </c>
      <c r="F222">
        <v>2.4309784639696339</v>
      </c>
      <c r="G222">
        <f t="shared" si="3"/>
        <v>1.4759385035830395</v>
      </c>
      <c r="H222">
        <v>8.3245038969018029E-4</v>
      </c>
    </row>
    <row r="223" spans="1:8" x14ac:dyDescent="0.35">
      <c r="A223" t="s">
        <v>69</v>
      </c>
      <c r="B223" t="s">
        <v>63</v>
      </c>
      <c r="C223" t="s">
        <v>38</v>
      </c>
      <c r="D223">
        <v>2023</v>
      </c>
      <c r="E223">
        <v>2.3654844972287088</v>
      </c>
      <c r="F223">
        <v>2.4309784639696339</v>
      </c>
      <c r="G223">
        <f t="shared" si="3"/>
        <v>6.5493966740925114E-2</v>
      </c>
      <c r="H223">
        <v>8.3245038969018029E-4</v>
      </c>
    </row>
    <row r="224" spans="1:8" x14ac:dyDescent="0.35">
      <c r="A224" t="s">
        <v>69</v>
      </c>
      <c r="B224" t="s">
        <v>62</v>
      </c>
      <c r="C224" t="s">
        <v>40</v>
      </c>
      <c r="D224">
        <v>2023</v>
      </c>
      <c r="E224">
        <v>3.3729684974310499</v>
      </c>
      <c r="F224">
        <v>2.4309784639696339</v>
      </c>
      <c r="G224">
        <f t="shared" si="3"/>
        <v>-0.94199003346141597</v>
      </c>
      <c r="H224">
        <v>8.3245038969018029E-4</v>
      </c>
    </row>
    <row r="225" spans="1:8" x14ac:dyDescent="0.35">
      <c r="A225" t="s">
        <v>69</v>
      </c>
      <c r="B225" t="s">
        <v>64</v>
      </c>
      <c r="C225" t="s">
        <v>40</v>
      </c>
      <c r="D225">
        <v>2023</v>
      </c>
      <c r="E225">
        <v>1.9366811763456671</v>
      </c>
      <c r="F225">
        <v>2.4309784639696339</v>
      </c>
      <c r="G225">
        <f t="shared" si="3"/>
        <v>0.49429728762396685</v>
      </c>
      <c r="H225">
        <v>8.3245038969018029E-4</v>
      </c>
    </row>
    <row r="226" spans="1:8" x14ac:dyDescent="0.35">
      <c r="A226" t="s">
        <v>69</v>
      </c>
      <c r="B226" t="s">
        <v>63</v>
      </c>
      <c r="C226" t="s">
        <v>38</v>
      </c>
      <c r="D226">
        <v>2024</v>
      </c>
      <c r="E226">
        <v>1.660542743130144</v>
      </c>
      <c r="F226">
        <v>3.3969031373447791</v>
      </c>
      <c r="G226">
        <f t="shared" si="3"/>
        <v>1.7363603942146351</v>
      </c>
      <c r="H226">
        <v>8.3940839252033268E-4</v>
      </c>
    </row>
    <row r="227" spans="1:8" x14ac:dyDescent="0.35">
      <c r="A227" t="s">
        <v>69</v>
      </c>
      <c r="B227" t="s">
        <v>65</v>
      </c>
      <c r="C227" t="s">
        <v>38</v>
      </c>
      <c r="D227">
        <v>2024</v>
      </c>
      <c r="E227">
        <v>2.966936931003072</v>
      </c>
      <c r="F227">
        <v>3.3969031373447791</v>
      </c>
      <c r="G227">
        <f t="shared" si="3"/>
        <v>0.42996620634170712</v>
      </c>
      <c r="H227">
        <v>8.3940839252033268E-4</v>
      </c>
    </row>
    <row r="228" spans="1:8" x14ac:dyDescent="0.35">
      <c r="A228" t="s">
        <v>69</v>
      </c>
      <c r="B228" t="s">
        <v>64</v>
      </c>
      <c r="C228" t="s">
        <v>40</v>
      </c>
      <c r="D228">
        <v>2024</v>
      </c>
      <c r="E228">
        <v>1.9648768473316871</v>
      </c>
      <c r="F228">
        <v>3.3969031373447791</v>
      </c>
      <c r="G228">
        <f t="shared" si="3"/>
        <v>1.432026290013092</v>
      </c>
      <c r="H228">
        <v>8.3940839252033268E-4</v>
      </c>
    </row>
    <row r="229" spans="1:8" x14ac:dyDescent="0.35">
      <c r="A229" t="s">
        <v>69</v>
      </c>
      <c r="B229" t="s">
        <v>66</v>
      </c>
      <c r="C229" t="s">
        <v>40</v>
      </c>
      <c r="D229">
        <v>2024</v>
      </c>
      <c r="E229">
        <v>2.1447304612078222</v>
      </c>
      <c r="F229">
        <v>3.3969031373447791</v>
      </c>
      <c r="G229">
        <f t="shared" si="3"/>
        <v>1.2521726761369569</v>
      </c>
      <c r="H229">
        <v>8.3940839252033268E-4</v>
      </c>
    </row>
    <row r="230" spans="1:8" x14ac:dyDescent="0.35">
      <c r="A230" t="s">
        <v>69</v>
      </c>
      <c r="B230" t="s">
        <v>65</v>
      </c>
      <c r="C230" t="s">
        <v>38</v>
      </c>
      <c r="D230">
        <v>2025</v>
      </c>
      <c r="E230">
        <v>2.3460653050844331</v>
      </c>
      <c r="F230">
        <v>2.7857852243734129</v>
      </c>
      <c r="G230">
        <f t="shared" si="3"/>
        <v>0.4397199192889798</v>
      </c>
      <c r="H230">
        <v>8.3940839252033268E-4</v>
      </c>
    </row>
    <row r="231" spans="1:8" x14ac:dyDescent="0.35">
      <c r="A231" t="s">
        <v>69</v>
      </c>
      <c r="B231" t="s">
        <v>71</v>
      </c>
      <c r="C231" t="s">
        <v>38</v>
      </c>
      <c r="D231">
        <v>2025</v>
      </c>
      <c r="E231">
        <v>2.8680409593299978</v>
      </c>
      <c r="F231">
        <v>2.7857852243734129</v>
      </c>
      <c r="G231">
        <f t="shared" si="3"/>
        <v>-8.2255734956584892E-2</v>
      </c>
      <c r="H231">
        <v>8.3940839252033268E-4</v>
      </c>
    </row>
    <row r="232" spans="1:8" x14ac:dyDescent="0.35">
      <c r="A232" t="s">
        <v>69</v>
      </c>
      <c r="B232" t="s">
        <v>66</v>
      </c>
      <c r="C232" t="s">
        <v>40</v>
      </c>
      <c r="D232">
        <v>2025</v>
      </c>
      <c r="E232">
        <v>1.947420292593427</v>
      </c>
      <c r="F232">
        <v>2.7857852243734129</v>
      </c>
      <c r="G232">
        <f t="shared" si="3"/>
        <v>0.83836493177998594</v>
      </c>
      <c r="H232">
        <v>8.3940839252033268E-4</v>
      </c>
    </row>
    <row r="233" spans="1:8" x14ac:dyDescent="0.35">
      <c r="A233" t="s">
        <v>69</v>
      </c>
      <c r="B233" t="s">
        <v>72</v>
      </c>
      <c r="C233" t="s">
        <v>40</v>
      </c>
      <c r="D233">
        <v>2025</v>
      </c>
      <c r="E233">
        <v>2.5510068501240162</v>
      </c>
      <c r="F233">
        <v>2.7857852243734129</v>
      </c>
      <c r="G233">
        <f t="shared" si="3"/>
        <v>0.23477837424939674</v>
      </c>
      <c r="H233">
        <v>8.3940839252033268E-4</v>
      </c>
    </row>
    <row r="234" spans="1:8" x14ac:dyDescent="0.35">
      <c r="A234" t="s">
        <v>70</v>
      </c>
      <c r="B234" t="s">
        <v>37</v>
      </c>
      <c r="C234" t="s">
        <v>38</v>
      </c>
      <c r="D234">
        <v>2011</v>
      </c>
      <c r="E234">
        <v>3.0836871961199548</v>
      </c>
      <c r="F234">
        <v>2.3627089602501679</v>
      </c>
      <c r="G234">
        <f t="shared" si="3"/>
        <v>-0.72097823586978693</v>
      </c>
      <c r="H234">
        <v>2.246638775038663E-3</v>
      </c>
    </row>
    <row r="235" spans="1:8" x14ac:dyDescent="0.35">
      <c r="A235" t="s">
        <v>70</v>
      </c>
      <c r="B235" t="s">
        <v>39</v>
      </c>
      <c r="C235" t="s">
        <v>40</v>
      </c>
      <c r="D235">
        <v>2011</v>
      </c>
      <c r="E235">
        <v>3.7117323527364081</v>
      </c>
      <c r="F235">
        <v>2.3627089602501679</v>
      </c>
      <c r="G235">
        <f t="shared" si="3"/>
        <v>-1.3490233924862403</v>
      </c>
      <c r="H235">
        <v>2.246638775038663E-3</v>
      </c>
    </row>
    <row r="236" spans="1:8" x14ac:dyDescent="0.35">
      <c r="A236" t="s">
        <v>70</v>
      </c>
      <c r="B236" t="s">
        <v>37</v>
      </c>
      <c r="C236" t="s">
        <v>38</v>
      </c>
      <c r="D236">
        <v>2012</v>
      </c>
      <c r="E236">
        <v>1.3616175851251631</v>
      </c>
      <c r="F236">
        <v>-1.535091308900344</v>
      </c>
      <c r="G236">
        <f t="shared" si="3"/>
        <v>-2.8967088940255072</v>
      </c>
      <c r="H236">
        <v>2.221772318620354E-3</v>
      </c>
    </row>
    <row r="237" spans="1:8" x14ac:dyDescent="0.35">
      <c r="A237" t="s">
        <v>70</v>
      </c>
      <c r="B237" t="s">
        <v>41</v>
      </c>
      <c r="C237" t="s">
        <v>38</v>
      </c>
      <c r="D237">
        <v>2012</v>
      </c>
      <c r="E237">
        <v>8.5468057722093427E-2</v>
      </c>
      <c r="F237">
        <v>-1.535091308900344</v>
      </c>
      <c r="G237">
        <f t="shared" si="3"/>
        <v>-1.6205593666224374</v>
      </c>
      <c r="H237">
        <v>2.221772318620354E-3</v>
      </c>
    </row>
    <row r="238" spans="1:8" x14ac:dyDescent="0.35">
      <c r="A238" t="s">
        <v>70</v>
      </c>
      <c r="B238" t="s">
        <v>39</v>
      </c>
      <c r="C238" t="s">
        <v>40</v>
      </c>
      <c r="D238">
        <v>2012</v>
      </c>
      <c r="E238">
        <v>2.5703100446408111</v>
      </c>
      <c r="F238">
        <v>-1.535091308900344</v>
      </c>
      <c r="G238">
        <f t="shared" si="3"/>
        <v>-4.1054013535411551</v>
      </c>
      <c r="H238">
        <v>2.221772318620354E-3</v>
      </c>
    </row>
    <row r="239" spans="1:8" x14ac:dyDescent="0.35">
      <c r="A239" t="s">
        <v>70</v>
      </c>
      <c r="B239" t="s">
        <v>42</v>
      </c>
      <c r="C239" t="s">
        <v>40</v>
      </c>
      <c r="D239">
        <v>2012</v>
      </c>
      <c r="E239">
        <v>0.75750436999100224</v>
      </c>
      <c r="F239">
        <v>-1.535091308900344</v>
      </c>
      <c r="G239">
        <f t="shared" si="3"/>
        <v>-2.2925956788913462</v>
      </c>
      <c r="H239">
        <v>2.221772318620354E-3</v>
      </c>
    </row>
    <row r="240" spans="1:8" x14ac:dyDescent="0.35">
      <c r="A240" t="s">
        <v>70</v>
      </c>
      <c r="B240" t="s">
        <v>41</v>
      </c>
      <c r="C240" t="s">
        <v>38</v>
      </c>
      <c r="D240">
        <v>2013</v>
      </c>
      <c r="E240">
        <v>0.81963861469160904</v>
      </c>
      <c r="F240">
        <v>-0.98304238782565612</v>
      </c>
      <c r="G240">
        <f t="shared" si="3"/>
        <v>-1.8026810025172653</v>
      </c>
      <c r="H240">
        <v>2.2729743091563109E-3</v>
      </c>
    </row>
    <row r="241" spans="1:8" x14ac:dyDescent="0.35">
      <c r="A241" t="s">
        <v>70</v>
      </c>
      <c r="B241" t="s">
        <v>43</v>
      </c>
      <c r="C241" t="s">
        <v>38</v>
      </c>
      <c r="D241">
        <v>2013</v>
      </c>
      <c r="E241">
        <v>-0.64479636656290529</v>
      </c>
      <c r="F241">
        <v>-0.98304238782565612</v>
      </c>
      <c r="G241">
        <f t="shared" si="3"/>
        <v>-0.33824602126275083</v>
      </c>
      <c r="H241">
        <v>2.2729743091563109E-3</v>
      </c>
    </row>
    <row r="242" spans="1:8" x14ac:dyDescent="0.35">
      <c r="A242" t="s">
        <v>70</v>
      </c>
      <c r="B242" t="s">
        <v>42</v>
      </c>
      <c r="C242" t="s">
        <v>40</v>
      </c>
      <c r="D242">
        <v>2013</v>
      </c>
      <c r="E242">
        <v>1.5995384631571461</v>
      </c>
      <c r="F242">
        <v>-0.98304238782565612</v>
      </c>
      <c r="G242">
        <f t="shared" si="3"/>
        <v>-2.5825808509828021</v>
      </c>
      <c r="H242">
        <v>2.2729743091563109E-3</v>
      </c>
    </row>
    <row r="243" spans="1:8" x14ac:dyDescent="0.35">
      <c r="A243" t="s">
        <v>70</v>
      </c>
      <c r="B243" t="s">
        <v>44</v>
      </c>
      <c r="C243" t="s">
        <v>40</v>
      </c>
      <c r="D243">
        <v>2013</v>
      </c>
      <c r="E243">
        <v>0.28709236983106567</v>
      </c>
      <c r="F243">
        <v>-0.98304238782565612</v>
      </c>
      <c r="G243">
        <f t="shared" si="3"/>
        <v>-1.2701347576567219</v>
      </c>
      <c r="H243">
        <v>2.2729743091563109E-3</v>
      </c>
    </row>
    <row r="244" spans="1:8" x14ac:dyDescent="0.35">
      <c r="A244" t="s">
        <v>70</v>
      </c>
      <c r="B244" t="s">
        <v>43</v>
      </c>
      <c r="C244" t="s">
        <v>38</v>
      </c>
      <c r="D244">
        <v>2014</v>
      </c>
      <c r="E244">
        <v>0.58013506796126268</v>
      </c>
      <c r="F244">
        <v>-0.47970961562021558</v>
      </c>
      <c r="G244">
        <f t="shared" si="3"/>
        <v>-1.0598446835814783</v>
      </c>
      <c r="H244">
        <v>2.2995608675575492E-3</v>
      </c>
    </row>
    <row r="245" spans="1:8" x14ac:dyDescent="0.35">
      <c r="A245" t="s">
        <v>70</v>
      </c>
      <c r="B245" t="s">
        <v>45</v>
      </c>
      <c r="C245" t="s">
        <v>38</v>
      </c>
      <c r="D245">
        <v>2014</v>
      </c>
      <c r="E245">
        <v>-0.44253897907734491</v>
      </c>
      <c r="F245">
        <v>-0.47970961562021558</v>
      </c>
      <c r="G245">
        <f t="shared" si="3"/>
        <v>-3.7170636542870672E-2</v>
      </c>
      <c r="H245">
        <v>2.2995608675575492E-3</v>
      </c>
    </row>
    <row r="246" spans="1:8" x14ac:dyDescent="0.35">
      <c r="A246" t="s">
        <v>70</v>
      </c>
      <c r="B246" t="s">
        <v>44</v>
      </c>
      <c r="C246" t="s">
        <v>40</v>
      </c>
      <c r="D246">
        <v>2014</v>
      </c>
      <c r="E246">
        <v>1.00425732590641</v>
      </c>
      <c r="F246">
        <v>-0.47970961562021558</v>
      </c>
      <c r="G246">
        <f t="shared" si="3"/>
        <v>-1.4839669415266257</v>
      </c>
      <c r="H246">
        <v>2.2995608675575492E-3</v>
      </c>
    </row>
    <row r="247" spans="1:8" x14ac:dyDescent="0.35">
      <c r="A247" t="s">
        <v>70</v>
      </c>
      <c r="B247" t="s">
        <v>46</v>
      </c>
      <c r="C247" t="s">
        <v>40</v>
      </c>
      <c r="D247">
        <v>2014</v>
      </c>
      <c r="E247">
        <v>0.1752479290949793</v>
      </c>
      <c r="F247">
        <v>-0.47970961562021558</v>
      </c>
      <c r="G247">
        <f t="shared" si="3"/>
        <v>-0.65495754471519485</v>
      </c>
      <c r="H247">
        <v>2.2995608675575492E-3</v>
      </c>
    </row>
    <row r="248" spans="1:8" x14ac:dyDescent="0.35">
      <c r="A248" t="s">
        <v>70</v>
      </c>
      <c r="B248" t="s">
        <v>45</v>
      </c>
      <c r="C248" t="s">
        <v>38</v>
      </c>
      <c r="D248">
        <v>2015</v>
      </c>
      <c r="E248">
        <v>0.6115453306968277</v>
      </c>
      <c r="F248">
        <v>0.46533578746174248</v>
      </c>
      <c r="G248">
        <f t="shared" si="3"/>
        <v>-0.14620954323508523</v>
      </c>
      <c r="H248">
        <v>2.3842383404991431E-3</v>
      </c>
    </row>
    <row r="249" spans="1:8" x14ac:dyDescent="0.35">
      <c r="A249" t="s">
        <v>70</v>
      </c>
      <c r="B249" t="s">
        <v>47</v>
      </c>
      <c r="C249" t="s">
        <v>38</v>
      </c>
      <c r="D249">
        <v>2015</v>
      </c>
      <c r="E249">
        <v>0.33999838965084178</v>
      </c>
      <c r="F249">
        <v>0.46533578746174248</v>
      </c>
      <c r="G249">
        <f t="shared" si="3"/>
        <v>0.1253373978109007</v>
      </c>
      <c r="H249">
        <v>2.3842383404991431E-3</v>
      </c>
    </row>
    <row r="250" spans="1:8" x14ac:dyDescent="0.35">
      <c r="A250" t="s">
        <v>70</v>
      </c>
      <c r="B250" t="s">
        <v>46</v>
      </c>
      <c r="C250" t="s">
        <v>40</v>
      </c>
      <c r="D250">
        <v>2015</v>
      </c>
      <c r="E250">
        <v>1.03813878882193</v>
      </c>
      <c r="F250">
        <v>0.46533578746174248</v>
      </c>
      <c r="G250">
        <f t="shared" si="3"/>
        <v>-0.57280300136018747</v>
      </c>
      <c r="H250">
        <v>2.3842383404991431E-3</v>
      </c>
    </row>
    <row r="251" spans="1:8" x14ac:dyDescent="0.35">
      <c r="A251" t="s">
        <v>70</v>
      </c>
      <c r="B251" t="s">
        <v>48</v>
      </c>
      <c r="C251" t="s">
        <v>40</v>
      </c>
      <c r="D251">
        <v>2015</v>
      </c>
      <c r="E251">
        <v>0.34221817011690359</v>
      </c>
      <c r="F251">
        <v>0.46533578746174248</v>
      </c>
      <c r="G251">
        <f t="shared" si="3"/>
        <v>0.12311761734483889</v>
      </c>
      <c r="H251">
        <v>2.3842383404991431E-3</v>
      </c>
    </row>
    <row r="252" spans="1:8" x14ac:dyDescent="0.35">
      <c r="A252" t="s">
        <v>70</v>
      </c>
      <c r="B252" t="s">
        <v>47</v>
      </c>
      <c r="C252" t="s">
        <v>38</v>
      </c>
      <c r="D252">
        <v>2016</v>
      </c>
      <c r="E252">
        <v>0.66078776686688823</v>
      </c>
      <c r="F252">
        <v>2.5394630680659041</v>
      </c>
      <c r="G252">
        <f t="shared" si="3"/>
        <v>1.8786753011990158</v>
      </c>
      <c r="H252">
        <v>2.119508085382079E-3</v>
      </c>
    </row>
    <row r="253" spans="1:8" x14ac:dyDescent="0.35">
      <c r="A253" t="s">
        <v>70</v>
      </c>
      <c r="B253" t="s">
        <v>49</v>
      </c>
      <c r="C253" t="s">
        <v>38</v>
      </c>
      <c r="D253">
        <v>2016</v>
      </c>
      <c r="E253">
        <v>0.8211412144474739</v>
      </c>
      <c r="F253">
        <v>2.5394630680659041</v>
      </c>
      <c r="G253">
        <f t="shared" si="3"/>
        <v>1.7183218536184302</v>
      </c>
      <c r="H253">
        <v>2.119508085382079E-3</v>
      </c>
    </row>
    <row r="254" spans="1:8" x14ac:dyDescent="0.35">
      <c r="A254" t="s">
        <v>70</v>
      </c>
      <c r="B254" t="s">
        <v>48</v>
      </c>
      <c r="C254" t="s">
        <v>40</v>
      </c>
      <c r="D254">
        <v>2016</v>
      </c>
      <c r="E254">
        <v>1.029139259030432</v>
      </c>
      <c r="F254">
        <v>2.5394630680659041</v>
      </c>
      <c r="G254">
        <f t="shared" si="3"/>
        <v>1.510323809035472</v>
      </c>
      <c r="H254">
        <v>2.119508085382079E-3</v>
      </c>
    </row>
    <row r="255" spans="1:8" x14ac:dyDescent="0.35">
      <c r="A255" t="s">
        <v>70</v>
      </c>
      <c r="B255" t="s">
        <v>50</v>
      </c>
      <c r="C255" t="s">
        <v>40</v>
      </c>
      <c r="D255">
        <v>2016</v>
      </c>
      <c r="E255">
        <v>0.68041183214515577</v>
      </c>
      <c r="F255">
        <v>2.5394630680659041</v>
      </c>
      <c r="G255">
        <f t="shared" si="3"/>
        <v>1.8590512359207483</v>
      </c>
      <c r="H255">
        <v>2.119508085382079E-3</v>
      </c>
    </row>
    <row r="256" spans="1:8" x14ac:dyDescent="0.35">
      <c r="A256" t="s">
        <v>70</v>
      </c>
      <c r="B256" t="s">
        <v>49</v>
      </c>
      <c r="C256" t="s">
        <v>38</v>
      </c>
      <c r="D256">
        <v>2017</v>
      </c>
      <c r="E256">
        <v>0.7788253796826794</v>
      </c>
      <c r="F256">
        <v>3.2509193804219478</v>
      </c>
      <c r="G256">
        <f t="shared" si="3"/>
        <v>2.4720940007392684</v>
      </c>
      <c r="H256">
        <v>2.32800040837888E-3</v>
      </c>
    </row>
    <row r="257" spans="1:8" x14ac:dyDescent="0.35">
      <c r="A257" t="s">
        <v>70</v>
      </c>
      <c r="B257" t="s">
        <v>51</v>
      </c>
      <c r="C257" t="s">
        <v>38</v>
      </c>
      <c r="D257">
        <v>2017</v>
      </c>
      <c r="E257">
        <v>3.2999705467780189</v>
      </c>
      <c r="F257">
        <v>3.2509193804219478</v>
      </c>
      <c r="G257">
        <f t="shared" si="3"/>
        <v>-4.9051166356071096E-2</v>
      </c>
      <c r="H257">
        <v>2.32800040837888E-3</v>
      </c>
    </row>
    <row r="258" spans="1:8" x14ac:dyDescent="0.35">
      <c r="A258" t="s">
        <v>70</v>
      </c>
      <c r="B258" t="s">
        <v>50</v>
      </c>
      <c r="C258" t="s">
        <v>40</v>
      </c>
      <c r="D258">
        <v>2017</v>
      </c>
      <c r="E258">
        <v>0.72652337554917068</v>
      </c>
      <c r="F258">
        <v>3.2509193804219478</v>
      </c>
      <c r="G258">
        <f t="shared" ref="G258:G321" si="4">IF(OR(F258="",E258=""),"",F258-E258)</f>
        <v>2.5243960048727772</v>
      </c>
      <c r="H258">
        <v>2.32800040837888E-3</v>
      </c>
    </row>
    <row r="259" spans="1:8" x14ac:dyDescent="0.35">
      <c r="A259" t="s">
        <v>70</v>
      </c>
      <c r="B259" t="s">
        <v>52</v>
      </c>
      <c r="C259" t="s">
        <v>40</v>
      </c>
      <c r="D259">
        <v>2017</v>
      </c>
      <c r="E259">
        <v>1.2981877046543739</v>
      </c>
      <c r="F259">
        <v>3.2509193804219478</v>
      </c>
      <c r="G259">
        <f t="shared" si="4"/>
        <v>1.9527316757675739</v>
      </c>
      <c r="H259">
        <v>2.32800040837888E-3</v>
      </c>
    </row>
    <row r="260" spans="1:8" x14ac:dyDescent="0.35">
      <c r="A260" t="s">
        <v>70</v>
      </c>
      <c r="B260" t="s">
        <v>51</v>
      </c>
      <c r="C260" t="s">
        <v>38</v>
      </c>
      <c r="D260">
        <v>2018</v>
      </c>
      <c r="E260">
        <v>2.6543445907794232</v>
      </c>
      <c r="F260">
        <v>1.1858569030435471</v>
      </c>
      <c r="G260">
        <f t="shared" si="4"/>
        <v>-1.4684876877358761</v>
      </c>
      <c r="H260">
        <v>2.5051102543123412E-3</v>
      </c>
    </row>
    <row r="261" spans="1:8" x14ac:dyDescent="0.35">
      <c r="A261" t="s">
        <v>70</v>
      </c>
      <c r="B261" t="s">
        <v>53</v>
      </c>
      <c r="C261" t="s">
        <v>38</v>
      </c>
      <c r="D261">
        <v>2018</v>
      </c>
      <c r="E261">
        <v>2.8893530093298199</v>
      </c>
      <c r="F261">
        <v>1.1858569030435471</v>
      </c>
      <c r="G261">
        <f t="shared" si="4"/>
        <v>-1.7034961062862728</v>
      </c>
      <c r="H261">
        <v>2.5051102543123412E-3</v>
      </c>
    </row>
    <row r="262" spans="1:8" x14ac:dyDescent="0.35">
      <c r="A262" t="s">
        <v>70</v>
      </c>
      <c r="B262" t="s">
        <v>52</v>
      </c>
      <c r="C262" t="s">
        <v>40</v>
      </c>
      <c r="D262">
        <v>2018</v>
      </c>
      <c r="E262">
        <v>1.745345139008192</v>
      </c>
      <c r="F262">
        <v>1.1858569030435471</v>
      </c>
      <c r="G262">
        <f t="shared" si="4"/>
        <v>-0.55948823596464492</v>
      </c>
      <c r="H262">
        <v>2.5051102543123412E-3</v>
      </c>
    </row>
    <row r="263" spans="1:8" x14ac:dyDescent="0.35">
      <c r="A263" t="s">
        <v>70</v>
      </c>
      <c r="B263" t="s">
        <v>54</v>
      </c>
      <c r="C263" t="s">
        <v>40</v>
      </c>
      <c r="D263">
        <v>2018</v>
      </c>
      <c r="E263">
        <v>2.519865182310288</v>
      </c>
      <c r="F263">
        <v>1.1858569030435471</v>
      </c>
      <c r="G263">
        <f t="shared" si="4"/>
        <v>-1.3340082792667409</v>
      </c>
      <c r="H263">
        <v>2.5051102543123412E-3</v>
      </c>
    </row>
    <row r="264" spans="1:8" x14ac:dyDescent="0.35">
      <c r="A264" t="s">
        <v>70</v>
      </c>
      <c r="B264" t="s">
        <v>53</v>
      </c>
      <c r="C264" t="s">
        <v>38</v>
      </c>
      <c r="D264">
        <v>2019</v>
      </c>
      <c r="E264">
        <v>2.1742555460234851</v>
      </c>
      <c r="F264">
        <v>1.3406806953806429</v>
      </c>
      <c r="G264">
        <f t="shared" si="4"/>
        <v>-0.8335748506428422</v>
      </c>
      <c r="H264">
        <v>2.3865214906629842E-3</v>
      </c>
    </row>
    <row r="265" spans="1:8" x14ac:dyDescent="0.35">
      <c r="A265" t="s">
        <v>70</v>
      </c>
      <c r="B265" t="s">
        <v>55</v>
      </c>
      <c r="C265" t="s">
        <v>38</v>
      </c>
      <c r="D265">
        <v>2019</v>
      </c>
      <c r="E265">
        <v>1.354791564440649</v>
      </c>
      <c r="F265">
        <v>1.3406806953806429</v>
      </c>
      <c r="G265">
        <f t="shared" si="4"/>
        <v>-1.4110869060006026E-2</v>
      </c>
      <c r="H265">
        <v>2.3865214906629842E-3</v>
      </c>
    </row>
    <row r="266" spans="1:8" x14ac:dyDescent="0.35">
      <c r="A266" t="s">
        <v>70</v>
      </c>
      <c r="B266" t="s">
        <v>54</v>
      </c>
      <c r="C266" t="s">
        <v>40</v>
      </c>
      <c r="D266">
        <v>2019</v>
      </c>
      <c r="E266">
        <v>2.2702366672909808</v>
      </c>
      <c r="F266">
        <v>1.3406806953806429</v>
      </c>
      <c r="G266">
        <f t="shared" si="4"/>
        <v>-0.9295559719103379</v>
      </c>
      <c r="H266">
        <v>2.3865214906629842E-3</v>
      </c>
    </row>
    <row r="267" spans="1:8" x14ac:dyDescent="0.35">
      <c r="A267" t="s">
        <v>70</v>
      </c>
      <c r="B267" t="s">
        <v>56</v>
      </c>
      <c r="C267" t="s">
        <v>40</v>
      </c>
      <c r="D267">
        <v>2019</v>
      </c>
      <c r="E267">
        <v>1.638521358484613</v>
      </c>
      <c r="F267">
        <v>1.3406806953806429</v>
      </c>
      <c r="G267">
        <f t="shared" si="4"/>
        <v>-0.29784066310397006</v>
      </c>
      <c r="H267">
        <v>2.3865214906629842E-3</v>
      </c>
    </row>
    <row r="268" spans="1:8" x14ac:dyDescent="0.35">
      <c r="A268" t="s">
        <v>70</v>
      </c>
      <c r="B268" t="s">
        <v>55</v>
      </c>
      <c r="C268" t="s">
        <v>38</v>
      </c>
      <c r="D268">
        <v>2020</v>
      </c>
      <c r="E268">
        <v>1.1013866566023991</v>
      </c>
      <c r="F268">
        <v>-2.5216639551613449</v>
      </c>
      <c r="G268">
        <f t="shared" si="4"/>
        <v>-3.6230506117637438</v>
      </c>
      <c r="H268">
        <v>1.9365478320968409E-3</v>
      </c>
    </row>
    <row r="269" spans="1:8" x14ac:dyDescent="0.35">
      <c r="A269" t="s">
        <v>70</v>
      </c>
      <c r="B269" t="s">
        <v>57</v>
      </c>
      <c r="C269" t="s">
        <v>38</v>
      </c>
      <c r="D269">
        <v>2020</v>
      </c>
      <c r="E269">
        <v>-4.2712767573150012</v>
      </c>
      <c r="F269">
        <v>-2.5216639551613449</v>
      </c>
      <c r="G269">
        <f t="shared" si="4"/>
        <v>1.7496128021536563</v>
      </c>
      <c r="H269">
        <v>1.9365478320968409E-3</v>
      </c>
    </row>
    <row r="270" spans="1:8" x14ac:dyDescent="0.35">
      <c r="A270" t="s">
        <v>70</v>
      </c>
      <c r="B270" t="s">
        <v>56</v>
      </c>
      <c r="C270" t="s">
        <v>40</v>
      </c>
      <c r="D270">
        <v>2020</v>
      </c>
      <c r="E270">
        <v>1.1658655715774511</v>
      </c>
      <c r="F270">
        <v>-2.5216639551613449</v>
      </c>
      <c r="G270">
        <f t="shared" si="4"/>
        <v>-3.6875295267387962</v>
      </c>
      <c r="H270">
        <v>1.9365478320968409E-3</v>
      </c>
    </row>
    <row r="271" spans="1:8" x14ac:dyDescent="0.35">
      <c r="A271" t="s">
        <v>70</v>
      </c>
      <c r="B271" t="s">
        <v>58</v>
      </c>
      <c r="C271" t="s">
        <v>40</v>
      </c>
      <c r="D271">
        <v>2020</v>
      </c>
      <c r="E271">
        <v>-6.3340086382144829</v>
      </c>
      <c r="F271">
        <v>-2.5216639551613449</v>
      </c>
      <c r="G271">
        <f t="shared" si="4"/>
        <v>3.812344683053138</v>
      </c>
      <c r="H271">
        <v>1.9365478320968409E-3</v>
      </c>
    </row>
    <row r="272" spans="1:8" x14ac:dyDescent="0.35">
      <c r="A272" t="s">
        <v>70</v>
      </c>
      <c r="B272" t="s">
        <v>57</v>
      </c>
      <c r="C272" t="s">
        <v>38</v>
      </c>
      <c r="D272">
        <v>2021</v>
      </c>
      <c r="E272">
        <v>2.900169440971712</v>
      </c>
      <c r="F272">
        <v>2.6415720090220192</v>
      </c>
      <c r="G272">
        <f t="shared" si="4"/>
        <v>-0.25859743194969287</v>
      </c>
      <c r="H272">
        <v>2.6224663629109508E-3</v>
      </c>
    </row>
    <row r="273" spans="1:8" x14ac:dyDescent="0.35">
      <c r="A273" t="s">
        <v>70</v>
      </c>
      <c r="B273" t="s">
        <v>59</v>
      </c>
      <c r="C273" t="s">
        <v>38</v>
      </c>
      <c r="D273">
        <v>2021</v>
      </c>
      <c r="E273">
        <v>3.4041276267937399</v>
      </c>
      <c r="F273">
        <v>2.6415720090220192</v>
      </c>
      <c r="G273">
        <f t="shared" si="4"/>
        <v>-0.76255561777172076</v>
      </c>
      <c r="H273">
        <v>2.6224663629109508E-3</v>
      </c>
    </row>
    <row r="274" spans="1:8" x14ac:dyDescent="0.35">
      <c r="A274" t="s">
        <v>70</v>
      </c>
      <c r="B274" t="s">
        <v>58</v>
      </c>
      <c r="C274" t="s">
        <v>40</v>
      </c>
      <c r="D274">
        <v>2021</v>
      </c>
      <c r="E274">
        <v>3.6735608188213531</v>
      </c>
      <c r="F274">
        <v>2.6415720090220192</v>
      </c>
      <c r="G274">
        <f t="shared" si="4"/>
        <v>-1.0319888097993339</v>
      </c>
      <c r="H274">
        <v>2.6224663629109508E-3</v>
      </c>
    </row>
    <row r="275" spans="1:8" x14ac:dyDescent="0.35">
      <c r="A275" t="s">
        <v>70</v>
      </c>
      <c r="B275" t="s">
        <v>60</v>
      </c>
      <c r="C275" t="s">
        <v>40</v>
      </c>
      <c r="D275">
        <v>2021</v>
      </c>
      <c r="E275">
        <v>2.739564988065335</v>
      </c>
      <c r="F275">
        <v>2.6415720090220192</v>
      </c>
      <c r="G275">
        <f t="shared" si="4"/>
        <v>-9.7992979043315831E-2</v>
      </c>
      <c r="H275">
        <v>2.6224663629109508E-3</v>
      </c>
    </row>
    <row r="276" spans="1:8" x14ac:dyDescent="0.35">
      <c r="A276" t="s">
        <v>70</v>
      </c>
      <c r="B276" t="s">
        <v>59</v>
      </c>
      <c r="C276" t="s">
        <v>38</v>
      </c>
      <c r="D276">
        <v>2022</v>
      </c>
      <c r="E276">
        <v>2.8272245866406638</v>
      </c>
      <c r="F276">
        <v>0.76006291556467176</v>
      </c>
      <c r="G276">
        <f t="shared" si="4"/>
        <v>-2.0671616710759921</v>
      </c>
      <c r="H276">
        <v>1.923663900762973E-3</v>
      </c>
    </row>
    <row r="277" spans="1:8" x14ac:dyDescent="0.35">
      <c r="A277" t="s">
        <v>70</v>
      </c>
      <c r="B277" t="s">
        <v>61</v>
      </c>
      <c r="C277" t="s">
        <v>38</v>
      </c>
      <c r="D277">
        <v>2022</v>
      </c>
      <c r="E277">
        <v>2.327853537647107</v>
      </c>
      <c r="F277">
        <v>0.76006291556467176</v>
      </c>
      <c r="G277">
        <f t="shared" si="4"/>
        <v>-1.5677906220824354</v>
      </c>
      <c r="H277">
        <v>1.923663900762973E-3</v>
      </c>
    </row>
    <row r="278" spans="1:8" x14ac:dyDescent="0.35">
      <c r="A278" t="s">
        <v>70</v>
      </c>
      <c r="B278" t="s">
        <v>60</v>
      </c>
      <c r="C278" t="s">
        <v>40</v>
      </c>
      <c r="D278">
        <v>2022</v>
      </c>
      <c r="E278">
        <v>2.7517012411305108</v>
      </c>
      <c r="F278">
        <v>0.76006291556467176</v>
      </c>
      <c r="G278">
        <f t="shared" si="4"/>
        <v>-1.9916383255658392</v>
      </c>
      <c r="H278">
        <v>1.923663900762973E-3</v>
      </c>
    </row>
    <row r="279" spans="1:8" x14ac:dyDescent="0.35">
      <c r="A279" t="s">
        <v>70</v>
      </c>
      <c r="B279" t="s">
        <v>62</v>
      </c>
      <c r="C279" t="s">
        <v>40</v>
      </c>
      <c r="D279">
        <v>2022</v>
      </c>
      <c r="E279">
        <v>1.603112304026943</v>
      </c>
      <c r="F279">
        <v>0.76006291556467176</v>
      </c>
      <c r="G279">
        <f t="shared" si="4"/>
        <v>-0.84304938846227129</v>
      </c>
      <c r="H279">
        <v>1.923663900762973E-3</v>
      </c>
    </row>
    <row r="280" spans="1:8" x14ac:dyDescent="0.35">
      <c r="A280" t="s">
        <v>70</v>
      </c>
      <c r="B280" t="s">
        <v>61</v>
      </c>
      <c r="C280" t="s">
        <v>38</v>
      </c>
      <c r="D280">
        <v>2023</v>
      </c>
      <c r="E280">
        <v>0.23998786112824361</v>
      </c>
      <c r="F280">
        <v>-1.2980054053073831</v>
      </c>
      <c r="G280">
        <f t="shared" si="4"/>
        <v>-1.5379932664356266</v>
      </c>
      <c r="H280">
        <v>2.503328687020895E-3</v>
      </c>
    </row>
    <row r="281" spans="1:8" x14ac:dyDescent="0.35">
      <c r="A281" t="s">
        <v>70</v>
      </c>
      <c r="B281" t="s">
        <v>63</v>
      </c>
      <c r="C281" t="s">
        <v>38</v>
      </c>
      <c r="D281">
        <v>2023</v>
      </c>
      <c r="E281">
        <v>0.13705974715647609</v>
      </c>
      <c r="F281">
        <v>-1.2980054053073831</v>
      </c>
      <c r="G281">
        <f t="shared" si="4"/>
        <v>-1.4350651524638591</v>
      </c>
      <c r="H281">
        <v>2.503328687020895E-3</v>
      </c>
    </row>
    <row r="282" spans="1:8" x14ac:dyDescent="0.35">
      <c r="A282" t="s">
        <v>70</v>
      </c>
      <c r="B282" t="s">
        <v>62</v>
      </c>
      <c r="C282" t="s">
        <v>40</v>
      </c>
      <c r="D282">
        <v>2023</v>
      </c>
      <c r="E282">
        <v>1.664320363648697</v>
      </c>
      <c r="F282">
        <v>-1.2980054053073831</v>
      </c>
      <c r="G282">
        <f t="shared" si="4"/>
        <v>-2.96232576895608</v>
      </c>
      <c r="H282">
        <v>2.503328687020895E-3</v>
      </c>
    </row>
    <row r="283" spans="1:8" x14ac:dyDescent="0.35">
      <c r="A283" t="s">
        <v>70</v>
      </c>
      <c r="B283" t="s">
        <v>64</v>
      </c>
      <c r="C283" t="s">
        <v>40</v>
      </c>
      <c r="D283">
        <v>2023</v>
      </c>
      <c r="E283">
        <v>0.1978909161836295</v>
      </c>
      <c r="F283">
        <v>-1.2980054053073831</v>
      </c>
      <c r="G283">
        <f t="shared" si="4"/>
        <v>-1.4958963214910126</v>
      </c>
      <c r="H283">
        <v>2.503328687020895E-3</v>
      </c>
    </row>
    <row r="284" spans="1:8" x14ac:dyDescent="0.35">
      <c r="A284" t="s">
        <v>70</v>
      </c>
      <c r="B284" t="s">
        <v>63</v>
      </c>
      <c r="C284" t="s">
        <v>38</v>
      </c>
      <c r="D284">
        <v>2024</v>
      </c>
      <c r="E284">
        <v>0.82599219561030335</v>
      </c>
      <c r="F284">
        <v>0.8814466149882676</v>
      </c>
      <c r="G284">
        <f t="shared" si="4"/>
        <v>5.5454419377964248E-2</v>
      </c>
      <c r="H284">
        <v>2.4884109011011962E-3</v>
      </c>
    </row>
    <row r="285" spans="1:8" x14ac:dyDescent="0.35">
      <c r="A285" t="s">
        <v>70</v>
      </c>
      <c r="B285" t="s">
        <v>65</v>
      </c>
      <c r="C285" t="s">
        <v>38</v>
      </c>
      <c r="D285">
        <v>2024</v>
      </c>
      <c r="E285">
        <v>-0.27816035844419051</v>
      </c>
      <c r="F285">
        <v>0.8814466149882676</v>
      </c>
      <c r="G285">
        <f t="shared" si="4"/>
        <v>1.1596069734324581</v>
      </c>
      <c r="H285">
        <v>2.4884109011011962E-3</v>
      </c>
    </row>
    <row r="286" spans="1:8" x14ac:dyDescent="0.35">
      <c r="A286" t="s">
        <v>70</v>
      </c>
      <c r="B286" t="s">
        <v>64</v>
      </c>
      <c r="C286" t="s">
        <v>40</v>
      </c>
      <c r="D286">
        <v>2024</v>
      </c>
      <c r="E286">
        <v>1.375433393552461</v>
      </c>
      <c r="F286">
        <v>0.8814466149882676</v>
      </c>
      <c r="G286">
        <f t="shared" si="4"/>
        <v>-0.49398677856419337</v>
      </c>
      <c r="H286">
        <v>2.4884109011011962E-3</v>
      </c>
    </row>
    <row r="287" spans="1:8" x14ac:dyDescent="0.35">
      <c r="A287" t="s">
        <v>70</v>
      </c>
      <c r="B287" t="s">
        <v>66</v>
      </c>
      <c r="C287" t="s">
        <v>40</v>
      </c>
      <c r="D287">
        <v>2024</v>
      </c>
      <c r="E287">
        <v>3.9573385924840387E-2</v>
      </c>
      <c r="F287">
        <v>0.8814466149882676</v>
      </c>
      <c r="G287">
        <f t="shared" si="4"/>
        <v>0.84187322906342721</v>
      </c>
      <c r="H287">
        <v>2.4884109011011962E-3</v>
      </c>
    </row>
    <row r="288" spans="1:8" x14ac:dyDescent="0.35">
      <c r="A288" t="s">
        <v>70</v>
      </c>
      <c r="B288" t="s">
        <v>65</v>
      </c>
      <c r="C288" t="s">
        <v>38</v>
      </c>
      <c r="D288">
        <v>2025</v>
      </c>
      <c r="E288">
        <v>1.544507858030109</v>
      </c>
      <c r="F288">
        <v>0.79990149121373022</v>
      </c>
      <c r="G288">
        <f t="shared" si="4"/>
        <v>-0.74460636681637882</v>
      </c>
      <c r="H288">
        <v>2.4884109011011962E-3</v>
      </c>
    </row>
    <row r="289" spans="1:8" x14ac:dyDescent="0.35">
      <c r="A289" t="s">
        <v>70</v>
      </c>
      <c r="B289" t="s">
        <v>71</v>
      </c>
      <c r="C289" t="s">
        <v>38</v>
      </c>
      <c r="D289">
        <v>2025</v>
      </c>
      <c r="E289">
        <v>7.5720238361931536E-2</v>
      </c>
      <c r="F289">
        <v>0.79990149121373022</v>
      </c>
      <c r="G289">
        <f t="shared" si="4"/>
        <v>0.72418125285179868</v>
      </c>
      <c r="H289">
        <v>2.4884109011011962E-3</v>
      </c>
    </row>
    <row r="290" spans="1:8" x14ac:dyDescent="0.35">
      <c r="A290" t="s">
        <v>70</v>
      </c>
      <c r="B290" t="s">
        <v>66</v>
      </c>
      <c r="C290" t="s">
        <v>40</v>
      </c>
      <c r="D290">
        <v>2025</v>
      </c>
      <c r="E290">
        <v>1.3606562692519699</v>
      </c>
      <c r="F290">
        <v>0.79990149121373022</v>
      </c>
      <c r="G290">
        <f t="shared" si="4"/>
        <v>-0.5607547780382397</v>
      </c>
      <c r="H290">
        <v>2.4884109011011962E-3</v>
      </c>
    </row>
    <row r="291" spans="1:8" x14ac:dyDescent="0.35">
      <c r="A291" t="s">
        <v>70</v>
      </c>
      <c r="B291" t="s">
        <v>72</v>
      </c>
      <c r="C291" t="s">
        <v>40</v>
      </c>
      <c r="D291">
        <v>2025</v>
      </c>
      <c r="E291">
        <v>0.97596362509042578</v>
      </c>
      <c r="F291">
        <v>0.79990149121373022</v>
      </c>
      <c r="G291">
        <f t="shared" si="4"/>
        <v>-0.17606213387669556</v>
      </c>
      <c r="H291">
        <v>2.4884109011011962E-3</v>
      </c>
    </row>
    <row r="292" spans="1:8" x14ac:dyDescent="0.35">
      <c r="A292" t="s">
        <v>73</v>
      </c>
      <c r="B292" t="s">
        <v>37</v>
      </c>
      <c r="C292" t="s">
        <v>38</v>
      </c>
      <c r="D292">
        <v>2011</v>
      </c>
      <c r="E292">
        <v>1.6159410538217229</v>
      </c>
      <c r="F292">
        <v>2.4520659404670382</v>
      </c>
      <c r="G292">
        <f t="shared" si="4"/>
        <v>0.83612488664531526</v>
      </c>
      <c r="H292">
        <v>4.1600953365570287E-3</v>
      </c>
    </row>
    <row r="293" spans="1:8" x14ac:dyDescent="0.35">
      <c r="A293" t="s">
        <v>73</v>
      </c>
      <c r="B293" t="s">
        <v>39</v>
      </c>
      <c r="C293" t="s">
        <v>40</v>
      </c>
      <c r="D293">
        <v>2011</v>
      </c>
      <c r="E293">
        <v>1.7720935903862369</v>
      </c>
      <c r="F293">
        <v>2.4520659404670382</v>
      </c>
      <c r="G293">
        <f t="shared" si="4"/>
        <v>0.67997235008080126</v>
      </c>
      <c r="H293">
        <v>4.1600953365570287E-3</v>
      </c>
    </row>
    <row r="294" spans="1:8" x14ac:dyDescent="0.35">
      <c r="A294" t="s">
        <v>73</v>
      </c>
      <c r="B294" t="s">
        <v>37</v>
      </c>
      <c r="C294" t="s">
        <v>38</v>
      </c>
      <c r="D294">
        <v>2012</v>
      </c>
      <c r="E294">
        <v>0.55167308327404019</v>
      </c>
      <c r="F294">
        <v>0.226946609537066</v>
      </c>
      <c r="G294">
        <f t="shared" si="4"/>
        <v>-0.32472647373697416</v>
      </c>
      <c r="H294">
        <v>3.0575260075342962E-3</v>
      </c>
    </row>
    <row r="295" spans="1:8" x14ac:dyDescent="0.35">
      <c r="A295" t="s">
        <v>73</v>
      </c>
      <c r="B295" t="s">
        <v>41</v>
      </c>
      <c r="C295" t="s">
        <v>38</v>
      </c>
      <c r="D295">
        <v>2012</v>
      </c>
      <c r="E295">
        <v>0.191602674222735</v>
      </c>
      <c r="F295">
        <v>0.226946609537066</v>
      </c>
      <c r="G295">
        <f t="shared" si="4"/>
        <v>3.5343935314330999E-2</v>
      </c>
      <c r="H295">
        <v>3.0575260075342962E-3</v>
      </c>
    </row>
    <row r="296" spans="1:8" x14ac:dyDescent="0.35">
      <c r="A296" t="s">
        <v>73</v>
      </c>
      <c r="B296" t="s">
        <v>39</v>
      </c>
      <c r="C296" t="s">
        <v>40</v>
      </c>
      <c r="D296">
        <v>2012</v>
      </c>
      <c r="E296">
        <v>2.040883011076966</v>
      </c>
      <c r="F296">
        <v>0.226946609537066</v>
      </c>
      <c r="G296">
        <f t="shared" si="4"/>
        <v>-1.8139364015399</v>
      </c>
      <c r="H296">
        <v>3.0575260075342962E-3</v>
      </c>
    </row>
    <row r="297" spans="1:8" x14ac:dyDescent="0.35">
      <c r="A297" t="s">
        <v>73</v>
      </c>
      <c r="B297" t="s">
        <v>42</v>
      </c>
      <c r="C297" t="s">
        <v>40</v>
      </c>
      <c r="D297">
        <v>2012</v>
      </c>
      <c r="E297">
        <v>0.47308017111291623</v>
      </c>
      <c r="F297">
        <v>0.226946609537066</v>
      </c>
      <c r="G297">
        <f t="shared" si="4"/>
        <v>-0.24613356157585023</v>
      </c>
      <c r="H297">
        <v>3.0575260075342962E-3</v>
      </c>
    </row>
    <row r="298" spans="1:8" x14ac:dyDescent="0.35">
      <c r="A298" t="s">
        <v>73</v>
      </c>
      <c r="B298" t="s">
        <v>41</v>
      </c>
      <c r="C298" t="s">
        <v>38</v>
      </c>
      <c r="D298">
        <v>2013</v>
      </c>
      <c r="E298">
        <v>0.38047816820923058</v>
      </c>
      <c r="F298">
        <v>0.92634815984379837</v>
      </c>
      <c r="G298">
        <f t="shared" si="4"/>
        <v>0.54586999163456773</v>
      </c>
      <c r="H298">
        <v>2.824804133814965E-3</v>
      </c>
    </row>
    <row r="299" spans="1:8" x14ac:dyDescent="0.35">
      <c r="A299" t="s">
        <v>73</v>
      </c>
      <c r="B299" t="s">
        <v>43</v>
      </c>
      <c r="C299" t="s">
        <v>38</v>
      </c>
      <c r="D299">
        <v>2013</v>
      </c>
      <c r="E299">
        <v>0.21992165083872811</v>
      </c>
      <c r="F299">
        <v>0.92634815984379837</v>
      </c>
      <c r="G299">
        <f t="shared" si="4"/>
        <v>0.70642650900507031</v>
      </c>
      <c r="H299">
        <v>2.824804133814965E-3</v>
      </c>
    </row>
    <row r="300" spans="1:8" x14ac:dyDescent="0.35">
      <c r="A300" t="s">
        <v>73</v>
      </c>
      <c r="B300" t="s">
        <v>42</v>
      </c>
      <c r="C300" t="s">
        <v>40</v>
      </c>
      <c r="D300">
        <v>2013</v>
      </c>
      <c r="E300">
        <v>1.3369944796204569</v>
      </c>
      <c r="F300">
        <v>0.92634815984379837</v>
      </c>
      <c r="G300">
        <f t="shared" si="4"/>
        <v>-0.41064631977665855</v>
      </c>
      <c r="H300">
        <v>2.824804133814965E-3</v>
      </c>
    </row>
    <row r="301" spans="1:8" x14ac:dyDescent="0.35">
      <c r="A301" t="s">
        <v>73</v>
      </c>
      <c r="B301" t="s">
        <v>44</v>
      </c>
      <c r="C301" t="s">
        <v>40</v>
      </c>
      <c r="D301">
        <v>2013</v>
      </c>
      <c r="E301">
        <v>-9.6293692429949562E-2</v>
      </c>
      <c r="F301">
        <v>0.92634815984379837</v>
      </c>
      <c r="G301">
        <f t="shared" si="4"/>
        <v>1.0226418522737479</v>
      </c>
      <c r="H301">
        <v>2.824804133814965E-3</v>
      </c>
    </row>
    <row r="302" spans="1:8" x14ac:dyDescent="0.35">
      <c r="A302" t="s">
        <v>73</v>
      </c>
      <c r="B302" t="s">
        <v>43</v>
      </c>
      <c r="C302" t="s">
        <v>38</v>
      </c>
      <c r="D302">
        <v>2014</v>
      </c>
      <c r="E302">
        <v>0.91019216638974498</v>
      </c>
      <c r="F302">
        <v>0.99281792910282507</v>
      </c>
      <c r="G302">
        <f t="shared" si="4"/>
        <v>8.2625762713080086E-2</v>
      </c>
      <c r="H302">
        <v>2.676056613142241E-3</v>
      </c>
    </row>
    <row r="303" spans="1:8" x14ac:dyDescent="0.35">
      <c r="A303" t="s">
        <v>73</v>
      </c>
      <c r="B303" t="s">
        <v>45</v>
      </c>
      <c r="C303" t="s">
        <v>38</v>
      </c>
      <c r="D303">
        <v>2014</v>
      </c>
      <c r="E303">
        <v>0.31811884101464738</v>
      </c>
      <c r="F303">
        <v>0.99281792910282507</v>
      </c>
      <c r="G303">
        <f t="shared" si="4"/>
        <v>0.67469908808817769</v>
      </c>
      <c r="H303">
        <v>2.676056613142241E-3</v>
      </c>
    </row>
    <row r="304" spans="1:8" x14ac:dyDescent="0.35">
      <c r="A304" t="s">
        <v>73</v>
      </c>
      <c r="B304" t="s">
        <v>44</v>
      </c>
      <c r="C304" t="s">
        <v>40</v>
      </c>
      <c r="D304">
        <v>2014</v>
      </c>
      <c r="E304">
        <v>1.095437649770115</v>
      </c>
      <c r="F304">
        <v>0.99281792910282507</v>
      </c>
      <c r="G304">
        <f t="shared" si="4"/>
        <v>-0.10261972066728997</v>
      </c>
      <c r="H304">
        <v>2.676056613142241E-3</v>
      </c>
    </row>
    <row r="305" spans="1:8" x14ac:dyDescent="0.35">
      <c r="A305" t="s">
        <v>73</v>
      </c>
      <c r="B305" t="s">
        <v>46</v>
      </c>
      <c r="C305" t="s">
        <v>40</v>
      </c>
      <c r="D305">
        <v>2014</v>
      </c>
      <c r="E305">
        <v>0.97562348050159731</v>
      </c>
      <c r="F305">
        <v>0.99281792910282507</v>
      </c>
      <c r="G305">
        <f t="shared" si="4"/>
        <v>1.7194448601227763E-2</v>
      </c>
      <c r="H305">
        <v>2.676056613142241E-3</v>
      </c>
    </row>
    <row r="306" spans="1:8" x14ac:dyDescent="0.35">
      <c r="A306" t="s">
        <v>73</v>
      </c>
      <c r="B306" t="s">
        <v>45</v>
      </c>
      <c r="C306" t="s">
        <v>38</v>
      </c>
      <c r="D306">
        <v>2015</v>
      </c>
      <c r="E306">
        <v>0.69497120757255892</v>
      </c>
      <c r="F306">
        <v>0.99352475042418931</v>
      </c>
      <c r="G306">
        <f t="shared" si="4"/>
        <v>0.29855354285163038</v>
      </c>
      <c r="H306">
        <v>2.8317362322561861E-3</v>
      </c>
    </row>
    <row r="307" spans="1:8" x14ac:dyDescent="0.35">
      <c r="A307" t="s">
        <v>73</v>
      </c>
      <c r="B307" t="s">
        <v>47</v>
      </c>
      <c r="C307" t="s">
        <v>38</v>
      </c>
      <c r="D307">
        <v>2015</v>
      </c>
      <c r="E307">
        <v>1.0829396488476919</v>
      </c>
      <c r="F307">
        <v>0.99352475042418931</v>
      </c>
      <c r="G307">
        <f t="shared" si="4"/>
        <v>-8.9414898423502587E-2</v>
      </c>
      <c r="H307">
        <v>2.8317362322561861E-3</v>
      </c>
    </row>
    <row r="308" spans="1:8" x14ac:dyDescent="0.35">
      <c r="A308" t="s">
        <v>73</v>
      </c>
      <c r="B308" t="s">
        <v>46</v>
      </c>
      <c r="C308" t="s">
        <v>40</v>
      </c>
      <c r="D308">
        <v>2015</v>
      </c>
      <c r="E308">
        <v>1.4732524317461191</v>
      </c>
      <c r="F308">
        <v>0.99352475042418931</v>
      </c>
      <c r="G308">
        <f t="shared" si="4"/>
        <v>-0.47972768132192978</v>
      </c>
      <c r="H308">
        <v>2.8317362322561861E-3</v>
      </c>
    </row>
    <row r="309" spans="1:8" x14ac:dyDescent="0.35">
      <c r="A309" t="s">
        <v>73</v>
      </c>
      <c r="B309" t="s">
        <v>48</v>
      </c>
      <c r="C309" t="s">
        <v>40</v>
      </c>
      <c r="D309">
        <v>2015</v>
      </c>
      <c r="E309">
        <v>1.081963871443703</v>
      </c>
      <c r="F309">
        <v>0.99352475042418931</v>
      </c>
      <c r="G309">
        <f t="shared" si="4"/>
        <v>-8.8439121019513678E-2</v>
      </c>
      <c r="H309">
        <v>2.8317362322561861E-3</v>
      </c>
    </row>
    <row r="310" spans="1:8" x14ac:dyDescent="0.35">
      <c r="A310" t="s">
        <v>73</v>
      </c>
      <c r="B310" t="s">
        <v>47</v>
      </c>
      <c r="C310" t="s">
        <v>38</v>
      </c>
      <c r="D310">
        <v>2016</v>
      </c>
      <c r="E310">
        <v>1.4293943423307589</v>
      </c>
      <c r="F310">
        <v>0.7341997048160207</v>
      </c>
      <c r="G310">
        <f t="shared" si="4"/>
        <v>-0.6951946375147382</v>
      </c>
      <c r="H310">
        <v>2.7643537690768671E-3</v>
      </c>
    </row>
    <row r="311" spans="1:8" x14ac:dyDescent="0.35">
      <c r="A311" t="s">
        <v>73</v>
      </c>
      <c r="B311" t="s">
        <v>49</v>
      </c>
      <c r="C311" t="s">
        <v>38</v>
      </c>
      <c r="D311">
        <v>2016</v>
      </c>
      <c r="E311">
        <v>1.254473785454957</v>
      </c>
      <c r="F311">
        <v>0.7341997048160207</v>
      </c>
      <c r="G311">
        <f t="shared" si="4"/>
        <v>-0.52027408063893632</v>
      </c>
      <c r="H311">
        <v>2.7643537690768671E-3</v>
      </c>
    </row>
    <row r="312" spans="1:8" x14ac:dyDescent="0.35">
      <c r="A312" t="s">
        <v>73</v>
      </c>
      <c r="B312" t="s">
        <v>48</v>
      </c>
      <c r="C312" t="s">
        <v>40</v>
      </c>
      <c r="D312">
        <v>2016</v>
      </c>
      <c r="E312">
        <v>1.6816047146198001</v>
      </c>
      <c r="F312">
        <v>0.7341997048160207</v>
      </c>
      <c r="G312">
        <f t="shared" si="4"/>
        <v>-0.9474050098037794</v>
      </c>
      <c r="H312">
        <v>2.7643537690768671E-3</v>
      </c>
    </row>
    <row r="313" spans="1:8" x14ac:dyDescent="0.35">
      <c r="A313" t="s">
        <v>73</v>
      </c>
      <c r="B313" t="s">
        <v>50</v>
      </c>
      <c r="C313" t="s">
        <v>40</v>
      </c>
      <c r="D313">
        <v>2016</v>
      </c>
      <c r="E313">
        <v>1.331417785335498</v>
      </c>
      <c r="F313">
        <v>0.7341997048160207</v>
      </c>
      <c r="G313">
        <f t="shared" si="4"/>
        <v>-0.59721808051947733</v>
      </c>
      <c r="H313">
        <v>2.7643537690768671E-3</v>
      </c>
    </row>
    <row r="314" spans="1:8" x14ac:dyDescent="0.35">
      <c r="A314" t="s">
        <v>73</v>
      </c>
      <c r="B314" t="s">
        <v>49</v>
      </c>
      <c r="C314" t="s">
        <v>38</v>
      </c>
      <c r="D314">
        <v>2017</v>
      </c>
      <c r="E314">
        <v>1.3568331696729889</v>
      </c>
      <c r="F314">
        <v>2.2441414587468929</v>
      </c>
      <c r="G314">
        <f t="shared" si="4"/>
        <v>0.88730828907390391</v>
      </c>
      <c r="H314">
        <v>2.9273748927723382E-3</v>
      </c>
    </row>
    <row r="315" spans="1:8" x14ac:dyDescent="0.35">
      <c r="A315" t="s">
        <v>73</v>
      </c>
      <c r="B315" t="s">
        <v>51</v>
      </c>
      <c r="C315" t="s">
        <v>38</v>
      </c>
      <c r="D315">
        <v>2017</v>
      </c>
      <c r="E315">
        <v>1.6108305416448809</v>
      </c>
      <c r="F315">
        <v>2.2441414587468929</v>
      </c>
      <c r="G315">
        <f t="shared" si="4"/>
        <v>0.63331091710201193</v>
      </c>
      <c r="H315">
        <v>2.9273748927723382E-3</v>
      </c>
    </row>
    <row r="316" spans="1:8" x14ac:dyDescent="0.35">
      <c r="A316" t="s">
        <v>73</v>
      </c>
      <c r="B316" t="s">
        <v>50</v>
      </c>
      <c r="C316" t="s">
        <v>40</v>
      </c>
      <c r="D316">
        <v>2017</v>
      </c>
      <c r="E316">
        <v>1.686145619472357</v>
      </c>
      <c r="F316">
        <v>2.2441414587468929</v>
      </c>
      <c r="G316">
        <f t="shared" si="4"/>
        <v>0.55799583927453589</v>
      </c>
      <c r="H316">
        <v>2.9273748927723382E-3</v>
      </c>
    </row>
    <row r="317" spans="1:8" x14ac:dyDescent="0.35">
      <c r="A317" t="s">
        <v>73</v>
      </c>
      <c r="B317" t="s">
        <v>52</v>
      </c>
      <c r="C317" t="s">
        <v>40</v>
      </c>
      <c r="D317">
        <v>2017</v>
      </c>
      <c r="E317">
        <v>1.353609964652547</v>
      </c>
      <c r="F317">
        <v>2.2441414587468929</v>
      </c>
      <c r="G317">
        <f t="shared" si="4"/>
        <v>0.89053149409434584</v>
      </c>
      <c r="H317">
        <v>2.9273748927723382E-3</v>
      </c>
    </row>
    <row r="318" spans="1:8" x14ac:dyDescent="0.35">
      <c r="A318" t="s">
        <v>73</v>
      </c>
      <c r="B318" t="s">
        <v>51</v>
      </c>
      <c r="C318" t="s">
        <v>38</v>
      </c>
      <c r="D318">
        <v>2018</v>
      </c>
      <c r="E318">
        <v>1.745757461080699</v>
      </c>
      <c r="F318">
        <v>1.5720137685547519</v>
      </c>
      <c r="G318">
        <f t="shared" si="4"/>
        <v>-0.17374369252594701</v>
      </c>
      <c r="H318">
        <v>3.2495723826400568E-3</v>
      </c>
    </row>
    <row r="319" spans="1:8" x14ac:dyDescent="0.35">
      <c r="A319" t="s">
        <v>73</v>
      </c>
      <c r="B319" t="s">
        <v>53</v>
      </c>
      <c r="C319" t="s">
        <v>38</v>
      </c>
      <c r="D319">
        <v>2018</v>
      </c>
      <c r="E319">
        <v>1.6664324661772369</v>
      </c>
      <c r="F319">
        <v>1.5720137685547519</v>
      </c>
      <c r="G319">
        <f t="shared" si="4"/>
        <v>-9.4418697622485004E-2</v>
      </c>
      <c r="H319">
        <v>3.2495723826400568E-3</v>
      </c>
    </row>
    <row r="320" spans="1:8" x14ac:dyDescent="0.35">
      <c r="A320" t="s">
        <v>73</v>
      </c>
      <c r="B320" t="s">
        <v>52</v>
      </c>
      <c r="C320" t="s">
        <v>40</v>
      </c>
      <c r="D320">
        <v>2018</v>
      </c>
      <c r="E320">
        <v>1.72584962487905</v>
      </c>
      <c r="F320">
        <v>1.5720137685547519</v>
      </c>
      <c r="G320">
        <f t="shared" si="4"/>
        <v>-0.15383585632429808</v>
      </c>
      <c r="H320">
        <v>3.2495723826400568E-3</v>
      </c>
    </row>
    <row r="321" spans="1:8" x14ac:dyDescent="0.35">
      <c r="A321" t="s">
        <v>73</v>
      </c>
      <c r="B321" t="s">
        <v>54</v>
      </c>
      <c r="C321" t="s">
        <v>40</v>
      </c>
      <c r="D321">
        <v>2018</v>
      </c>
      <c r="E321">
        <v>1.989603282667241</v>
      </c>
      <c r="F321">
        <v>1.5720137685547519</v>
      </c>
      <c r="G321">
        <f t="shared" si="4"/>
        <v>-0.41758951411248901</v>
      </c>
      <c r="H321">
        <v>3.2495723826400568E-3</v>
      </c>
    </row>
    <row r="322" spans="1:8" x14ac:dyDescent="0.35">
      <c r="A322" t="s">
        <v>73</v>
      </c>
      <c r="B322" t="s">
        <v>53</v>
      </c>
      <c r="C322" t="s">
        <v>38</v>
      </c>
      <c r="D322">
        <v>2019</v>
      </c>
      <c r="E322">
        <v>1.641202261320762</v>
      </c>
      <c r="F322">
        <v>2.0796189403330492</v>
      </c>
      <c r="G322">
        <f t="shared" ref="G322:G385" si="5">IF(OR(F322="",E322=""),"",F322-E322)</f>
        <v>0.4384166790122872</v>
      </c>
      <c r="H322">
        <v>2.742059689911831E-3</v>
      </c>
    </row>
    <row r="323" spans="1:8" x14ac:dyDescent="0.35">
      <c r="A323" t="s">
        <v>73</v>
      </c>
      <c r="B323" t="s">
        <v>55</v>
      </c>
      <c r="C323" t="s">
        <v>38</v>
      </c>
      <c r="D323">
        <v>2019</v>
      </c>
      <c r="E323">
        <v>1.2870082454169649</v>
      </c>
      <c r="F323">
        <v>2.0796189403330492</v>
      </c>
      <c r="G323">
        <f t="shared" si="5"/>
        <v>0.79261069491608427</v>
      </c>
      <c r="H323">
        <v>2.742059689911831E-3</v>
      </c>
    </row>
    <row r="324" spans="1:8" x14ac:dyDescent="0.35">
      <c r="A324" t="s">
        <v>73</v>
      </c>
      <c r="B324" t="s">
        <v>54</v>
      </c>
      <c r="C324" t="s">
        <v>40</v>
      </c>
      <c r="D324">
        <v>2019</v>
      </c>
      <c r="E324">
        <v>1.837933157898797</v>
      </c>
      <c r="F324">
        <v>2.0796189403330492</v>
      </c>
      <c r="G324">
        <f t="shared" si="5"/>
        <v>0.24168578243425221</v>
      </c>
      <c r="H324">
        <v>2.742059689911831E-3</v>
      </c>
    </row>
    <row r="325" spans="1:8" x14ac:dyDescent="0.35">
      <c r="A325" t="s">
        <v>73</v>
      </c>
      <c r="B325" t="s">
        <v>56</v>
      </c>
      <c r="C325" t="s">
        <v>40</v>
      </c>
      <c r="D325">
        <v>2019</v>
      </c>
      <c r="E325">
        <v>1.333589129915191</v>
      </c>
      <c r="F325">
        <v>2.0796189403330492</v>
      </c>
      <c r="G325">
        <f t="shared" si="5"/>
        <v>0.74602981041785821</v>
      </c>
      <c r="H325">
        <v>2.742059689911831E-3</v>
      </c>
    </row>
    <row r="326" spans="1:8" x14ac:dyDescent="0.35">
      <c r="A326" t="s">
        <v>73</v>
      </c>
      <c r="B326" t="s">
        <v>55</v>
      </c>
      <c r="C326" t="s">
        <v>38</v>
      </c>
      <c r="D326">
        <v>2020</v>
      </c>
      <c r="E326">
        <v>1.285387661815784</v>
      </c>
      <c r="F326">
        <v>-7.9120138942178206</v>
      </c>
      <c r="G326">
        <f t="shared" si="5"/>
        <v>-9.1974015560336042</v>
      </c>
      <c r="H326">
        <v>3.0499904166596229E-3</v>
      </c>
    </row>
    <row r="327" spans="1:8" x14ac:dyDescent="0.35">
      <c r="A327" t="s">
        <v>73</v>
      </c>
      <c r="B327" t="s">
        <v>57</v>
      </c>
      <c r="C327" t="s">
        <v>38</v>
      </c>
      <c r="D327">
        <v>2020</v>
      </c>
      <c r="E327">
        <v>-9.3511426009976422</v>
      </c>
      <c r="F327">
        <v>-7.9120138942178206</v>
      </c>
      <c r="G327">
        <f t="shared" si="5"/>
        <v>1.4391287067798215</v>
      </c>
      <c r="H327">
        <v>3.0499904166596229E-3</v>
      </c>
    </row>
    <row r="328" spans="1:8" x14ac:dyDescent="0.35">
      <c r="A328" t="s">
        <v>73</v>
      </c>
      <c r="B328" t="s">
        <v>56</v>
      </c>
      <c r="C328" t="s">
        <v>40</v>
      </c>
      <c r="D328">
        <v>2020</v>
      </c>
      <c r="E328">
        <v>1.503749975943047</v>
      </c>
      <c r="F328">
        <v>-7.9120138942178206</v>
      </c>
      <c r="G328">
        <f t="shared" si="5"/>
        <v>-9.4157638701608679</v>
      </c>
      <c r="H328">
        <v>3.0499904166596229E-3</v>
      </c>
    </row>
    <row r="329" spans="1:8" x14ac:dyDescent="0.35">
      <c r="A329" t="s">
        <v>73</v>
      </c>
      <c r="B329" t="s">
        <v>58</v>
      </c>
      <c r="C329" t="s">
        <v>40</v>
      </c>
      <c r="D329">
        <v>2020</v>
      </c>
      <c r="E329">
        <v>-8.2482980854368328</v>
      </c>
      <c r="F329">
        <v>-7.9120138942178206</v>
      </c>
      <c r="G329">
        <f t="shared" si="5"/>
        <v>0.33628419121901221</v>
      </c>
      <c r="H329">
        <v>3.0499904166596229E-3</v>
      </c>
    </row>
    <row r="330" spans="1:8" x14ac:dyDescent="0.35">
      <c r="A330" t="s">
        <v>73</v>
      </c>
      <c r="B330" t="s">
        <v>57</v>
      </c>
      <c r="C330" t="s">
        <v>38</v>
      </c>
      <c r="D330">
        <v>2021</v>
      </c>
      <c r="E330">
        <v>5.7952659026178077</v>
      </c>
      <c r="F330">
        <v>6.5701884772546428</v>
      </c>
      <c r="G330">
        <f t="shared" si="5"/>
        <v>0.77492257463683512</v>
      </c>
      <c r="H330">
        <v>3.231172514807625E-3</v>
      </c>
    </row>
    <row r="331" spans="1:8" x14ac:dyDescent="0.35">
      <c r="A331" t="s">
        <v>73</v>
      </c>
      <c r="B331" t="s">
        <v>59</v>
      </c>
      <c r="C331" t="s">
        <v>38</v>
      </c>
      <c r="D331">
        <v>2021</v>
      </c>
      <c r="E331">
        <v>6.5425794292067074</v>
      </c>
      <c r="F331">
        <v>6.5701884772546428</v>
      </c>
      <c r="G331">
        <f t="shared" si="5"/>
        <v>2.7609048047935403E-2</v>
      </c>
      <c r="H331">
        <v>3.231172514807625E-3</v>
      </c>
    </row>
    <row r="332" spans="1:8" x14ac:dyDescent="0.35">
      <c r="A332" t="s">
        <v>73</v>
      </c>
      <c r="B332" t="s">
        <v>58</v>
      </c>
      <c r="C332" t="s">
        <v>40</v>
      </c>
      <c r="D332">
        <v>2021</v>
      </c>
      <c r="E332">
        <v>7.4011344913377686</v>
      </c>
      <c r="F332">
        <v>6.5701884772546428</v>
      </c>
      <c r="G332">
        <f t="shared" si="5"/>
        <v>-0.83094601408312574</v>
      </c>
      <c r="H332">
        <v>3.231172514807625E-3</v>
      </c>
    </row>
    <row r="333" spans="1:8" x14ac:dyDescent="0.35">
      <c r="A333" t="s">
        <v>73</v>
      </c>
      <c r="B333" t="s">
        <v>60</v>
      </c>
      <c r="C333" t="s">
        <v>40</v>
      </c>
      <c r="D333">
        <v>2021</v>
      </c>
      <c r="E333">
        <v>5.7147026734028614</v>
      </c>
      <c r="F333">
        <v>6.5701884772546428</v>
      </c>
      <c r="G333">
        <f t="shared" si="5"/>
        <v>0.85548580385178141</v>
      </c>
      <c r="H333">
        <v>3.231172514807625E-3</v>
      </c>
    </row>
    <row r="334" spans="1:8" x14ac:dyDescent="0.35">
      <c r="A334" t="s">
        <v>73</v>
      </c>
      <c r="B334" t="s">
        <v>59</v>
      </c>
      <c r="C334" t="s">
        <v>38</v>
      </c>
      <c r="D334">
        <v>2022</v>
      </c>
      <c r="E334">
        <v>3.7661475579403141</v>
      </c>
      <c r="F334">
        <v>2.761671160127166</v>
      </c>
      <c r="G334">
        <f t="shared" si="5"/>
        <v>-1.0044763978131481</v>
      </c>
      <c r="H334">
        <v>3.2520324935252378E-3</v>
      </c>
    </row>
    <row r="335" spans="1:8" x14ac:dyDescent="0.35">
      <c r="A335" t="s">
        <v>73</v>
      </c>
      <c r="B335" t="s">
        <v>61</v>
      </c>
      <c r="C335" t="s">
        <v>38</v>
      </c>
      <c r="D335">
        <v>2022</v>
      </c>
      <c r="E335">
        <v>2.6294584401195249</v>
      </c>
      <c r="F335">
        <v>2.761671160127166</v>
      </c>
      <c r="G335">
        <f t="shared" si="5"/>
        <v>0.13221272000764106</v>
      </c>
      <c r="H335">
        <v>3.2520324935252378E-3</v>
      </c>
    </row>
    <row r="336" spans="1:8" x14ac:dyDescent="0.35">
      <c r="A336" t="s">
        <v>73</v>
      </c>
      <c r="B336" t="s">
        <v>60</v>
      </c>
      <c r="C336" t="s">
        <v>40</v>
      </c>
      <c r="D336">
        <v>2022</v>
      </c>
      <c r="E336">
        <v>4.2114770737248453</v>
      </c>
      <c r="F336">
        <v>2.761671160127166</v>
      </c>
      <c r="G336">
        <f t="shared" si="5"/>
        <v>-1.4498059135976793</v>
      </c>
      <c r="H336">
        <v>3.2520324935252378E-3</v>
      </c>
    </row>
    <row r="337" spans="1:8" x14ac:dyDescent="0.35">
      <c r="A337" t="s">
        <v>73</v>
      </c>
      <c r="B337" t="s">
        <v>62</v>
      </c>
      <c r="C337" t="s">
        <v>40</v>
      </c>
      <c r="D337">
        <v>2022</v>
      </c>
      <c r="E337">
        <v>3.0989524183168582</v>
      </c>
      <c r="F337">
        <v>2.761671160127166</v>
      </c>
      <c r="G337">
        <f t="shared" si="5"/>
        <v>-0.33728125818969223</v>
      </c>
      <c r="H337">
        <v>3.2520324935252378E-3</v>
      </c>
    </row>
    <row r="338" spans="1:8" x14ac:dyDescent="0.35">
      <c r="A338" t="s">
        <v>73</v>
      </c>
      <c r="B338" t="s">
        <v>61</v>
      </c>
      <c r="C338" t="s">
        <v>38</v>
      </c>
      <c r="D338">
        <v>2023</v>
      </c>
      <c r="E338">
        <v>0.43950651458626311</v>
      </c>
      <c r="F338">
        <v>1.8022470831755071</v>
      </c>
      <c r="G338">
        <f t="shared" si="5"/>
        <v>1.362740568589244</v>
      </c>
      <c r="H338">
        <v>2.5946260117071041E-3</v>
      </c>
    </row>
    <row r="339" spans="1:8" x14ac:dyDescent="0.35">
      <c r="A339" t="s">
        <v>73</v>
      </c>
      <c r="B339" t="s">
        <v>63</v>
      </c>
      <c r="C339" t="s">
        <v>38</v>
      </c>
      <c r="D339">
        <v>2023</v>
      </c>
      <c r="E339">
        <v>1.0022762950343991</v>
      </c>
      <c r="F339">
        <v>1.8022470831755071</v>
      </c>
      <c r="G339">
        <f t="shared" si="5"/>
        <v>0.799970788141108</v>
      </c>
      <c r="H339">
        <v>2.5946260117071041E-3</v>
      </c>
    </row>
    <row r="340" spans="1:8" x14ac:dyDescent="0.35">
      <c r="A340" t="s">
        <v>73</v>
      </c>
      <c r="B340" t="s">
        <v>62</v>
      </c>
      <c r="C340" t="s">
        <v>40</v>
      </c>
      <c r="D340">
        <v>2023</v>
      </c>
      <c r="E340">
        <v>1.7691091240616961</v>
      </c>
      <c r="F340">
        <v>1.8022470831755071</v>
      </c>
      <c r="G340">
        <f t="shared" si="5"/>
        <v>3.3137959113811011E-2</v>
      </c>
      <c r="H340">
        <v>2.5946260117071041E-3</v>
      </c>
    </row>
    <row r="341" spans="1:8" x14ac:dyDescent="0.35">
      <c r="A341" t="s">
        <v>73</v>
      </c>
      <c r="B341" t="s">
        <v>64</v>
      </c>
      <c r="C341" t="s">
        <v>40</v>
      </c>
      <c r="D341">
        <v>2023</v>
      </c>
      <c r="E341">
        <v>0.72426026364131868</v>
      </c>
      <c r="F341">
        <v>1.8022470831755071</v>
      </c>
      <c r="G341">
        <f t="shared" si="5"/>
        <v>1.0779868195341884</v>
      </c>
      <c r="H341">
        <v>2.5946260117071041E-3</v>
      </c>
    </row>
    <row r="342" spans="1:8" x14ac:dyDescent="0.35">
      <c r="A342" t="s">
        <v>73</v>
      </c>
      <c r="B342" t="s">
        <v>63</v>
      </c>
      <c r="C342" t="s">
        <v>38</v>
      </c>
      <c r="D342">
        <v>2024</v>
      </c>
      <c r="E342">
        <v>1.2470954330068731</v>
      </c>
      <c r="F342">
        <v>1.4144828845553741</v>
      </c>
      <c r="G342">
        <f t="shared" si="5"/>
        <v>0.16738745154850099</v>
      </c>
      <c r="H342">
        <v>2.7698144991347719E-3</v>
      </c>
    </row>
    <row r="343" spans="1:8" x14ac:dyDescent="0.35">
      <c r="A343" t="s">
        <v>73</v>
      </c>
      <c r="B343" t="s">
        <v>65</v>
      </c>
      <c r="C343" t="s">
        <v>38</v>
      </c>
      <c r="D343">
        <v>2024</v>
      </c>
      <c r="E343">
        <v>1.13903040986485</v>
      </c>
      <c r="F343">
        <v>1.4144828845553741</v>
      </c>
      <c r="G343">
        <f t="shared" si="5"/>
        <v>0.27545247469052403</v>
      </c>
      <c r="H343">
        <v>2.7698144991347719E-3</v>
      </c>
    </row>
    <row r="344" spans="1:8" x14ac:dyDescent="0.35">
      <c r="A344" t="s">
        <v>73</v>
      </c>
      <c r="B344" t="s">
        <v>64</v>
      </c>
      <c r="C344" t="s">
        <v>40</v>
      </c>
      <c r="D344">
        <v>2024</v>
      </c>
      <c r="E344">
        <v>1.41860461240253</v>
      </c>
      <c r="F344">
        <v>1.4144828845553741</v>
      </c>
      <c r="G344">
        <f t="shared" si="5"/>
        <v>-4.1217278471559204E-3</v>
      </c>
      <c r="H344">
        <v>2.7698144991347719E-3</v>
      </c>
    </row>
    <row r="345" spans="1:8" x14ac:dyDescent="0.35">
      <c r="A345" t="s">
        <v>73</v>
      </c>
      <c r="B345" t="s">
        <v>66</v>
      </c>
      <c r="C345" t="s">
        <v>40</v>
      </c>
      <c r="D345">
        <v>2024</v>
      </c>
      <c r="E345">
        <v>0.72851910514837304</v>
      </c>
      <c r="F345">
        <v>1.4144828845553741</v>
      </c>
      <c r="G345">
        <f t="shared" si="5"/>
        <v>0.68596377940700104</v>
      </c>
      <c r="H345">
        <v>2.7698144991347719E-3</v>
      </c>
    </row>
    <row r="346" spans="1:8" x14ac:dyDescent="0.35">
      <c r="A346" t="s">
        <v>73</v>
      </c>
      <c r="B346" t="s">
        <v>65</v>
      </c>
      <c r="C346" t="s">
        <v>38</v>
      </c>
      <c r="D346">
        <v>2025</v>
      </c>
      <c r="E346">
        <v>0.82258828244963222</v>
      </c>
      <c r="F346">
        <v>0.88561946045636819</v>
      </c>
      <c r="G346">
        <f t="shared" si="5"/>
        <v>6.3031178006735966E-2</v>
      </c>
      <c r="H346">
        <v>2.7698144991347719E-3</v>
      </c>
    </row>
    <row r="347" spans="1:8" x14ac:dyDescent="0.35">
      <c r="A347" t="s">
        <v>73</v>
      </c>
      <c r="B347" t="s">
        <v>71</v>
      </c>
      <c r="C347" t="s">
        <v>38</v>
      </c>
      <c r="D347">
        <v>2025</v>
      </c>
      <c r="E347">
        <v>0.69714532745484004</v>
      </c>
      <c r="F347">
        <v>0.88561946045636819</v>
      </c>
      <c r="G347">
        <f t="shared" si="5"/>
        <v>0.18847413300152815</v>
      </c>
      <c r="H347">
        <v>2.7698144991347719E-3</v>
      </c>
    </row>
    <row r="348" spans="1:8" x14ac:dyDescent="0.35">
      <c r="A348" t="s">
        <v>73</v>
      </c>
      <c r="B348" t="s">
        <v>66</v>
      </c>
      <c r="C348" t="s">
        <v>40</v>
      </c>
      <c r="D348">
        <v>2025</v>
      </c>
      <c r="E348">
        <v>1.2594069979400271</v>
      </c>
      <c r="F348">
        <v>0.88561946045636819</v>
      </c>
      <c r="G348">
        <f t="shared" si="5"/>
        <v>-0.37378753748365889</v>
      </c>
      <c r="H348">
        <v>2.7698144991347719E-3</v>
      </c>
    </row>
    <row r="349" spans="1:8" x14ac:dyDescent="0.35">
      <c r="A349" t="s">
        <v>73</v>
      </c>
      <c r="B349" t="s">
        <v>72</v>
      </c>
      <c r="C349" t="s">
        <v>40</v>
      </c>
      <c r="D349">
        <v>2025</v>
      </c>
      <c r="E349">
        <v>0.57266269658549085</v>
      </c>
      <c r="F349">
        <v>0.88561946045636819</v>
      </c>
      <c r="G349">
        <f t="shared" si="5"/>
        <v>0.31295676387087734</v>
      </c>
      <c r="H349">
        <v>2.7698144991347719E-3</v>
      </c>
    </row>
    <row r="350" spans="1:8" x14ac:dyDescent="0.35">
      <c r="A350" t="s">
        <v>74</v>
      </c>
      <c r="B350" t="s">
        <v>37</v>
      </c>
      <c r="C350" t="s">
        <v>38</v>
      </c>
      <c r="D350">
        <v>2011</v>
      </c>
      <c r="E350">
        <v>1.085473342594079</v>
      </c>
      <c r="F350">
        <v>1.585963389687955</v>
      </c>
      <c r="G350">
        <f t="shared" si="5"/>
        <v>0.50049004709387601</v>
      </c>
      <c r="H350">
        <v>1.532593479956511E-2</v>
      </c>
    </row>
    <row r="351" spans="1:8" x14ac:dyDescent="0.35">
      <c r="A351" t="s">
        <v>74</v>
      </c>
      <c r="B351" t="s">
        <v>39</v>
      </c>
      <c r="C351" t="s">
        <v>40</v>
      </c>
      <c r="D351">
        <v>2011</v>
      </c>
      <c r="E351">
        <v>0.64463752068673053</v>
      </c>
      <c r="F351">
        <v>1.585963389687955</v>
      </c>
      <c r="G351">
        <f t="shared" si="5"/>
        <v>0.9413258690012245</v>
      </c>
      <c r="H351">
        <v>1.532593479956511E-2</v>
      </c>
    </row>
    <row r="352" spans="1:8" x14ac:dyDescent="0.35">
      <c r="A352" t="s">
        <v>74</v>
      </c>
      <c r="B352" t="s">
        <v>37</v>
      </c>
      <c r="C352" t="s">
        <v>38</v>
      </c>
      <c r="D352">
        <v>2012</v>
      </c>
      <c r="E352">
        <v>1.0901130974096951</v>
      </c>
      <c r="F352">
        <v>-0.53795048916406796</v>
      </c>
      <c r="G352">
        <f t="shared" si="5"/>
        <v>-1.6280635865737629</v>
      </c>
      <c r="H352">
        <v>1.2458618885918409E-2</v>
      </c>
    </row>
    <row r="353" spans="1:8" x14ac:dyDescent="0.35">
      <c r="A353" t="s">
        <v>74</v>
      </c>
      <c r="B353" t="s">
        <v>41</v>
      </c>
      <c r="C353" t="s">
        <v>38</v>
      </c>
      <c r="D353">
        <v>2012</v>
      </c>
      <c r="E353">
        <v>0.43127476645701268</v>
      </c>
      <c r="F353">
        <v>-0.53795048916406796</v>
      </c>
      <c r="G353">
        <f t="shared" si="5"/>
        <v>-0.96922525562108064</v>
      </c>
      <c r="H353">
        <v>1.2458618885918409E-2</v>
      </c>
    </row>
    <row r="354" spans="1:8" x14ac:dyDescent="0.35">
      <c r="A354" t="s">
        <v>74</v>
      </c>
      <c r="B354" t="s">
        <v>39</v>
      </c>
      <c r="C354" t="s">
        <v>40</v>
      </c>
      <c r="D354">
        <v>2012</v>
      </c>
      <c r="E354">
        <v>1.915684733449208</v>
      </c>
      <c r="F354">
        <v>-0.53795048916406796</v>
      </c>
      <c r="G354">
        <f t="shared" si="5"/>
        <v>-2.453635222613276</v>
      </c>
      <c r="H354">
        <v>1.2458618885918409E-2</v>
      </c>
    </row>
    <row r="355" spans="1:8" x14ac:dyDescent="0.35">
      <c r="A355" t="s">
        <v>74</v>
      </c>
      <c r="B355" t="s">
        <v>42</v>
      </c>
      <c r="C355" t="s">
        <v>40</v>
      </c>
      <c r="D355">
        <v>2012</v>
      </c>
      <c r="E355">
        <v>0.53448290594637626</v>
      </c>
      <c r="F355">
        <v>-0.53795048916406796</v>
      </c>
      <c r="G355">
        <f t="shared" si="5"/>
        <v>-1.0724333951104441</v>
      </c>
      <c r="H355">
        <v>1.2458618885918409E-2</v>
      </c>
    </row>
    <row r="356" spans="1:8" x14ac:dyDescent="0.35">
      <c r="A356" t="s">
        <v>74</v>
      </c>
      <c r="B356" t="s">
        <v>41</v>
      </c>
      <c r="C356" t="s">
        <v>38</v>
      </c>
      <c r="D356">
        <v>2013</v>
      </c>
      <c r="E356">
        <v>1.055742969234341</v>
      </c>
      <c r="F356">
        <v>2.260800070139938</v>
      </c>
      <c r="G356">
        <f t="shared" si="5"/>
        <v>1.205057100905597</v>
      </c>
      <c r="H356">
        <v>1.455907609421961E-2</v>
      </c>
    </row>
    <row r="357" spans="1:8" x14ac:dyDescent="0.35">
      <c r="A357" t="s">
        <v>74</v>
      </c>
      <c r="B357" t="s">
        <v>43</v>
      </c>
      <c r="C357" t="s">
        <v>38</v>
      </c>
      <c r="D357">
        <v>2013</v>
      </c>
      <c r="E357">
        <v>0.30402131855349351</v>
      </c>
      <c r="F357">
        <v>2.260800070139938</v>
      </c>
      <c r="G357">
        <f t="shared" si="5"/>
        <v>1.9567787515864445</v>
      </c>
      <c r="H357">
        <v>1.455907609421961E-2</v>
      </c>
    </row>
    <row r="358" spans="1:8" x14ac:dyDescent="0.35">
      <c r="A358" t="s">
        <v>74</v>
      </c>
      <c r="B358" t="s">
        <v>42</v>
      </c>
      <c r="C358" t="s">
        <v>40</v>
      </c>
      <c r="D358">
        <v>2013</v>
      </c>
      <c r="E358">
        <v>1.9060651556646271</v>
      </c>
      <c r="F358">
        <v>2.260800070139938</v>
      </c>
      <c r="G358">
        <f t="shared" si="5"/>
        <v>0.35473491447531091</v>
      </c>
      <c r="H358">
        <v>1.455907609421961E-2</v>
      </c>
    </row>
    <row r="359" spans="1:8" x14ac:dyDescent="0.35">
      <c r="A359" t="s">
        <v>74</v>
      </c>
      <c r="B359" t="s">
        <v>44</v>
      </c>
      <c r="C359" t="s">
        <v>40</v>
      </c>
      <c r="D359">
        <v>2013</v>
      </c>
      <c r="E359">
        <v>1.069987927348115</v>
      </c>
      <c r="F359">
        <v>2.260800070139938</v>
      </c>
      <c r="G359">
        <f t="shared" si="5"/>
        <v>1.190812142791823</v>
      </c>
      <c r="H359">
        <v>1.455907609421961E-2</v>
      </c>
    </row>
    <row r="360" spans="1:8" x14ac:dyDescent="0.35">
      <c r="A360" t="s">
        <v>74</v>
      </c>
      <c r="B360" t="s">
        <v>43</v>
      </c>
      <c r="C360" t="s">
        <v>38</v>
      </c>
      <c r="D360">
        <v>2014</v>
      </c>
      <c r="E360">
        <v>1.703044407164489</v>
      </c>
      <c r="F360">
        <v>9.0504209935939262</v>
      </c>
      <c r="G360">
        <f t="shared" si="5"/>
        <v>7.3473765864294371</v>
      </c>
      <c r="H360">
        <v>1.379857452669039E-2</v>
      </c>
    </row>
    <row r="361" spans="1:8" x14ac:dyDescent="0.35">
      <c r="A361" t="s">
        <v>74</v>
      </c>
      <c r="B361" t="s">
        <v>45</v>
      </c>
      <c r="C361" t="s">
        <v>38</v>
      </c>
      <c r="D361">
        <v>2014</v>
      </c>
      <c r="E361">
        <v>4.6151910205822766</v>
      </c>
      <c r="F361">
        <v>9.0504209935939262</v>
      </c>
      <c r="G361">
        <f t="shared" si="5"/>
        <v>4.4352299730116496</v>
      </c>
      <c r="H361">
        <v>1.379857452669039E-2</v>
      </c>
    </row>
    <row r="362" spans="1:8" x14ac:dyDescent="0.35">
      <c r="A362" t="s">
        <v>74</v>
      </c>
      <c r="B362" t="s">
        <v>44</v>
      </c>
      <c r="C362" t="s">
        <v>40</v>
      </c>
      <c r="D362">
        <v>2014</v>
      </c>
      <c r="E362">
        <v>2.1762610607392712</v>
      </c>
      <c r="F362">
        <v>9.0504209935939262</v>
      </c>
      <c r="G362">
        <f t="shared" si="5"/>
        <v>6.8741599328546545</v>
      </c>
      <c r="H362">
        <v>1.379857452669039E-2</v>
      </c>
    </row>
    <row r="363" spans="1:8" x14ac:dyDescent="0.35">
      <c r="A363" t="s">
        <v>74</v>
      </c>
      <c r="B363" t="s">
        <v>46</v>
      </c>
      <c r="C363" t="s">
        <v>40</v>
      </c>
      <c r="D363">
        <v>2014</v>
      </c>
      <c r="E363">
        <v>1.740487538042057</v>
      </c>
      <c r="F363">
        <v>9.0504209935939262</v>
      </c>
      <c r="G363">
        <f t="shared" si="5"/>
        <v>7.3099334555518691</v>
      </c>
      <c r="H363">
        <v>1.379857452669039E-2</v>
      </c>
    </row>
    <row r="364" spans="1:8" x14ac:dyDescent="0.35">
      <c r="A364" t="s">
        <v>74</v>
      </c>
      <c r="B364" t="s">
        <v>45</v>
      </c>
      <c r="C364" t="s">
        <v>38</v>
      </c>
      <c r="D364">
        <v>2015</v>
      </c>
      <c r="E364">
        <v>3.6221665910883831</v>
      </c>
      <c r="F364">
        <v>21.950744654507421</v>
      </c>
      <c r="G364">
        <f t="shared" si="5"/>
        <v>18.328578063419037</v>
      </c>
      <c r="H364">
        <v>1.2536821512101341E-2</v>
      </c>
    </row>
    <row r="365" spans="1:8" x14ac:dyDescent="0.35">
      <c r="A365" t="s">
        <v>74</v>
      </c>
      <c r="B365" t="s">
        <v>47</v>
      </c>
      <c r="C365" t="s">
        <v>38</v>
      </c>
      <c r="D365">
        <v>2015</v>
      </c>
      <c r="E365">
        <v>6.0449344943167782</v>
      </c>
      <c r="F365">
        <v>21.950744654507421</v>
      </c>
      <c r="G365">
        <f t="shared" si="5"/>
        <v>15.905810160190644</v>
      </c>
      <c r="H365">
        <v>1.2536821512101341E-2</v>
      </c>
    </row>
    <row r="366" spans="1:8" x14ac:dyDescent="0.35">
      <c r="A366" t="s">
        <v>74</v>
      </c>
      <c r="B366" t="s">
        <v>46</v>
      </c>
      <c r="C366" t="s">
        <v>40</v>
      </c>
      <c r="D366">
        <v>2015</v>
      </c>
      <c r="E366">
        <v>2.99572233370986</v>
      </c>
      <c r="F366">
        <v>21.950744654507421</v>
      </c>
      <c r="G366">
        <f t="shared" si="5"/>
        <v>18.955022320797561</v>
      </c>
      <c r="H366">
        <v>1.2536821512101341E-2</v>
      </c>
    </row>
    <row r="367" spans="1:8" x14ac:dyDescent="0.35">
      <c r="A367" t="s">
        <v>74</v>
      </c>
      <c r="B367" t="s">
        <v>48</v>
      </c>
      <c r="C367" t="s">
        <v>40</v>
      </c>
      <c r="D367">
        <v>2015</v>
      </c>
      <c r="E367">
        <v>3.6070418929936339</v>
      </c>
      <c r="F367">
        <v>21.950744654507421</v>
      </c>
      <c r="G367">
        <f t="shared" si="5"/>
        <v>18.343702761513786</v>
      </c>
      <c r="H367">
        <v>1.2536821512101341E-2</v>
      </c>
    </row>
    <row r="368" spans="1:8" x14ac:dyDescent="0.35">
      <c r="A368" t="s">
        <v>74</v>
      </c>
      <c r="B368" t="s">
        <v>47</v>
      </c>
      <c r="C368" t="s">
        <v>38</v>
      </c>
      <c r="D368">
        <v>2016</v>
      </c>
      <c r="E368">
        <v>4.4841243342324866</v>
      </c>
      <c r="F368">
        <v>1.1725462785856491</v>
      </c>
      <c r="G368">
        <f t="shared" si="5"/>
        <v>-3.3115780556468373</v>
      </c>
      <c r="H368">
        <v>1.039757696796211E-2</v>
      </c>
    </row>
    <row r="369" spans="1:8" x14ac:dyDescent="0.35">
      <c r="A369" t="s">
        <v>74</v>
      </c>
      <c r="B369" t="s">
        <v>49</v>
      </c>
      <c r="C369" t="s">
        <v>38</v>
      </c>
      <c r="D369">
        <v>2016</v>
      </c>
      <c r="E369">
        <v>4.0884411162628984</v>
      </c>
      <c r="F369">
        <v>1.1725462785856491</v>
      </c>
      <c r="G369">
        <f t="shared" si="5"/>
        <v>-2.9158948376772491</v>
      </c>
      <c r="H369">
        <v>1.039757696796211E-2</v>
      </c>
    </row>
    <row r="370" spans="1:8" x14ac:dyDescent="0.35">
      <c r="A370" t="s">
        <v>74</v>
      </c>
      <c r="B370" t="s">
        <v>48</v>
      </c>
      <c r="C370" t="s">
        <v>40</v>
      </c>
      <c r="D370">
        <v>2016</v>
      </c>
      <c r="E370">
        <v>3.4764574668220138</v>
      </c>
      <c r="F370">
        <v>1.1725462785856491</v>
      </c>
      <c r="G370">
        <f t="shared" si="5"/>
        <v>-2.3039111882363645</v>
      </c>
      <c r="H370">
        <v>1.039757696796211E-2</v>
      </c>
    </row>
    <row r="371" spans="1:8" x14ac:dyDescent="0.35">
      <c r="A371" t="s">
        <v>74</v>
      </c>
      <c r="B371" t="s">
        <v>50</v>
      </c>
      <c r="C371" t="s">
        <v>40</v>
      </c>
      <c r="D371">
        <v>2016</v>
      </c>
      <c r="E371">
        <v>4.8687098071762858</v>
      </c>
      <c r="F371">
        <v>1.1725462785856491</v>
      </c>
      <c r="G371">
        <f t="shared" si="5"/>
        <v>-3.6961635285906365</v>
      </c>
      <c r="H371">
        <v>1.039757696796211E-2</v>
      </c>
    </row>
    <row r="372" spans="1:8" x14ac:dyDescent="0.35">
      <c r="A372" t="s">
        <v>74</v>
      </c>
      <c r="B372" t="s">
        <v>49</v>
      </c>
      <c r="C372" t="s">
        <v>38</v>
      </c>
      <c r="D372">
        <v>2017</v>
      </c>
      <c r="E372">
        <v>3.6014209648164601</v>
      </c>
      <c r="F372">
        <v>9.6242949957613337</v>
      </c>
      <c r="G372">
        <f t="shared" si="5"/>
        <v>6.0228740309448732</v>
      </c>
      <c r="H372">
        <v>9.9008587730576251E-3</v>
      </c>
    </row>
    <row r="373" spans="1:8" x14ac:dyDescent="0.35">
      <c r="A373" t="s">
        <v>74</v>
      </c>
      <c r="B373" t="s">
        <v>51</v>
      </c>
      <c r="C373" t="s">
        <v>38</v>
      </c>
      <c r="D373">
        <v>2017</v>
      </c>
      <c r="E373">
        <v>4.8263025218790556</v>
      </c>
      <c r="F373">
        <v>9.6242949957613337</v>
      </c>
      <c r="G373">
        <f t="shared" si="5"/>
        <v>4.7979924738822781</v>
      </c>
      <c r="H373">
        <v>9.9008587730576251E-3</v>
      </c>
    </row>
    <row r="374" spans="1:8" x14ac:dyDescent="0.35">
      <c r="A374" t="s">
        <v>74</v>
      </c>
      <c r="B374" t="s">
        <v>50</v>
      </c>
      <c r="C374" t="s">
        <v>40</v>
      </c>
      <c r="D374">
        <v>2017</v>
      </c>
      <c r="E374">
        <v>3.6717987560630938</v>
      </c>
      <c r="F374">
        <v>9.6242949957613337</v>
      </c>
      <c r="G374">
        <f t="shared" si="5"/>
        <v>5.9524962396982399</v>
      </c>
      <c r="H374">
        <v>9.9008587730576251E-3</v>
      </c>
    </row>
    <row r="375" spans="1:8" x14ac:dyDescent="0.35">
      <c r="A375" t="s">
        <v>74</v>
      </c>
      <c r="B375" t="s">
        <v>52</v>
      </c>
      <c r="C375" t="s">
        <v>40</v>
      </c>
      <c r="D375">
        <v>2017</v>
      </c>
      <c r="E375">
        <v>3.9509452446526701</v>
      </c>
      <c r="F375">
        <v>9.6242949957613337</v>
      </c>
      <c r="G375">
        <f t="shared" si="5"/>
        <v>5.6733497511086632</v>
      </c>
      <c r="H375">
        <v>9.9008587730576251E-3</v>
      </c>
    </row>
    <row r="376" spans="1:8" x14ac:dyDescent="0.35">
      <c r="A376" t="s">
        <v>74</v>
      </c>
      <c r="B376" t="s">
        <v>51</v>
      </c>
      <c r="C376" t="s">
        <v>38</v>
      </c>
      <c r="D376">
        <v>2018</v>
      </c>
      <c r="E376">
        <v>3.9055452515839528</v>
      </c>
      <c r="F376">
        <v>7.4446874521163222</v>
      </c>
      <c r="G376">
        <f t="shared" si="5"/>
        <v>3.5391422005323694</v>
      </c>
      <c r="H376">
        <v>1.0654359951493971E-2</v>
      </c>
    </row>
    <row r="377" spans="1:8" x14ac:dyDescent="0.35">
      <c r="A377" t="s">
        <v>74</v>
      </c>
      <c r="B377" t="s">
        <v>53</v>
      </c>
      <c r="C377" t="s">
        <v>38</v>
      </c>
      <c r="D377">
        <v>2018</v>
      </c>
      <c r="E377">
        <v>7.8117760082768486</v>
      </c>
      <c r="F377">
        <v>7.4446874521163222</v>
      </c>
      <c r="G377">
        <f t="shared" si="5"/>
        <v>-0.36708855616052638</v>
      </c>
      <c r="H377">
        <v>1.0654359951493971E-2</v>
      </c>
    </row>
    <row r="378" spans="1:8" x14ac:dyDescent="0.35">
      <c r="A378" t="s">
        <v>74</v>
      </c>
      <c r="B378" t="s">
        <v>52</v>
      </c>
      <c r="C378" t="s">
        <v>40</v>
      </c>
      <c r="D378">
        <v>2018</v>
      </c>
      <c r="E378">
        <v>3.6432271266646499</v>
      </c>
      <c r="F378">
        <v>7.4446874521163222</v>
      </c>
      <c r="G378">
        <f t="shared" si="5"/>
        <v>3.8014603254516723</v>
      </c>
      <c r="H378">
        <v>1.0654359951493971E-2</v>
      </c>
    </row>
    <row r="379" spans="1:8" x14ac:dyDescent="0.35">
      <c r="A379" t="s">
        <v>74</v>
      </c>
      <c r="B379" t="s">
        <v>54</v>
      </c>
      <c r="C379" t="s">
        <v>40</v>
      </c>
      <c r="D379">
        <v>2018</v>
      </c>
      <c r="E379">
        <v>5.6808928025538163</v>
      </c>
      <c r="F379">
        <v>7.4446874521163222</v>
      </c>
      <c r="G379">
        <f t="shared" si="5"/>
        <v>1.7637946495625059</v>
      </c>
      <c r="H379">
        <v>1.0654359951493971E-2</v>
      </c>
    </row>
    <row r="380" spans="1:8" x14ac:dyDescent="0.35">
      <c r="A380" t="s">
        <v>74</v>
      </c>
      <c r="B380" t="s">
        <v>53</v>
      </c>
      <c r="C380" t="s">
        <v>38</v>
      </c>
      <c r="D380">
        <v>2019</v>
      </c>
      <c r="E380">
        <v>4.5299756937161373</v>
      </c>
      <c r="F380">
        <v>4.8237638263446936</v>
      </c>
      <c r="G380">
        <f t="shared" si="5"/>
        <v>0.2937881326285563</v>
      </c>
      <c r="H380">
        <v>1.1273356968778309E-2</v>
      </c>
    </row>
    <row r="381" spans="1:8" x14ac:dyDescent="0.35">
      <c r="A381" t="s">
        <v>74</v>
      </c>
      <c r="B381" t="s">
        <v>55</v>
      </c>
      <c r="C381" t="s">
        <v>38</v>
      </c>
      <c r="D381">
        <v>2019</v>
      </c>
      <c r="E381">
        <v>5.6355935792373302</v>
      </c>
      <c r="F381">
        <v>4.8237638263446936</v>
      </c>
      <c r="G381">
        <f t="shared" si="5"/>
        <v>-0.81182975289263659</v>
      </c>
      <c r="H381">
        <v>1.1273356968778309E-2</v>
      </c>
    </row>
    <row r="382" spans="1:8" x14ac:dyDescent="0.35">
      <c r="A382" t="s">
        <v>74</v>
      </c>
      <c r="B382" t="s">
        <v>54</v>
      </c>
      <c r="C382" t="s">
        <v>40</v>
      </c>
      <c r="D382">
        <v>2019</v>
      </c>
      <c r="E382">
        <v>4.058674421459818</v>
      </c>
      <c r="F382">
        <v>4.8237638263446936</v>
      </c>
      <c r="G382">
        <f t="shared" si="5"/>
        <v>0.76508940488487553</v>
      </c>
      <c r="H382">
        <v>1.1273356968778309E-2</v>
      </c>
    </row>
    <row r="383" spans="1:8" x14ac:dyDescent="0.35">
      <c r="A383" t="s">
        <v>74</v>
      </c>
      <c r="B383" t="s">
        <v>56</v>
      </c>
      <c r="C383" t="s">
        <v>40</v>
      </c>
      <c r="D383">
        <v>2019</v>
      </c>
      <c r="E383">
        <v>3.759569376747196</v>
      </c>
      <c r="F383">
        <v>4.8237638263446936</v>
      </c>
      <c r="G383">
        <f t="shared" si="5"/>
        <v>1.0641944495974975</v>
      </c>
      <c r="H383">
        <v>1.1273356968778309E-2</v>
      </c>
    </row>
    <row r="384" spans="1:8" x14ac:dyDescent="0.35">
      <c r="A384" t="s">
        <v>74</v>
      </c>
      <c r="B384" t="s">
        <v>55</v>
      </c>
      <c r="C384" t="s">
        <v>38</v>
      </c>
      <c r="D384">
        <v>2020</v>
      </c>
      <c r="E384">
        <v>3.528571869780794</v>
      </c>
      <c r="F384">
        <v>6.9863814303713827</v>
      </c>
      <c r="G384">
        <f t="shared" si="5"/>
        <v>3.4578095605905887</v>
      </c>
      <c r="H384">
        <v>9.2278925085046721E-3</v>
      </c>
    </row>
    <row r="385" spans="1:8" x14ac:dyDescent="0.35">
      <c r="A385" t="s">
        <v>74</v>
      </c>
      <c r="B385" t="s">
        <v>57</v>
      </c>
      <c r="C385" t="s">
        <v>38</v>
      </c>
      <c r="D385">
        <v>2020</v>
      </c>
      <c r="E385">
        <v>-2.3373996171914708</v>
      </c>
      <c r="F385">
        <v>6.9863814303713827</v>
      </c>
      <c r="G385">
        <f t="shared" si="5"/>
        <v>9.3237810475628535</v>
      </c>
      <c r="H385">
        <v>9.2278925085046721E-3</v>
      </c>
    </row>
    <row r="386" spans="1:8" x14ac:dyDescent="0.35">
      <c r="A386" t="s">
        <v>74</v>
      </c>
      <c r="B386" t="s">
        <v>56</v>
      </c>
      <c r="C386" t="s">
        <v>40</v>
      </c>
      <c r="D386">
        <v>2020</v>
      </c>
      <c r="E386">
        <v>3.3676156234285992</v>
      </c>
      <c r="F386">
        <v>6.9863814303713827</v>
      </c>
      <c r="G386">
        <f t="shared" ref="G386:G449" si="6">IF(OR(F386="",E386=""),"",F386-E386)</f>
        <v>3.6187658069427835</v>
      </c>
      <c r="H386">
        <v>9.2278925085046721E-3</v>
      </c>
    </row>
    <row r="387" spans="1:8" x14ac:dyDescent="0.35">
      <c r="A387" t="s">
        <v>74</v>
      </c>
      <c r="B387" t="s">
        <v>58</v>
      </c>
      <c r="C387" t="s">
        <v>40</v>
      </c>
      <c r="D387">
        <v>2020</v>
      </c>
      <c r="E387">
        <v>-7.9470480138547073</v>
      </c>
      <c r="F387">
        <v>6.9863814303713827</v>
      </c>
      <c r="G387">
        <f t="shared" si="6"/>
        <v>14.933429444226089</v>
      </c>
      <c r="H387">
        <v>9.2278925085046721E-3</v>
      </c>
    </row>
    <row r="388" spans="1:8" x14ac:dyDescent="0.35">
      <c r="A388" t="s">
        <v>74</v>
      </c>
      <c r="B388" t="s">
        <v>57</v>
      </c>
      <c r="C388" t="s">
        <v>38</v>
      </c>
      <c r="D388">
        <v>2021</v>
      </c>
      <c r="E388">
        <v>2.947813244873676</v>
      </c>
      <c r="F388">
        <v>15.1246997065809</v>
      </c>
      <c r="G388">
        <f t="shared" si="6"/>
        <v>12.176886461707223</v>
      </c>
      <c r="H388">
        <v>7.4467517837094243E-3</v>
      </c>
    </row>
    <row r="389" spans="1:8" x14ac:dyDescent="0.35">
      <c r="A389" t="s">
        <v>74</v>
      </c>
      <c r="B389" t="s">
        <v>59</v>
      </c>
      <c r="C389" t="s">
        <v>38</v>
      </c>
      <c r="D389">
        <v>2021</v>
      </c>
      <c r="E389">
        <v>14.562981111404421</v>
      </c>
      <c r="F389">
        <v>15.1246997065809</v>
      </c>
      <c r="G389">
        <f t="shared" si="6"/>
        <v>0.5617185951764796</v>
      </c>
      <c r="H389">
        <v>7.4467517837094243E-3</v>
      </c>
    </row>
    <row r="390" spans="1:8" x14ac:dyDescent="0.35">
      <c r="A390" t="s">
        <v>74</v>
      </c>
      <c r="B390" t="s">
        <v>58</v>
      </c>
      <c r="C390" t="s">
        <v>40</v>
      </c>
      <c r="D390">
        <v>2021</v>
      </c>
      <c r="E390">
        <v>6.0844415228506374</v>
      </c>
      <c r="F390">
        <v>15.1246997065809</v>
      </c>
      <c r="G390">
        <f t="shared" si="6"/>
        <v>9.0402581837302627</v>
      </c>
      <c r="H390">
        <v>7.4467517837094243E-3</v>
      </c>
    </row>
    <row r="391" spans="1:8" x14ac:dyDescent="0.35">
      <c r="A391" t="s">
        <v>74</v>
      </c>
      <c r="B391" t="s">
        <v>60</v>
      </c>
      <c r="C391" t="s">
        <v>40</v>
      </c>
      <c r="D391">
        <v>2021</v>
      </c>
      <c r="E391">
        <v>4.5993257541988797</v>
      </c>
      <c r="F391">
        <v>15.1246997065809</v>
      </c>
      <c r="G391">
        <f t="shared" si="6"/>
        <v>10.52537395238202</v>
      </c>
      <c r="H391">
        <v>7.4467517837094243E-3</v>
      </c>
    </row>
    <row r="392" spans="1:8" x14ac:dyDescent="0.35">
      <c r="A392" t="s">
        <v>74</v>
      </c>
      <c r="B392" t="s">
        <v>59</v>
      </c>
      <c r="C392" t="s">
        <v>38</v>
      </c>
      <c r="D392">
        <v>2022</v>
      </c>
      <c r="E392">
        <v>5.0918722980731523</v>
      </c>
      <c r="F392">
        <v>7.9894443369245964</v>
      </c>
      <c r="G392">
        <f t="shared" si="6"/>
        <v>2.8975720388514441</v>
      </c>
      <c r="H392">
        <v>7.2438945945355968E-3</v>
      </c>
    </row>
    <row r="393" spans="1:8" x14ac:dyDescent="0.35">
      <c r="A393" t="s">
        <v>74</v>
      </c>
      <c r="B393" t="s">
        <v>61</v>
      </c>
      <c r="C393" t="s">
        <v>38</v>
      </c>
      <c r="D393">
        <v>2022</v>
      </c>
      <c r="E393">
        <v>7.8710837662645083</v>
      </c>
      <c r="F393">
        <v>7.9894443369245964</v>
      </c>
      <c r="G393">
        <f t="shared" si="6"/>
        <v>0.11836057066008809</v>
      </c>
      <c r="H393">
        <v>7.2438945945355968E-3</v>
      </c>
    </row>
    <row r="394" spans="1:8" x14ac:dyDescent="0.35">
      <c r="A394" t="s">
        <v>74</v>
      </c>
      <c r="B394" t="s">
        <v>60</v>
      </c>
      <c r="C394" t="s">
        <v>40</v>
      </c>
      <c r="D394">
        <v>2022</v>
      </c>
      <c r="E394">
        <v>4.9759868399277041</v>
      </c>
      <c r="F394">
        <v>7.9894443369245964</v>
      </c>
      <c r="G394">
        <f t="shared" si="6"/>
        <v>3.0134574969968924</v>
      </c>
      <c r="H394">
        <v>7.2438945945355968E-3</v>
      </c>
    </row>
    <row r="395" spans="1:8" x14ac:dyDescent="0.35">
      <c r="A395" t="s">
        <v>74</v>
      </c>
      <c r="B395" t="s">
        <v>62</v>
      </c>
      <c r="C395" t="s">
        <v>40</v>
      </c>
      <c r="D395">
        <v>2022</v>
      </c>
      <c r="E395">
        <v>5.3816861962496354</v>
      </c>
      <c r="F395">
        <v>7.9894443369245964</v>
      </c>
      <c r="G395">
        <f t="shared" si="6"/>
        <v>2.607758140674961</v>
      </c>
      <c r="H395">
        <v>7.2438945945355968E-3</v>
      </c>
    </row>
    <row r="396" spans="1:8" x14ac:dyDescent="0.35">
      <c r="A396" t="s">
        <v>74</v>
      </c>
      <c r="B396" t="s">
        <v>61</v>
      </c>
      <c r="C396" t="s">
        <v>38</v>
      </c>
      <c r="D396">
        <v>2023</v>
      </c>
      <c r="E396">
        <v>3.172255506856847</v>
      </c>
      <c r="F396">
        <v>-3.5205103013764418</v>
      </c>
      <c r="G396">
        <f t="shared" si="6"/>
        <v>-6.6927658082332888</v>
      </c>
      <c r="H396">
        <v>7.0481552886537402E-3</v>
      </c>
    </row>
    <row r="397" spans="1:8" x14ac:dyDescent="0.35">
      <c r="A397" t="s">
        <v>74</v>
      </c>
      <c r="B397" t="s">
        <v>63</v>
      </c>
      <c r="C397" t="s">
        <v>38</v>
      </c>
      <c r="D397">
        <v>2023</v>
      </c>
      <c r="E397">
        <v>-0.93495600507882415</v>
      </c>
      <c r="F397">
        <v>-3.5205103013764418</v>
      </c>
      <c r="G397">
        <f t="shared" si="6"/>
        <v>-2.5855542962976177</v>
      </c>
      <c r="H397">
        <v>7.0481552886537402E-3</v>
      </c>
    </row>
    <row r="398" spans="1:8" x14ac:dyDescent="0.35">
      <c r="A398" t="s">
        <v>74</v>
      </c>
      <c r="B398" t="s">
        <v>62</v>
      </c>
      <c r="C398" t="s">
        <v>40</v>
      </c>
      <c r="D398">
        <v>2023</v>
      </c>
      <c r="E398">
        <v>4.4348314017168322</v>
      </c>
      <c r="F398">
        <v>-3.5205103013764418</v>
      </c>
      <c r="G398">
        <f t="shared" si="6"/>
        <v>-7.955341703093274</v>
      </c>
      <c r="H398">
        <v>7.0481552886537402E-3</v>
      </c>
    </row>
    <row r="399" spans="1:8" x14ac:dyDescent="0.35">
      <c r="A399" t="s">
        <v>74</v>
      </c>
      <c r="B399" t="s">
        <v>64</v>
      </c>
      <c r="C399" t="s">
        <v>40</v>
      </c>
      <c r="D399">
        <v>2023</v>
      </c>
      <c r="E399">
        <v>5.5170730455133654</v>
      </c>
      <c r="F399">
        <v>-3.5205103013764418</v>
      </c>
      <c r="G399">
        <f t="shared" si="6"/>
        <v>-9.0375833468898072</v>
      </c>
      <c r="H399">
        <v>7.0481552886537402E-3</v>
      </c>
    </row>
    <row r="400" spans="1:8" x14ac:dyDescent="0.35">
      <c r="A400" t="s">
        <v>74</v>
      </c>
      <c r="B400" t="s">
        <v>63</v>
      </c>
      <c r="C400" t="s">
        <v>38</v>
      </c>
      <c r="D400">
        <v>2024</v>
      </c>
      <c r="E400">
        <v>3.0440640134462789</v>
      </c>
      <c r="F400">
        <v>3.6203795629134459</v>
      </c>
      <c r="G400">
        <f t="shared" si="6"/>
        <v>0.57631554946716701</v>
      </c>
      <c r="H400">
        <v>8.9861308352750593E-3</v>
      </c>
    </row>
    <row r="401" spans="1:8" x14ac:dyDescent="0.35">
      <c r="A401" t="s">
        <v>74</v>
      </c>
      <c r="B401" t="s">
        <v>65</v>
      </c>
      <c r="C401" t="s">
        <v>38</v>
      </c>
      <c r="D401">
        <v>2024</v>
      </c>
      <c r="E401">
        <v>-0.54062635287741578</v>
      </c>
      <c r="F401">
        <v>3.6203795629134459</v>
      </c>
      <c r="G401">
        <f t="shared" si="6"/>
        <v>4.1610059157908612</v>
      </c>
      <c r="H401">
        <v>8.9861308352750593E-3</v>
      </c>
    </row>
    <row r="402" spans="1:8" x14ac:dyDescent="0.35">
      <c r="A402" t="s">
        <v>74</v>
      </c>
      <c r="B402" t="s">
        <v>64</v>
      </c>
      <c r="C402" t="s">
        <v>40</v>
      </c>
      <c r="D402">
        <v>2024</v>
      </c>
      <c r="E402">
        <v>4.9679452562146009</v>
      </c>
      <c r="F402">
        <v>3.6203795629134459</v>
      </c>
      <c r="G402">
        <f t="shared" si="6"/>
        <v>-1.3475656933011551</v>
      </c>
      <c r="H402">
        <v>8.9861308352750593E-3</v>
      </c>
    </row>
    <row r="403" spans="1:8" x14ac:dyDescent="0.35">
      <c r="A403" t="s">
        <v>74</v>
      </c>
      <c r="B403" t="s">
        <v>66</v>
      </c>
      <c r="C403" t="s">
        <v>40</v>
      </c>
      <c r="D403">
        <v>2024</v>
      </c>
      <c r="E403">
        <v>1.2437124663212009</v>
      </c>
      <c r="F403">
        <v>3.6203795629134459</v>
      </c>
      <c r="G403">
        <f t="shared" si="6"/>
        <v>2.3766670965922447</v>
      </c>
      <c r="H403">
        <v>8.9861308352750593E-3</v>
      </c>
    </row>
    <row r="404" spans="1:8" x14ac:dyDescent="0.35">
      <c r="A404" t="s">
        <v>74</v>
      </c>
      <c r="B404" t="s">
        <v>65</v>
      </c>
      <c r="C404" t="s">
        <v>38</v>
      </c>
      <c r="D404">
        <v>2025</v>
      </c>
      <c r="E404">
        <v>4.023669914633099</v>
      </c>
      <c r="F404">
        <v>7.7791754385506806</v>
      </c>
      <c r="G404">
        <f t="shared" si="6"/>
        <v>3.7555055239175816</v>
      </c>
      <c r="H404">
        <v>8.9861308352750593E-3</v>
      </c>
    </row>
    <row r="405" spans="1:8" x14ac:dyDescent="0.35">
      <c r="A405" t="s">
        <v>74</v>
      </c>
      <c r="B405" t="s">
        <v>71</v>
      </c>
      <c r="C405" t="s">
        <v>38</v>
      </c>
      <c r="D405">
        <v>2025</v>
      </c>
      <c r="E405">
        <v>10.65081995793598</v>
      </c>
      <c r="F405">
        <v>7.7791754385506806</v>
      </c>
      <c r="G405">
        <f t="shared" si="6"/>
        <v>-2.8716445193852991</v>
      </c>
      <c r="H405">
        <v>8.9861308352750593E-3</v>
      </c>
    </row>
    <row r="406" spans="1:8" x14ac:dyDescent="0.35">
      <c r="A406" t="s">
        <v>74</v>
      </c>
      <c r="B406" t="s">
        <v>66</v>
      </c>
      <c r="C406" t="s">
        <v>40</v>
      </c>
      <c r="D406">
        <v>2025</v>
      </c>
      <c r="E406">
        <v>3.5927766013469591</v>
      </c>
      <c r="F406">
        <v>7.7791754385506806</v>
      </c>
      <c r="G406">
        <f t="shared" si="6"/>
        <v>4.186398837203722</v>
      </c>
      <c r="H406">
        <v>8.9861308352750593E-3</v>
      </c>
    </row>
    <row r="407" spans="1:8" x14ac:dyDescent="0.35">
      <c r="A407" t="s">
        <v>74</v>
      </c>
      <c r="B407" t="s">
        <v>72</v>
      </c>
      <c r="C407" t="s">
        <v>40</v>
      </c>
      <c r="D407">
        <v>2025</v>
      </c>
      <c r="E407">
        <v>3.377198218825495</v>
      </c>
      <c r="F407">
        <v>7.7791754385506806</v>
      </c>
      <c r="G407">
        <f t="shared" si="6"/>
        <v>4.4019772197251861</v>
      </c>
      <c r="H407">
        <v>8.9861308352750593E-3</v>
      </c>
    </row>
    <row r="408" spans="1:8" x14ac:dyDescent="0.35">
      <c r="A408" t="s">
        <v>75</v>
      </c>
      <c r="B408" t="s">
        <v>37</v>
      </c>
      <c r="C408" t="s">
        <v>38</v>
      </c>
      <c r="D408">
        <v>2011</v>
      </c>
      <c r="E408">
        <v>0.53999066387708794</v>
      </c>
      <c r="F408">
        <v>0.85331162783846093</v>
      </c>
      <c r="G408">
        <f t="shared" si="6"/>
        <v>0.31332096396137299</v>
      </c>
      <c r="H408">
        <v>3.1268873181164339E-3</v>
      </c>
    </row>
    <row r="409" spans="1:8" x14ac:dyDescent="0.35">
      <c r="A409" t="s">
        <v>75</v>
      </c>
      <c r="B409" t="s">
        <v>39</v>
      </c>
      <c r="C409" t="s">
        <v>40</v>
      </c>
      <c r="D409">
        <v>2011</v>
      </c>
      <c r="E409">
        <v>0.95974398092302238</v>
      </c>
      <c r="F409">
        <v>0.85331162783846093</v>
      </c>
      <c r="G409">
        <f t="shared" si="6"/>
        <v>-0.10643235308456145</v>
      </c>
      <c r="H409">
        <v>3.1268873181164339E-3</v>
      </c>
    </row>
    <row r="410" spans="1:8" x14ac:dyDescent="0.35">
      <c r="A410" t="s">
        <v>75</v>
      </c>
      <c r="B410" t="s">
        <v>37</v>
      </c>
      <c r="C410" t="s">
        <v>38</v>
      </c>
      <c r="D410">
        <v>2012</v>
      </c>
      <c r="E410">
        <v>5.7128352794499897E-2</v>
      </c>
      <c r="F410">
        <v>-3.2265545234223771</v>
      </c>
      <c r="G410">
        <f t="shared" si="6"/>
        <v>-3.283682876216877</v>
      </c>
      <c r="H410">
        <v>1.2453556099924551E-3</v>
      </c>
    </row>
    <row r="411" spans="1:8" x14ac:dyDescent="0.35">
      <c r="A411" t="s">
        <v>75</v>
      </c>
      <c r="B411" t="s">
        <v>41</v>
      </c>
      <c r="C411" t="s">
        <v>38</v>
      </c>
      <c r="D411">
        <v>2012</v>
      </c>
      <c r="E411">
        <v>-2.2867991965167418</v>
      </c>
      <c r="F411">
        <v>-3.2265545234223771</v>
      </c>
      <c r="G411">
        <f t="shared" si="6"/>
        <v>-0.93975532690563535</v>
      </c>
      <c r="H411">
        <v>1.2453556099924551E-3</v>
      </c>
    </row>
    <row r="412" spans="1:8" x14ac:dyDescent="0.35">
      <c r="A412" t="s">
        <v>75</v>
      </c>
      <c r="B412" t="s">
        <v>39</v>
      </c>
      <c r="C412" t="s">
        <v>40</v>
      </c>
      <c r="D412">
        <v>2012</v>
      </c>
      <c r="E412">
        <v>1.314970893331791</v>
      </c>
      <c r="F412">
        <v>-3.2265545234223771</v>
      </c>
      <c r="G412">
        <f t="shared" si="6"/>
        <v>-4.5415254167541681</v>
      </c>
      <c r="H412">
        <v>1.2453556099924551E-3</v>
      </c>
    </row>
    <row r="413" spans="1:8" x14ac:dyDescent="0.35">
      <c r="A413" t="s">
        <v>75</v>
      </c>
      <c r="B413" t="s">
        <v>42</v>
      </c>
      <c r="C413" t="s">
        <v>40</v>
      </c>
      <c r="D413">
        <v>2012</v>
      </c>
      <c r="E413">
        <v>-1.4066091621440899</v>
      </c>
      <c r="F413">
        <v>-3.2265545234223771</v>
      </c>
      <c r="G413">
        <f t="shared" si="6"/>
        <v>-1.8199453612782872</v>
      </c>
      <c r="H413">
        <v>1.2453556099924551E-3</v>
      </c>
    </row>
    <row r="414" spans="1:8" x14ac:dyDescent="0.35">
      <c r="A414" t="s">
        <v>75</v>
      </c>
      <c r="B414" t="s">
        <v>41</v>
      </c>
      <c r="C414" t="s">
        <v>38</v>
      </c>
      <c r="D414">
        <v>2013</v>
      </c>
      <c r="E414">
        <v>-0.54027205249544963</v>
      </c>
      <c r="F414">
        <v>-1.843520911707673</v>
      </c>
      <c r="G414">
        <f t="shared" si="6"/>
        <v>-1.3032488592122233</v>
      </c>
      <c r="H414">
        <v>1.258842609190792E-3</v>
      </c>
    </row>
    <row r="415" spans="1:8" x14ac:dyDescent="0.35">
      <c r="A415" t="s">
        <v>75</v>
      </c>
      <c r="B415" t="s">
        <v>43</v>
      </c>
      <c r="C415" t="s">
        <v>38</v>
      </c>
      <c r="D415">
        <v>2013</v>
      </c>
      <c r="E415">
        <v>-1.8298929550776939</v>
      </c>
      <c r="F415">
        <v>-1.843520911707673</v>
      </c>
      <c r="G415">
        <f t="shared" si="6"/>
        <v>-1.3627956629979066E-2</v>
      </c>
      <c r="H415">
        <v>1.258842609190792E-3</v>
      </c>
    </row>
    <row r="416" spans="1:8" x14ac:dyDescent="0.35">
      <c r="A416" t="s">
        <v>75</v>
      </c>
      <c r="B416" t="s">
        <v>42</v>
      </c>
      <c r="C416" t="s">
        <v>40</v>
      </c>
      <c r="D416">
        <v>2013</v>
      </c>
      <c r="E416">
        <v>0.44387559815419753</v>
      </c>
      <c r="F416">
        <v>-1.843520911707673</v>
      </c>
      <c r="G416">
        <f t="shared" si="6"/>
        <v>-2.2873965098618703</v>
      </c>
      <c r="H416">
        <v>1.258842609190792E-3</v>
      </c>
    </row>
    <row r="417" spans="1:8" x14ac:dyDescent="0.35">
      <c r="A417" t="s">
        <v>75</v>
      </c>
      <c r="B417" t="s">
        <v>44</v>
      </c>
      <c r="C417" t="s">
        <v>40</v>
      </c>
      <c r="D417">
        <v>2013</v>
      </c>
      <c r="E417">
        <v>-1.3409854181595351</v>
      </c>
      <c r="F417">
        <v>-1.843520911707673</v>
      </c>
      <c r="G417">
        <f t="shared" si="6"/>
        <v>-0.50253549354813787</v>
      </c>
      <c r="H417">
        <v>1.258842609190792E-3</v>
      </c>
    </row>
    <row r="418" spans="1:8" x14ac:dyDescent="0.35">
      <c r="A418" t="s">
        <v>75</v>
      </c>
      <c r="B418" t="s">
        <v>43</v>
      </c>
      <c r="C418" t="s">
        <v>38</v>
      </c>
      <c r="D418">
        <v>2014</v>
      </c>
      <c r="E418">
        <v>0.71082592354936303</v>
      </c>
      <c r="F418">
        <v>7.5233947391528819E-2</v>
      </c>
      <c r="G418">
        <f t="shared" si="6"/>
        <v>-0.63559197615783425</v>
      </c>
      <c r="H418">
        <v>1.1676188031476179E-3</v>
      </c>
    </row>
    <row r="419" spans="1:8" x14ac:dyDescent="0.35">
      <c r="A419" t="s">
        <v>75</v>
      </c>
      <c r="B419" t="s">
        <v>45</v>
      </c>
      <c r="C419" t="s">
        <v>38</v>
      </c>
      <c r="D419">
        <v>2014</v>
      </c>
      <c r="E419">
        <v>-0.39461096681301377</v>
      </c>
      <c r="F419">
        <v>7.5233947391528819E-2</v>
      </c>
      <c r="G419">
        <f t="shared" si="6"/>
        <v>0.46984491420454261</v>
      </c>
      <c r="H419">
        <v>1.1676188031476179E-3</v>
      </c>
    </row>
    <row r="420" spans="1:8" x14ac:dyDescent="0.35">
      <c r="A420" t="s">
        <v>75</v>
      </c>
      <c r="B420" t="s">
        <v>44</v>
      </c>
      <c r="C420" t="s">
        <v>40</v>
      </c>
      <c r="D420">
        <v>2014</v>
      </c>
      <c r="E420">
        <v>0.71763548551055933</v>
      </c>
      <c r="F420">
        <v>7.5233947391528819E-2</v>
      </c>
      <c r="G420">
        <f t="shared" si="6"/>
        <v>-0.64240153811903056</v>
      </c>
      <c r="H420">
        <v>1.1676188031476179E-3</v>
      </c>
    </row>
    <row r="421" spans="1:8" x14ac:dyDescent="0.35">
      <c r="A421" t="s">
        <v>75</v>
      </c>
      <c r="B421" t="s">
        <v>46</v>
      </c>
      <c r="C421" t="s">
        <v>40</v>
      </c>
      <c r="D421">
        <v>2014</v>
      </c>
      <c r="E421">
        <v>0.57096731898795827</v>
      </c>
      <c r="F421">
        <v>7.5233947391528819E-2</v>
      </c>
      <c r="G421">
        <f t="shared" si="6"/>
        <v>-0.49573337159642944</v>
      </c>
      <c r="H421">
        <v>1.1676188031476179E-3</v>
      </c>
    </row>
    <row r="422" spans="1:8" x14ac:dyDescent="0.35">
      <c r="A422" t="s">
        <v>75</v>
      </c>
      <c r="B422" t="s">
        <v>45</v>
      </c>
      <c r="C422" t="s">
        <v>38</v>
      </c>
      <c r="D422">
        <v>2015</v>
      </c>
      <c r="E422">
        <v>0.62872973894907425</v>
      </c>
      <c r="F422">
        <v>0.74285153390220071</v>
      </c>
      <c r="G422">
        <f t="shared" si="6"/>
        <v>0.11412179495312647</v>
      </c>
      <c r="H422">
        <v>1.2071161543213071E-3</v>
      </c>
    </row>
    <row r="423" spans="1:8" x14ac:dyDescent="0.35">
      <c r="A423" t="s">
        <v>75</v>
      </c>
      <c r="B423" t="s">
        <v>47</v>
      </c>
      <c r="C423" t="s">
        <v>38</v>
      </c>
      <c r="D423">
        <v>2015</v>
      </c>
      <c r="E423">
        <v>0.86665350989461043</v>
      </c>
      <c r="F423">
        <v>0.74285153390220071</v>
      </c>
      <c r="G423">
        <f t="shared" si="6"/>
        <v>-0.12380197599240972</v>
      </c>
      <c r="H423">
        <v>1.2071161543213071E-3</v>
      </c>
    </row>
    <row r="424" spans="1:8" x14ac:dyDescent="0.35">
      <c r="A424" t="s">
        <v>75</v>
      </c>
      <c r="B424" t="s">
        <v>46</v>
      </c>
      <c r="C424" t="s">
        <v>40</v>
      </c>
      <c r="D424">
        <v>2015</v>
      </c>
      <c r="E424">
        <v>1.229987574853153</v>
      </c>
      <c r="F424">
        <v>0.74285153390220071</v>
      </c>
      <c r="G424">
        <f t="shared" si="6"/>
        <v>-0.48713604095095231</v>
      </c>
      <c r="H424">
        <v>1.2071161543213071E-3</v>
      </c>
    </row>
    <row r="425" spans="1:8" x14ac:dyDescent="0.35">
      <c r="A425" t="s">
        <v>75</v>
      </c>
      <c r="B425" t="s">
        <v>48</v>
      </c>
      <c r="C425" t="s">
        <v>40</v>
      </c>
      <c r="D425">
        <v>2015</v>
      </c>
      <c r="E425">
        <v>0.6068597463795955</v>
      </c>
      <c r="F425">
        <v>0.74285153390220071</v>
      </c>
      <c r="G425">
        <f t="shared" si="6"/>
        <v>0.13599178752260521</v>
      </c>
      <c r="H425">
        <v>1.2071161543213071E-3</v>
      </c>
    </row>
    <row r="426" spans="1:8" x14ac:dyDescent="0.35">
      <c r="A426" t="s">
        <v>75</v>
      </c>
      <c r="B426" t="s">
        <v>47</v>
      </c>
      <c r="C426" t="s">
        <v>38</v>
      </c>
      <c r="D426">
        <v>2016</v>
      </c>
      <c r="E426">
        <v>1.4512761867371271</v>
      </c>
      <c r="F426">
        <v>1.34543552139666</v>
      </c>
      <c r="G426">
        <f t="shared" si="6"/>
        <v>-0.1058406653404671</v>
      </c>
      <c r="H426">
        <v>1.450426181018382E-3</v>
      </c>
    </row>
    <row r="427" spans="1:8" x14ac:dyDescent="0.35">
      <c r="A427" t="s">
        <v>75</v>
      </c>
      <c r="B427" t="s">
        <v>49</v>
      </c>
      <c r="C427" t="s">
        <v>38</v>
      </c>
      <c r="D427">
        <v>2016</v>
      </c>
      <c r="E427">
        <v>0.70784283945437565</v>
      </c>
      <c r="F427">
        <v>1.34543552139666</v>
      </c>
      <c r="G427">
        <f t="shared" si="6"/>
        <v>0.63759268194228436</v>
      </c>
      <c r="H427">
        <v>1.450426181018382E-3</v>
      </c>
    </row>
    <row r="428" spans="1:8" x14ac:dyDescent="0.35">
      <c r="A428" t="s">
        <v>75</v>
      </c>
      <c r="B428" t="s">
        <v>48</v>
      </c>
      <c r="C428" t="s">
        <v>40</v>
      </c>
      <c r="D428">
        <v>2016</v>
      </c>
      <c r="E428">
        <v>1.4109778499366681</v>
      </c>
      <c r="F428">
        <v>1.34543552139666</v>
      </c>
      <c r="G428">
        <f t="shared" si="6"/>
        <v>-6.5542328540008077E-2</v>
      </c>
      <c r="H428">
        <v>1.450426181018382E-3</v>
      </c>
    </row>
    <row r="429" spans="1:8" x14ac:dyDescent="0.35">
      <c r="A429" t="s">
        <v>75</v>
      </c>
      <c r="B429" t="s">
        <v>50</v>
      </c>
      <c r="C429" t="s">
        <v>40</v>
      </c>
      <c r="D429">
        <v>2016</v>
      </c>
      <c r="E429">
        <v>1.090462780977397</v>
      </c>
      <c r="F429">
        <v>1.34543552139666</v>
      </c>
      <c r="G429">
        <f t="shared" si="6"/>
        <v>0.25497274041926299</v>
      </c>
      <c r="H429">
        <v>1.450426181018382E-3</v>
      </c>
    </row>
    <row r="430" spans="1:8" x14ac:dyDescent="0.35">
      <c r="A430" t="s">
        <v>75</v>
      </c>
      <c r="B430" t="s">
        <v>49</v>
      </c>
      <c r="C430" t="s">
        <v>38</v>
      </c>
      <c r="D430">
        <v>2017</v>
      </c>
      <c r="E430">
        <v>0.90288361690229468</v>
      </c>
      <c r="F430">
        <v>1.6777714333363121</v>
      </c>
      <c r="G430">
        <f t="shared" si="6"/>
        <v>0.77488781643401738</v>
      </c>
      <c r="H430">
        <v>1.415613987051515E-3</v>
      </c>
    </row>
    <row r="431" spans="1:8" x14ac:dyDescent="0.35">
      <c r="A431" t="s">
        <v>75</v>
      </c>
      <c r="B431" t="s">
        <v>51</v>
      </c>
      <c r="C431" t="s">
        <v>38</v>
      </c>
      <c r="D431">
        <v>2017</v>
      </c>
      <c r="E431">
        <v>1.454734323287576</v>
      </c>
      <c r="F431">
        <v>1.6777714333363121</v>
      </c>
      <c r="G431">
        <f t="shared" si="6"/>
        <v>0.22303711004873605</v>
      </c>
      <c r="H431">
        <v>1.415613987051515E-3</v>
      </c>
    </row>
    <row r="432" spans="1:8" x14ac:dyDescent="0.35">
      <c r="A432" t="s">
        <v>75</v>
      </c>
      <c r="B432" t="s">
        <v>50</v>
      </c>
      <c r="C432" t="s">
        <v>40</v>
      </c>
      <c r="D432">
        <v>2017</v>
      </c>
      <c r="E432">
        <v>1.33546021526687</v>
      </c>
      <c r="F432">
        <v>1.6777714333363121</v>
      </c>
      <c r="G432">
        <f t="shared" si="6"/>
        <v>0.34231121806944209</v>
      </c>
      <c r="H432">
        <v>1.415613987051515E-3</v>
      </c>
    </row>
    <row r="433" spans="1:8" x14ac:dyDescent="0.35">
      <c r="A433" t="s">
        <v>75</v>
      </c>
      <c r="B433" t="s">
        <v>52</v>
      </c>
      <c r="C433" t="s">
        <v>40</v>
      </c>
      <c r="D433">
        <v>2017</v>
      </c>
      <c r="E433">
        <v>0.92886361941262319</v>
      </c>
      <c r="F433">
        <v>1.6777714333363121</v>
      </c>
      <c r="G433">
        <f t="shared" si="6"/>
        <v>0.74890781392368888</v>
      </c>
      <c r="H433">
        <v>1.415613987051515E-3</v>
      </c>
    </row>
    <row r="434" spans="1:8" x14ac:dyDescent="0.35">
      <c r="A434" t="s">
        <v>75</v>
      </c>
      <c r="B434" t="s">
        <v>51</v>
      </c>
      <c r="C434" t="s">
        <v>38</v>
      </c>
      <c r="D434">
        <v>2018</v>
      </c>
      <c r="E434">
        <v>1.301033595779133</v>
      </c>
      <c r="F434">
        <v>0.67915616097696463</v>
      </c>
      <c r="G434">
        <f t="shared" si="6"/>
        <v>-0.62187743480216839</v>
      </c>
      <c r="H434">
        <v>1.455735459670306E-3</v>
      </c>
    </row>
    <row r="435" spans="1:8" x14ac:dyDescent="0.35">
      <c r="A435" t="s">
        <v>75</v>
      </c>
      <c r="B435" t="s">
        <v>53</v>
      </c>
      <c r="C435" t="s">
        <v>38</v>
      </c>
      <c r="D435">
        <v>2018</v>
      </c>
      <c r="E435">
        <v>1.148974792689472</v>
      </c>
      <c r="F435">
        <v>0.67915616097696463</v>
      </c>
      <c r="G435">
        <f t="shared" si="6"/>
        <v>-0.46981863171250737</v>
      </c>
      <c r="H435">
        <v>1.455735459670306E-3</v>
      </c>
    </row>
    <row r="436" spans="1:8" x14ac:dyDescent="0.35">
      <c r="A436" t="s">
        <v>75</v>
      </c>
      <c r="B436" t="s">
        <v>52</v>
      </c>
      <c r="C436" t="s">
        <v>40</v>
      </c>
      <c r="D436">
        <v>2018</v>
      </c>
      <c r="E436">
        <v>1.1322194305175119</v>
      </c>
      <c r="F436">
        <v>0.67915616097696463</v>
      </c>
      <c r="G436">
        <f t="shared" si="6"/>
        <v>-0.45306326954054732</v>
      </c>
      <c r="H436">
        <v>1.455735459670306E-3</v>
      </c>
    </row>
    <row r="437" spans="1:8" x14ac:dyDescent="0.35">
      <c r="A437" t="s">
        <v>75</v>
      </c>
      <c r="B437" t="s">
        <v>54</v>
      </c>
      <c r="C437" t="s">
        <v>40</v>
      </c>
      <c r="D437">
        <v>2018</v>
      </c>
      <c r="E437">
        <v>1.453547985332837</v>
      </c>
      <c r="F437">
        <v>0.67915616097696463</v>
      </c>
      <c r="G437">
        <f t="shared" si="6"/>
        <v>-0.77439182435587239</v>
      </c>
      <c r="H437">
        <v>1.455735459670306E-3</v>
      </c>
    </row>
    <row r="438" spans="1:8" x14ac:dyDescent="0.35">
      <c r="A438" t="s">
        <v>75</v>
      </c>
      <c r="B438" t="s">
        <v>53</v>
      </c>
      <c r="C438" t="s">
        <v>38</v>
      </c>
      <c r="D438">
        <v>2019</v>
      </c>
      <c r="E438">
        <v>1.1508168253350211</v>
      </c>
      <c r="F438">
        <v>0.41751152968335331</v>
      </c>
      <c r="G438">
        <f t="shared" si="6"/>
        <v>-0.73330529565166769</v>
      </c>
      <c r="H438">
        <v>1.468206874459418E-3</v>
      </c>
    </row>
    <row r="439" spans="1:8" x14ac:dyDescent="0.35">
      <c r="A439" t="s">
        <v>75</v>
      </c>
      <c r="B439" t="s">
        <v>55</v>
      </c>
      <c r="C439" t="s">
        <v>38</v>
      </c>
      <c r="D439">
        <v>2019</v>
      </c>
      <c r="E439">
        <v>0.1046834039854172</v>
      </c>
      <c r="F439">
        <v>0.41751152968335331</v>
      </c>
      <c r="G439">
        <f t="shared" si="6"/>
        <v>0.31282812569793611</v>
      </c>
      <c r="H439">
        <v>1.468206874459418E-3</v>
      </c>
    </row>
    <row r="440" spans="1:8" x14ac:dyDescent="0.35">
      <c r="A440" t="s">
        <v>75</v>
      </c>
      <c r="B440" t="s">
        <v>54</v>
      </c>
      <c r="C440" t="s">
        <v>40</v>
      </c>
      <c r="D440">
        <v>2019</v>
      </c>
      <c r="E440">
        <v>1.208894526316961</v>
      </c>
      <c r="F440">
        <v>0.41751152968335331</v>
      </c>
      <c r="G440">
        <f t="shared" si="6"/>
        <v>-0.79138299663360767</v>
      </c>
      <c r="H440">
        <v>1.468206874459418E-3</v>
      </c>
    </row>
    <row r="441" spans="1:8" x14ac:dyDescent="0.35">
      <c r="A441" t="s">
        <v>75</v>
      </c>
      <c r="B441" t="s">
        <v>56</v>
      </c>
      <c r="C441" t="s">
        <v>40</v>
      </c>
      <c r="D441">
        <v>2019</v>
      </c>
      <c r="E441">
        <v>0.1006276066420453</v>
      </c>
      <c r="F441">
        <v>0.41751152968335331</v>
      </c>
      <c r="G441">
        <f t="shared" si="6"/>
        <v>0.31688392304130802</v>
      </c>
      <c r="H441">
        <v>1.468206874459418E-3</v>
      </c>
    </row>
    <row r="442" spans="1:8" x14ac:dyDescent="0.35">
      <c r="A442" t="s">
        <v>75</v>
      </c>
      <c r="B442" t="s">
        <v>55</v>
      </c>
      <c r="C442" t="s">
        <v>38</v>
      </c>
      <c r="D442">
        <v>2020</v>
      </c>
      <c r="E442">
        <v>0.43236292909316631</v>
      </c>
      <c r="F442">
        <v>-9.3783767522421471</v>
      </c>
      <c r="G442">
        <f t="shared" si="6"/>
        <v>-9.8107396813353134</v>
      </c>
      <c r="H442">
        <v>1.62386443036395E-3</v>
      </c>
    </row>
    <row r="443" spans="1:8" x14ac:dyDescent="0.35">
      <c r="A443" t="s">
        <v>75</v>
      </c>
      <c r="B443" t="s">
        <v>57</v>
      </c>
      <c r="C443" t="s">
        <v>38</v>
      </c>
      <c r="D443">
        <v>2020</v>
      </c>
      <c r="E443">
        <v>-9.8515454699187543</v>
      </c>
      <c r="F443">
        <v>-9.3783767522421471</v>
      </c>
      <c r="G443">
        <f t="shared" si="6"/>
        <v>0.47316871767660729</v>
      </c>
      <c r="H443">
        <v>1.62386443036395E-3</v>
      </c>
    </row>
    <row r="444" spans="1:8" x14ac:dyDescent="0.35">
      <c r="A444" t="s">
        <v>75</v>
      </c>
      <c r="B444" t="s">
        <v>56</v>
      </c>
      <c r="C444" t="s">
        <v>40</v>
      </c>
      <c r="D444">
        <v>2020</v>
      </c>
      <c r="E444">
        <v>0.71178912334750599</v>
      </c>
      <c r="F444">
        <v>-9.3783767522421471</v>
      </c>
      <c r="G444">
        <f t="shared" si="6"/>
        <v>-10.090165875589653</v>
      </c>
      <c r="H444">
        <v>1.62386443036395E-3</v>
      </c>
    </row>
    <row r="445" spans="1:8" x14ac:dyDescent="0.35">
      <c r="A445" t="s">
        <v>75</v>
      </c>
      <c r="B445" t="s">
        <v>58</v>
      </c>
      <c r="C445" t="s">
        <v>40</v>
      </c>
      <c r="D445">
        <v>2020</v>
      </c>
      <c r="E445">
        <v>-9.517990850094149</v>
      </c>
      <c r="F445">
        <v>-9.3783767522421471</v>
      </c>
      <c r="G445">
        <f t="shared" si="6"/>
        <v>0.13961409785200196</v>
      </c>
      <c r="H445">
        <v>1.62386443036395E-3</v>
      </c>
    </row>
    <row r="446" spans="1:8" x14ac:dyDescent="0.35">
      <c r="A446" t="s">
        <v>75</v>
      </c>
      <c r="B446" t="s">
        <v>57</v>
      </c>
      <c r="C446" t="s">
        <v>38</v>
      </c>
      <c r="D446">
        <v>2021</v>
      </c>
      <c r="E446">
        <v>4.051033813756133</v>
      </c>
      <c r="F446">
        <v>8.4370671759064813</v>
      </c>
      <c r="G446">
        <f t="shared" si="6"/>
        <v>4.3860333621503482</v>
      </c>
      <c r="H446">
        <v>1.3550145653097681E-3</v>
      </c>
    </row>
    <row r="447" spans="1:8" x14ac:dyDescent="0.35">
      <c r="A447" t="s">
        <v>75</v>
      </c>
      <c r="B447" t="s">
        <v>59</v>
      </c>
      <c r="C447" t="s">
        <v>38</v>
      </c>
      <c r="D447">
        <v>2021</v>
      </c>
      <c r="E447">
        <v>6.2292733128945343</v>
      </c>
      <c r="F447">
        <v>8.4370671759064813</v>
      </c>
      <c r="G447">
        <f t="shared" si="6"/>
        <v>2.2077938630119469</v>
      </c>
      <c r="H447">
        <v>1.3550145653097681E-3</v>
      </c>
    </row>
    <row r="448" spans="1:8" x14ac:dyDescent="0.35">
      <c r="A448" t="s">
        <v>75</v>
      </c>
      <c r="B448" t="s">
        <v>58</v>
      </c>
      <c r="C448" t="s">
        <v>40</v>
      </c>
      <c r="D448">
        <v>2021</v>
      </c>
      <c r="E448">
        <v>6.5496569028856699</v>
      </c>
      <c r="F448">
        <v>8.4370671759064813</v>
      </c>
      <c r="G448">
        <f t="shared" si="6"/>
        <v>1.8874102730208113</v>
      </c>
      <c r="H448">
        <v>1.3550145653097681E-3</v>
      </c>
    </row>
    <row r="449" spans="1:8" x14ac:dyDescent="0.35">
      <c r="A449" t="s">
        <v>75</v>
      </c>
      <c r="B449" t="s">
        <v>60</v>
      </c>
      <c r="C449" t="s">
        <v>40</v>
      </c>
      <c r="D449">
        <v>2021</v>
      </c>
      <c r="E449">
        <v>4.2068723885489323</v>
      </c>
      <c r="F449">
        <v>8.4370671759064813</v>
      </c>
      <c r="G449">
        <f t="shared" si="6"/>
        <v>4.2301947873575489</v>
      </c>
      <c r="H449">
        <v>1.3550145653097681E-3</v>
      </c>
    </row>
    <row r="450" spans="1:8" x14ac:dyDescent="0.35">
      <c r="A450" t="s">
        <v>75</v>
      </c>
      <c r="B450" t="s">
        <v>59</v>
      </c>
      <c r="C450" t="s">
        <v>38</v>
      </c>
      <c r="D450">
        <v>2022</v>
      </c>
      <c r="E450">
        <v>4.2689191687874661</v>
      </c>
      <c r="F450">
        <v>4.8546134866977511</v>
      </c>
      <c r="G450">
        <f t="shared" ref="G450:G513" si="7">IF(OR(F450="",E450=""),"",F450-E450)</f>
        <v>0.58569431791028492</v>
      </c>
      <c r="H450">
        <v>1.312969725716661E-3</v>
      </c>
    </row>
    <row r="451" spans="1:8" x14ac:dyDescent="0.35">
      <c r="A451" t="s">
        <v>75</v>
      </c>
      <c r="B451" t="s">
        <v>61</v>
      </c>
      <c r="C451" t="s">
        <v>38</v>
      </c>
      <c r="D451">
        <v>2022</v>
      </c>
      <c r="E451">
        <v>3.8268920279536989</v>
      </c>
      <c r="F451">
        <v>4.8546134866977511</v>
      </c>
      <c r="G451">
        <f t="shared" si="7"/>
        <v>1.0277214587440522</v>
      </c>
      <c r="H451">
        <v>1.312969725716661E-3</v>
      </c>
    </row>
    <row r="452" spans="1:8" x14ac:dyDescent="0.35">
      <c r="A452" t="s">
        <v>75</v>
      </c>
      <c r="B452" t="s">
        <v>60</v>
      </c>
      <c r="C452" t="s">
        <v>40</v>
      </c>
      <c r="D452">
        <v>2022</v>
      </c>
      <c r="E452">
        <v>4.3934586282645904</v>
      </c>
      <c r="F452">
        <v>4.8546134866977511</v>
      </c>
      <c r="G452">
        <f t="shared" si="7"/>
        <v>0.46115485843316062</v>
      </c>
      <c r="H452">
        <v>1.312969725716661E-3</v>
      </c>
    </row>
    <row r="453" spans="1:8" x14ac:dyDescent="0.35">
      <c r="A453" t="s">
        <v>75</v>
      </c>
      <c r="B453" t="s">
        <v>62</v>
      </c>
      <c r="C453" t="s">
        <v>40</v>
      </c>
      <c r="D453">
        <v>2022</v>
      </c>
      <c r="E453">
        <v>2.4256542804822261</v>
      </c>
      <c r="F453">
        <v>4.8546134866977511</v>
      </c>
      <c r="G453">
        <f t="shared" si="7"/>
        <v>2.428959206215525</v>
      </c>
      <c r="H453">
        <v>1.312969725716661E-3</v>
      </c>
    </row>
    <row r="454" spans="1:8" x14ac:dyDescent="0.35">
      <c r="A454" t="s">
        <v>75</v>
      </c>
      <c r="B454" t="s">
        <v>61</v>
      </c>
      <c r="C454" t="s">
        <v>38</v>
      </c>
      <c r="D454">
        <v>2023</v>
      </c>
      <c r="E454">
        <v>0.31473715860916851</v>
      </c>
      <c r="F454">
        <v>1.014274087639002</v>
      </c>
      <c r="G454">
        <f t="shared" si="7"/>
        <v>0.69953692902983344</v>
      </c>
      <c r="H454">
        <v>1.28816868967217E-3</v>
      </c>
    </row>
    <row r="455" spans="1:8" x14ac:dyDescent="0.35">
      <c r="A455" t="s">
        <v>75</v>
      </c>
      <c r="B455" t="s">
        <v>63</v>
      </c>
      <c r="C455" t="s">
        <v>38</v>
      </c>
      <c r="D455">
        <v>2023</v>
      </c>
      <c r="E455">
        <v>0.69157318051265015</v>
      </c>
      <c r="F455">
        <v>1.014274087639002</v>
      </c>
      <c r="G455">
        <f t="shared" si="7"/>
        <v>0.3227009071263518</v>
      </c>
      <c r="H455">
        <v>1.28816868967217E-3</v>
      </c>
    </row>
    <row r="456" spans="1:8" x14ac:dyDescent="0.35">
      <c r="A456" t="s">
        <v>75</v>
      </c>
      <c r="B456" t="s">
        <v>62</v>
      </c>
      <c r="C456" t="s">
        <v>40</v>
      </c>
      <c r="D456">
        <v>2023</v>
      </c>
      <c r="E456">
        <v>1.851291422718337</v>
      </c>
      <c r="F456">
        <v>1.014274087639002</v>
      </c>
      <c r="G456">
        <f t="shared" si="7"/>
        <v>-0.83701733507933507</v>
      </c>
      <c r="H456">
        <v>1.28816868967217E-3</v>
      </c>
    </row>
    <row r="457" spans="1:8" x14ac:dyDescent="0.35">
      <c r="A457" t="s">
        <v>75</v>
      </c>
      <c r="B457" t="s">
        <v>64</v>
      </c>
      <c r="C457" t="s">
        <v>40</v>
      </c>
      <c r="D457">
        <v>2023</v>
      </c>
      <c r="E457">
        <v>1.206598132351089</v>
      </c>
      <c r="F457">
        <v>1.014274087639002</v>
      </c>
      <c r="G457">
        <f t="shared" si="7"/>
        <v>-0.19232404471208708</v>
      </c>
      <c r="H457">
        <v>1.28816868967217E-3</v>
      </c>
    </row>
    <row r="458" spans="1:8" x14ac:dyDescent="0.35">
      <c r="A458" t="s">
        <v>75</v>
      </c>
      <c r="B458" t="s">
        <v>63</v>
      </c>
      <c r="C458" t="s">
        <v>38</v>
      </c>
      <c r="D458">
        <v>2024</v>
      </c>
      <c r="E458">
        <v>0.85219564942633497</v>
      </c>
      <c r="F458">
        <v>0.58463257989526929</v>
      </c>
      <c r="G458">
        <f t="shared" si="7"/>
        <v>-0.26756306953106568</v>
      </c>
      <c r="H458">
        <v>1.194863073206081E-3</v>
      </c>
    </row>
    <row r="459" spans="1:8" x14ac:dyDescent="0.35">
      <c r="A459" t="s">
        <v>75</v>
      </c>
      <c r="B459" t="s">
        <v>65</v>
      </c>
      <c r="C459" t="s">
        <v>38</v>
      </c>
      <c r="D459">
        <v>2024</v>
      </c>
      <c r="E459">
        <v>0.66875073104093463</v>
      </c>
      <c r="F459">
        <v>0.58463257989526929</v>
      </c>
      <c r="G459">
        <f t="shared" si="7"/>
        <v>-8.4118151145665343E-2</v>
      </c>
      <c r="H459">
        <v>1.194863073206081E-3</v>
      </c>
    </row>
    <row r="460" spans="1:8" x14ac:dyDescent="0.35">
      <c r="A460" t="s">
        <v>75</v>
      </c>
      <c r="B460" t="s">
        <v>64</v>
      </c>
      <c r="C460" t="s">
        <v>40</v>
      </c>
      <c r="D460">
        <v>2024</v>
      </c>
      <c r="E460">
        <v>1.088219792885559</v>
      </c>
      <c r="F460">
        <v>0.58463257989526929</v>
      </c>
      <c r="G460">
        <f t="shared" si="7"/>
        <v>-0.50358721299028975</v>
      </c>
      <c r="H460">
        <v>1.194863073206081E-3</v>
      </c>
    </row>
    <row r="461" spans="1:8" x14ac:dyDescent="0.35">
      <c r="A461" t="s">
        <v>75</v>
      </c>
      <c r="B461" t="s">
        <v>66</v>
      </c>
      <c r="C461" t="s">
        <v>40</v>
      </c>
      <c r="D461">
        <v>2024</v>
      </c>
      <c r="E461">
        <v>0.93648338218597083</v>
      </c>
      <c r="F461">
        <v>0.58463257989526929</v>
      </c>
      <c r="G461">
        <f t="shared" si="7"/>
        <v>-0.35185080229070154</v>
      </c>
      <c r="H461">
        <v>1.194863073206081E-3</v>
      </c>
    </row>
    <row r="462" spans="1:8" x14ac:dyDescent="0.35">
      <c r="A462" t="s">
        <v>75</v>
      </c>
      <c r="B462" t="s">
        <v>65</v>
      </c>
      <c r="C462" t="s">
        <v>38</v>
      </c>
      <c r="D462">
        <v>2025</v>
      </c>
      <c r="E462">
        <v>1.0376492446310339</v>
      </c>
      <c r="F462">
        <v>0.66135842759176278</v>
      </c>
      <c r="G462">
        <f t="shared" si="7"/>
        <v>-0.37629081703927114</v>
      </c>
      <c r="H462">
        <v>1.194863073206081E-3</v>
      </c>
    </row>
    <row r="463" spans="1:8" x14ac:dyDescent="0.35">
      <c r="A463" t="s">
        <v>75</v>
      </c>
      <c r="B463" t="s">
        <v>71</v>
      </c>
      <c r="C463" t="s">
        <v>38</v>
      </c>
      <c r="D463">
        <v>2025</v>
      </c>
      <c r="E463">
        <v>0.35981622121454843</v>
      </c>
      <c r="F463">
        <v>0.66135842759176278</v>
      </c>
      <c r="G463">
        <f t="shared" si="7"/>
        <v>0.30154220637721435</v>
      </c>
      <c r="H463">
        <v>1.194863073206081E-3</v>
      </c>
    </row>
    <row r="464" spans="1:8" x14ac:dyDescent="0.35">
      <c r="A464" t="s">
        <v>75</v>
      </c>
      <c r="B464" t="s">
        <v>66</v>
      </c>
      <c r="C464" t="s">
        <v>40</v>
      </c>
      <c r="D464">
        <v>2025</v>
      </c>
      <c r="E464">
        <v>1.0979449050216421</v>
      </c>
      <c r="F464">
        <v>0.66135842759176278</v>
      </c>
      <c r="G464">
        <f t="shared" si="7"/>
        <v>-0.43658647742987933</v>
      </c>
      <c r="H464">
        <v>1.194863073206081E-3</v>
      </c>
    </row>
    <row r="465" spans="1:8" x14ac:dyDescent="0.35">
      <c r="A465" t="s">
        <v>75</v>
      </c>
      <c r="B465" t="s">
        <v>72</v>
      </c>
      <c r="C465" t="s">
        <v>40</v>
      </c>
      <c r="D465">
        <v>2025</v>
      </c>
      <c r="E465">
        <v>0.66447930597219873</v>
      </c>
      <c r="F465">
        <v>0.66135842759176278</v>
      </c>
      <c r="G465">
        <f t="shared" si="7"/>
        <v>-3.1208783804359541E-3</v>
      </c>
      <c r="H465">
        <v>1.194863073206081E-3</v>
      </c>
    </row>
    <row r="466" spans="1:8" x14ac:dyDescent="0.35">
      <c r="A466" t="s">
        <v>76</v>
      </c>
      <c r="B466" t="s">
        <v>37</v>
      </c>
      <c r="C466" t="s">
        <v>38</v>
      </c>
      <c r="D466">
        <v>2011</v>
      </c>
      <c r="E466">
        <v>1.8081352289394561</v>
      </c>
      <c r="F466">
        <v>1.763265804751377</v>
      </c>
      <c r="G466">
        <f t="shared" si="7"/>
        <v>-4.4869424188079154E-2</v>
      </c>
      <c r="H466">
        <v>3.5221808169296091E-2</v>
      </c>
    </row>
    <row r="467" spans="1:8" x14ac:dyDescent="0.35">
      <c r="A467" t="s">
        <v>76</v>
      </c>
      <c r="B467" t="s">
        <v>39</v>
      </c>
      <c r="C467" t="s">
        <v>40</v>
      </c>
      <c r="D467">
        <v>2011</v>
      </c>
      <c r="E467">
        <v>1.926005162138456</v>
      </c>
      <c r="F467">
        <v>1.763265804751377</v>
      </c>
      <c r="G467">
        <f t="shared" si="7"/>
        <v>-0.16273935738707901</v>
      </c>
      <c r="H467">
        <v>3.5221808169296091E-2</v>
      </c>
    </row>
    <row r="468" spans="1:8" x14ac:dyDescent="0.35">
      <c r="A468" t="s">
        <v>76</v>
      </c>
      <c r="B468" t="s">
        <v>37</v>
      </c>
      <c r="C468" t="s">
        <v>38</v>
      </c>
      <c r="D468">
        <v>2012</v>
      </c>
      <c r="E468">
        <v>0.49861923570131422</v>
      </c>
      <c r="F468">
        <v>-0.98761966818776048</v>
      </c>
      <c r="G468">
        <f t="shared" si="7"/>
        <v>-1.4862389038890746</v>
      </c>
      <c r="H468">
        <v>2.7962413886549891E-2</v>
      </c>
    </row>
    <row r="469" spans="1:8" x14ac:dyDescent="0.35">
      <c r="A469" t="s">
        <v>76</v>
      </c>
      <c r="B469" t="s">
        <v>41</v>
      </c>
      <c r="C469" t="s">
        <v>38</v>
      </c>
      <c r="D469">
        <v>2012</v>
      </c>
      <c r="E469">
        <v>-0.28000741980042099</v>
      </c>
      <c r="F469">
        <v>-0.98761966818776048</v>
      </c>
      <c r="G469">
        <f t="shared" si="7"/>
        <v>-0.70761224838733949</v>
      </c>
      <c r="H469">
        <v>2.7962413886549891E-2</v>
      </c>
    </row>
    <row r="470" spans="1:8" x14ac:dyDescent="0.35">
      <c r="A470" t="s">
        <v>76</v>
      </c>
      <c r="B470" t="s">
        <v>39</v>
      </c>
      <c r="C470" t="s">
        <v>40</v>
      </c>
      <c r="D470">
        <v>2012</v>
      </c>
      <c r="E470">
        <v>1.661047212655653</v>
      </c>
      <c r="F470">
        <v>-0.98761966818776048</v>
      </c>
      <c r="G470">
        <f t="shared" si="7"/>
        <v>-2.6486668808434137</v>
      </c>
      <c r="H470">
        <v>2.7962413886549891E-2</v>
      </c>
    </row>
    <row r="471" spans="1:8" x14ac:dyDescent="0.35">
      <c r="A471" t="s">
        <v>76</v>
      </c>
      <c r="B471" t="s">
        <v>42</v>
      </c>
      <c r="C471" t="s">
        <v>40</v>
      </c>
      <c r="D471">
        <v>2012</v>
      </c>
      <c r="E471">
        <v>-0.88737458554019044</v>
      </c>
      <c r="F471">
        <v>-0.98761966818776048</v>
      </c>
      <c r="G471">
        <f t="shared" si="7"/>
        <v>-0.10024508264757004</v>
      </c>
      <c r="H471">
        <v>2.7962413886549891E-2</v>
      </c>
    </row>
    <row r="472" spans="1:8" x14ac:dyDescent="0.35">
      <c r="A472" t="s">
        <v>76</v>
      </c>
      <c r="B472" t="s">
        <v>41</v>
      </c>
      <c r="C472" t="s">
        <v>38</v>
      </c>
      <c r="D472">
        <v>2013</v>
      </c>
      <c r="E472">
        <v>0.25101306409311958</v>
      </c>
      <c r="F472">
        <v>1.2707283722487859E-2</v>
      </c>
      <c r="G472">
        <f t="shared" si="7"/>
        <v>-0.23830578037063171</v>
      </c>
      <c r="H472">
        <v>2.9090525421548951E-2</v>
      </c>
    </row>
    <row r="473" spans="1:8" x14ac:dyDescent="0.35">
      <c r="A473" t="s">
        <v>76</v>
      </c>
      <c r="B473" t="s">
        <v>43</v>
      </c>
      <c r="C473" t="s">
        <v>38</v>
      </c>
      <c r="D473">
        <v>2013</v>
      </c>
      <c r="E473">
        <v>-0.9800045037945293</v>
      </c>
      <c r="F473">
        <v>1.2707283722487859E-2</v>
      </c>
      <c r="G473">
        <f t="shared" si="7"/>
        <v>0.99271178751701716</v>
      </c>
      <c r="H473">
        <v>2.9090525421548951E-2</v>
      </c>
    </row>
    <row r="474" spans="1:8" x14ac:dyDescent="0.35">
      <c r="A474" t="s">
        <v>76</v>
      </c>
      <c r="B474" t="s">
        <v>42</v>
      </c>
      <c r="C474" t="s">
        <v>40</v>
      </c>
      <c r="D474">
        <v>2013</v>
      </c>
      <c r="E474">
        <v>0.70707026821927865</v>
      </c>
      <c r="F474">
        <v>1.2707283722487859E-2</v>
      </c>
      <c r="G474">
        <f t="shared" si="7"/>
        <v>-0.69436298449679079</v>
      </c>
      <c r="H474">
        <v>2.9090525421548951E-2</v>
      </c>
    </row>
    <row r="475" spans="1:8" x14ac:dyDescent="0.35">
      <c r="A475" t="s">
        <v>76</v>
      </c>
      <c r="B475" t="s">
        <v>44</v>
      </c>
      <c r="C475" t="s">
        <v>40</v>
      </c>
      <c r="D475">
        <v>2013</v>
      </c>
      <c r="E475">
        <v>-0.79000434577850553</v>
      </c>
      <c r="F475">
        <v>1.2707283722487859E-2</v>
      </c>
      <c r="G475">
        <f t="shared" si="7"/>
        <v>0.8027116295009934</v>
      </c>
      <c r="H475">
        <v>2.9090525421548951E-2</v>
      </c>
    </row>
    <row r="476" spans="1:8" x14ac:dyDescent="0.35">
      <c r="A476" t="s">
        <v>76</v>
      </c>
      <c r="B476" t="s">
        <v>43</v>
      </c>
      <c r="C476" t="s">
        <v>38</v>
      </c>
      <c r="D476">
        <v>2014</v>
      </c>
      <c r="E476">
        <v>0.2460103096358246</v>
      </c>
      <c r="F476">
        <v>1.6013721912486829</v>
      </c>
      <c r="G476">
        <f t="shared" si="7"/>
        <v>1.3553618816128583</v>
      </c>
      <c r="H476">
        <v>3.2188351395378782E-2</v>
      </c>
    </row>
    <row r="477" spans="1:8" x14ac:dyDescent="0.35">
      <c r="A477" t="s">
        <v>76</v>
      </c>
      <c r="B477" t="s">
        <v>45</v>
      </c>
      <c r="C477" t="s">
        <v>38</v>
      </c>
      <c r="D477">
        <v>2014</v>
      </c>
      <c r="E477">
        <v>0.87813009513062479</v>
      </c>
      <c r="F477">
        <v>1.6013721912486829</v>
      </c>
      <c r="G477">
        <f t="shared" si="7"/>
        <v>0.72324209611805812</v>
      </c>
      <c r="H477">
        <v>3.2188351395378782E-2</v>
      </c>
    </row>
    <row r="478" spans="1:8" x14ac:dyDescent="0.35">
      <c r="A478" t="s">
        <v>76</v>
      </c>
      <c r="B478" t="s">
        <v>44</v>
      </c>
      <c r="C478" t="s">
        <v>40</v>
      </c>
      <c r="D478">
        <v>2014</v>
      </c>
      <c r="E478">
        <v>0.89594425952546075</v>
      </c>
      <c r="F478">
        <v>1.6013721912486829</v>
      </c>
      <c r="G478">
        <f t="shared" si="7"/>
        <v>0.70542793172322216</v>
      </c>
      <c r="H478">
        <v>3.2188351395378782E-2</v>
      </c>
    </row>
    <row r="479" spans="1:8" x14ac:dyDescent="0.35">
      <c r="A479" t="s">
        <v>76</v>
      </c>
      <c r="B479" t="s">
        <v>46</v>
      </c>
      <c r="C479" t="s">
        <v>40</v>
      </c>
      <c r="D479">
        <v>2014</v>
      </c>
      <c r="E479">
        <v>1.1634467886850299</v>
      </c>
      <c r="F479">
        <v>1.6013721912486829</v>
      </c>
      <c r="G479">
        <f t="shared" si="7"/>
        <v>0.43792540256365298</v>
      </c>
      <c r="H479">
        <v>3.2188351395378782E-2</v>
      </c>
    </row>
    <row r="480" spans="1:8" x14ac:dyDescent="0.35">
      <c r="A480" t="s">
        <v>76</v>
      </c>
      <c r="B480" t="s">
        <v>45</v>
      </c>
      <c r="C480" t="s">
        <v>38</v>
      </c>
      <c r="D480">
        <v>2015</v>
      </c>
      <c r="E480">
        <v>1.4152411951803721</v>
      </c>
      <c r="F480">
        <v>2.075992985655045</v>
      </c>
      <c r="G480">
        <f t="shared" si="7"/>
        <v>0.66075179047467292</v>
      </c>
      <c r="H480">
        <v>3.2685922756560681E-2</v>
      </c>
    </row>
    <row r="481" spans="1:8" x14ac:dyDescent="0.35">
      <c r="A481" t="s">
        <v>76</v>
      </c>
      <c r="B481" t="s">
        <v>47</v>
      </c>
      <c r="C481" t="s">
        <v>38</v>
      </c>
      <c r="D481">
        <v>2015</v>
      </c>
      <c r="E481">
        <v>2.048080115775686</v>
      </c>
      <c r="F481">
        <v>2.075992985655045</v>
      </c>
      <c r="G481">
        <f t="shared" si="7"/>
        <v>2.7912869879358926E-2</v>
      </c>
      <c r="H481">
        <v>3.2685922756560681E-2</v>
      </c>
    </row>
    <row r="482" spans="1:8" x14ac:dyDescent="0.35">
      <c r="A482" t="s">
        <v>76</v>
      </c>
      <c r="B482" t="s">
        <v>46</v>
      </c>
      <c r="C482" t="s">
        <v>40</v>
      </c>
      <c r="D482">
        <v>2015</v>
      </c>
      <c r="E482">
        <v>1.3587126188379759</v>
      </c>
      <c r="F482">
        <v>2.075992985655045</v>
      </c>
      <c r="G482">
        <f t="shared" si="7"/>
        <v>0.71728036681706908</v>
      </c>
      <c r="H482">
        <v>3.2685922756560681E-2</v>
      </c>
    </row>
    <row r="483" spans="1:8" x14ac:dyDescent="0.35">
      <c r="A483" t="s">
        <v>76</v>
      </c>
      <c r="B483" t="s">
        <v>48</v>
      </c>
      <c r="C483" t="s">
        <v>40</v>
      </c>
      <c r="D483">
        <v>2015</v>
      </c>
      <c r="E483">
        <v>1.634744403265187</v>
      </c>
      <c r="F483">
        <v>2.075992985655045</v>
      </c>
      <c r="G483">
        <f t="shared" si="7"/>
        <v>0.44124858238985798</v>
      </c>
      <c r="H483">
        <v>3.2685922756560681E-2</v>
      </c>
    </row>
    <row r="484" spans="1:8" x14ac:dyDescent="0.35">
      <c r="A484" t="s">
        <v>76</v>
      </c>
      <c r="B484" t="s">
        <v>47</v>
      </c>
      <c r="C484" t="s">
        <v>38</v>
      </c>
      <c r="D484">
        <v>2016</v>
      </c>
      <c r="E484">
        <v>2.1325986777734669</v>
      </c>
      <c r="F484">
        <v>2.3909782656438301</v>
      </c>
      <c r="G484">
        <f t="shared" si="7"/>
        <v>0.25837958787036319</v>
      </c>
      <c r="H484">
        <v>3.3329279039429373E-2</v>
      </c>
    </row>
    <row r="485" spans="1:8" x14ac:dyDescent="0.35">
      <c r="A485" t="s">
        <v>76</v>
      </c>
      <c r="B485" t="s">
        <v>49</v>
      </c>
      <c r="C485" t="s">
        <v>38</v>
      </c>
      <c r="D485">
        <v>2016</v>
      </c>
      <c r="E485">
        <v>1.6589744219452249</v>
      </c>
      <c r="F485">
        <v>2.3909782656438301</v>
      </c>
      <c r="G485">
        <f t="shared" si="7"/>
        <v>0.73200384369860516</v>
      </c>
      <c r="H485">
        <v>3.3329279039429373E-2</v>
      </c>
    </row>
    <row r="486" spans="1:8" x14ac:dyDescent="0.35">
      <c r="A486" t="s">
        <v>76</v>
      </c>
      <c r="B486" t="s">
        <v>48</v>
      </c>
      <c r="C486" t="s">
        <v>40</v>
      </c>
      <c r="D486">
        <v>2016</v>
      </c>
      <c r="E486">
        <v>1.7327119888610909</v>
      </c>
      <c r="F486">
        <v>2.3909782656438301</v>
      </c>
      <c r="G486">
        <f t="shared" si="7"/>
        <v>0.65826627678273919</v>
      </c>
      <c r="H486">
        <v>3.3329279039429373E-2</v>
      </c>
    </row>
    <row r="487" spans="1:8" x14ac:dyDescent="0.35">
      <c r="A487" t="s">
        <v>76</v>
      </c>
      <c r="B487" t="s">
        <v>50</v>
      </c>
      <c r="C487" t="s">
        <v>40</v>
      </c>
      <c r="D487">
        <v>2016</v>
      </c>
      <c r="E487">
        <v>1.6774792555238389</v>
      </c>
      <c r="F487">
        <v>2.3909782656438301</v>
      </c>
      <c r="G487">
        <f t="shared" si="7"/>
        <v>0.71349901011999117</v>
      </c>
      <c r="H487">
        <v>3.3329279039429373E-2</v>
      </c>
    </row>
    <row r="488" spans="1:8" x14ac:dyDescent="0.35">
      <c r="A488" t="s">
        <v>76</v>
      </c>
      <c r="B488" t="s">
        <v>49</v>
      </c>
      <c r="C488" t="s">
        <v>38</v>
      </c>
      <c r="D488">
        <v>2017</v>
      </c>
      <c r="E488">
        <v>1.6517530585588249</v>
      </c>
      <c r="F488">
        <v>2.7431906089065579</v>
      </c>
      <c r="G488">
        <f t="shared" si="7"/>
        <v>1.0914375503477329</v>
      </c>
      <c r="H488">
        <v>3.1898869597727753E-2</v>
      </c>
    </row>
    <row r="489" spans="1:8" x14ac:dyDescent="0.35">
      <c r="A489" t="s">
        <v>76</v>
      </c>
      <c r="B489" t="s">
        <v>51</v>
      </c>
      <c r="C489" t="s">
        <v>38</v>
      </c>
      <c r="D489">
        <v>2017</v>
      </c>
      <c r="E489">
        <v>3.2081591137887999</v>
      </c>
      <c r="F489">
        <v>2.7431906089065579</v>
      </c>
      <c r="G489">
        <f t="shared" si="7"/>
        <v>-0.46496850488224206</v>
      </c>
      <c r="H489">
        <v>3.1898869597727753E-2</v>
      </c>
    </row>
    <row r="490" spans="1:8" x14ac:dyDescent="0.35">
      <c r="A490" t="s">
        <v>76</v>
      </c>
      <c r="B490" t="s">
        <v>50</v>
      </c>
      <c r="C490" t="s">
        <v>40</v>
      </c>
      <c r="D490">
        <v>2017</v>
      </c>
      <c r="E490">
        <v>1.9694041267229729</v>
      </c>
      <c r="F490">
        <v>2.7431906089065579</v>
      </c>
      <c r="G490">
        <f t="shared" si="7"/>
        <v>0.77378648218358492</v>
      </c>
      <c r="H490">
        <v>3.1898869597727753E-2</v>
      </c>
    </row>
    <row r="491" spans="1:8" x14ac:dyDescent="0.35">
      <c r="A491" t="s">
        <v>76</v>
      </c>
      <c r="B491" t="s">
        <v>52</v>
      </c>
      <c r="C491" t="s">
        <v>40</v>
      </c>
      <c r="D491">
        <v>2017</v>
      </c>
      <c r="E491">
        <v>2.1108256212513781</v>
      </c>
      <c r="F491">
        <v>2.7431906089065579</v>
      </c>
      <c r="G491">
        <f t="shared" si="7"/>
        <v>0.63236498765517979</v>
      </c>
      <c r="H491">
        <v>3.1898869597727753E-2</v>
      </c>
    </row>
    <row r="492" spans="1:8" x14ac:dyDescent="0.35">
      <c r="A492" t="s">
        <v>76</v>
      </c>
      <c r="B492" t="s">
        <v>51</v>
      </c>
      <c r="C492" t="s">
        <v>38</v>
      </c>
      <c r="D492">
        <v>2018</v>
      </c>
      <c r="E492">
        <v>2.719855882122268</v>
      </c>
      <c r="F492">
        <v>2.2276489335745251</v>
      </c>
      <c r="G492">
        <f t="shared" si="7"/>
        <v>-0.49220694854774294</v>
      </c>
      <c r="H492">
        <v>3.6017884371874691E-2</v>
      </c>
    </row>
    <row r="493" spans="1:8" x14ac:dyDescent="0.35">
      <c r="A493" t="s">
        <v>76</v>
      </c>
      <c r="B493" t="s">
        <v>53</v>
      </c>
      <c r="C493" t="s">
        <v>38</v>
      </c>
      <c r="D493">
        <v>2018</v>
      </c>
      <c r="E493">
        <v>2.836804692292016</v>
      </c>
      <c r="F493">
        <v>2.2276489335745251</v>
      </c>
      <c r="G493">
        <f t="shared" si="7"/>
        <v>-0.60915575871749095</v>
      </c>
      <c r="H493">
        <v>3.6017884371874691E-2</v>
      </c>
    </row>
    <row r="494" spans="1:8" x14ac:dyDescent="0.35">
      <c r="A494" t="s">
        <v>76</v>
      </c>
      <c r="B494" t="s">
        <v>52</v>
      </c>
      <c r="C494" t="s">
        <v>40</v>
      </c>
      <c r="D494">
        <v>2018</v>
      </c>
      <c r="E494">
        <v>1.81696463155987</v>
      </c>
      <c r="F494">
        <v>2.2276489335745251</v>
      </c>
      <c r="G494">
        <f t="shared" si="7"/>
        <v>0.41068430201465511</v>
      </c>
      <c r="H494">
        <v>3.6017884371874691E-2</v>
      </c>
    </row>
    <row r="495" spans="1:8" x14ac:dyDescent="0.35">
      <c r="A495" t="s">
        <v>76</v>
      </c>
      <c r="B495" t="s">
        <v>54</v>
      </c>
      <c r="C495" t="s">
        <v>40</v>
      </c>
      <c r="D495">
        <v>2018</v>
      </c>
      <c r="E495">
        <v>2.9504045313044398</v>
      </c>
      <c r="F495">
        <v>2.2276489335745251</v>
      </c>
      <c r="G495">
        <f t="shared" si="7"/>
        <v>-0.72275559772991471</v>
      </c>
      <c r="H495">
        <v>3.6017884371874691E-2</v>
      </c>
    </row>
    <row r="496" spans="1:8" x14ac:dyDescent="0.35">
      <c r="A496" t="s">
        <v>76</v>
      </c>
      <c r="B496" t="s">
        <v>53</v>
      </c>
      <c r="C496" t="s">
        <v>38</v>
      </c>
      <c r="D496">
        <v>2019</v>
      </c>
      <c r="E496">
        <v>2.3973855170303038</v>
      </c>
      <c r="F496">
        <v>2.2687921571426761</v>
      </c>
      <c r="G496">
        <f t="shared" si="7"/>
        <v>-0.12859335988762766</v>
      </c>
      <c r="H496">
        <v>3.7054754499917721E-2</v>
      </c>
    </row>
    <row r="497" spans="1:8" x14ac:dyDescent="0.35">
      <c r="A497" t="s">
        <v>76</v>
      </c>
      <c r="B497" t="s">
        <v>55</v>
      </c>
      <c r="C497" t="s">
        <v>38</v>
      </c>
      <c r="D497">
        <v>2019</v>
      </c>
      <c r="E497">
        <v>1.699934171052897</v>
      </c>
      <c r="F497">
        <v>2.2687921571426761</v>
      </c>
      <c r="G497">
        <f t="shared" si="7"/>
        <v>0.56885798608977911</v>
      </c>
      <c r="H497">
        <v>3.7054754499917721E-2</v>
      </c>
    </row>
    <row r="498" spans="1:8" x14ac:dyDescent="0.35">
      <c r="A498" t="s">
        <v>76</v>
      </c>
      <c r="B498" t="s">
        <v>54</v>
      </c>
      <c r="C498" t="s">
        <v>40</v>
      </c>
      <c r="D498">
        <v>2019</v>
      </c>
      <c r="E498">
        <v>2.5903398154754731</v>
      </c>
      <c r="F498">
        <v>2.2687921571426761</v>
      </c>
      <c r="G498">
        <f t="shared" si="7"/>
        <v>-0.32154765833279697</v>
      </c>
      <c r="H498">
        <v>3.7054754499917721E-2</v>
      </c>
    </row>
    <row r="499" spans="1:8" x14ac:dyDescent="0.35">
      <c r="A499" t="s">
        <v>76</v>
      </c>
      <c r="B499" t="s">
        <v>56</v>
      </c>
      <c r="C499" t="s">
        <v>40</v>
      </c>
      <c r="D499">
        <v>2019</v>
      </c>
      <c r="E499">
        <v>1.627911133653104</v>
      </c>
      <c r="F499">
        <v>2.2687921571426761</v>
      </c>
      <c r="G499">
        <f t="shared" si="7"/>
        <v>0.6408810234895721</v>
      </c>
      <c r="H499">
        <v>3.7054754499917721E-2</v>
      </c>
    </row>
    <row r="500" spans="1:8" x14ac:dyDescent="0.35">
      <c r="A500" t="s">
        <v>76</v>
      </c>
      <c r="B500" t="s">
        <v>55</v>
      </c>
      <c r="C500" t="s">
        <v>38</v>
      </c>
      <c r="D500">
        <v>2020</v>
      </c>
      <c r="E500">
        <v>1.2831214058191649</v>
      </c>
      <c r="F500">
        <v>-3.9039509434828492</v>
      </c>
      <c r="G500">
        <f t="shared" si="7"/>
        <v>-5.1870723493020137</v>
      </c>
      <c r="H500">
        <v>4.2581579870975293E-2</v>
      </c>
    </row>
    <row r="501" spans="1:8" x14ac:dyDescent="0.35">
      <c r="A501" t="s">
        <v>76</v>
      </c>
      <c r="B501" t="s">
        <v>57</v>
      </c>
      <c r="C501" t="s">
        <v>38</v>
      </c>
      <c r="D501">
        <v>2020</v>
      </c>
      <c r="E501">
        <v>-5.3222217587985954</v>
      </c>
      <c r="F501">
        <v>-3.9039509434828492</v>
      </c>
      <c r="G501">
        <f t="shared" si="7"/>
        <v>1.4182708153157462</v>
      </c>
      <c r="H501">
        <v>4.2581579870975293E-2</v>
      </c>
    </row>
    <row r="502" spans="1:8" x14ac:dyDescent="0.35">
      <c r="A502" t="s">
        <v>76</v>
      </c>
      <c r="B502" t="s">
        <v>56</v>
      </c>
      <c r="C502" t="s">
        <v>40</v>
      </c>
      <c r="D502">
        <v>2020</v>
      </c>
      <c r="E502">
        <v>1.619436814413677</v>
      </c>
      <c r="F502">
        <v>-3.9039509434828492</v>
      </c>
      <c r="G502">
        <f t="shared" si="7"/>
        <v>-5.5233877578965265</v>
      </c>
      <c r="H502">
        <v>4.2581579870975293E-2</v>
      </c>
    </row>
    <row r="503" spans="1:8" x14ac:dyDescent="0.35">
      <c r="A503" t="s">
        <v>76</v>
      </c>
      <c r="B503" t="s">
        <v>58</v>
      </c>
      <c r="C503" t="s">
        <v>40</v>
      </c>
      <c r="D503">
        <v>2020</v>
      </c>
      <c r="E503">
        <v>-6.8478963820636896</v>
      </c>
      <c r="F503">
        <v>-3.9039509434828492</v>
      </c>
      <c r="G503">
        <f t="shared" si="7"/>
        <v>2.9439454385808403</v>
      </c>
      <c r="H503">
        <v>4.2581579870975293E-2</v>
      </c>
    </row>
    <row r="504" spans="1:8" x14ac:dyDescent="0.35">
      <c r="A504" t="s">
        <v>76</v>
      </c>
      <c r="B504" t="s">
        <v>57</v>
      </c>
      <c r="C504" t="s">
        <v>38</v>
      </c>
      <c r="D504">
        <v>2021</v>
      </c>
      <c r="E504">
        <v>2.161323818880434</v>
      </c>
      <c r="F504">
        <v>6.0197643563294596</v>
      </c>
      <c r="G504">
        <f t="shared" si="7"/>
        <v>3.8584405374490256</v>
      </c>
      <c r="H504">
        <v>4.2229620878678473E-2</v>
      </c>
    </row>
    <row r="505" spans="1:8" x14ac:dyDescent="0.35">
      <c r="A505" t="s">
        <v>76</v>
      </c>
      <c r="B505" t="s">
        <v>59</v>
      </c>
      <c r="C505" t="s">
        <v>38</v>
      </c>
      <c r="D505">
        <v>2021</v>
      </c>
      <c r="E505">
        <v>3.9728248180522558</v>
      </c>
      <c r="F505">
        <v>6.0197643563294596</v>
      </c>
      <c r="G505">
        <f t="shared" si="7"/>
        <v>2.0469395382772038</v>
      </c>
      <c r="H505">
        <v>4.2229620878678473E-2</v>
      </c>
    </row>
    <row r="506" spans="1:8" x14ac:dyDescent="0.35">
      <c r="A506" t="s">
        <v>76</v>
      </c>
      <c r="B506" t="s">
        <v>58</v>
      </c>
      <c r="C506" t="s">
        <v>40</v>
      </c>
      <c r="D506">
        <v>2021</v>
      </c>
      <c r="E506">
        <v>4.963640025345617</v>
      </c>
      <c r="F506">
        <v>6.0197643563294596</v>
      </c>
      <c r="G506">
        <f t="shared" si="7"/>
        <v>1.0561243309838426</v>
      </c>
      <c r="H506">
        <v>4.2229620878678473E-2</v>
      </c>
    </row>
    <row r="507" spans="1:8" x14ac:dyDescent="0.35">
      <c r="A507" t="s">
        <v>76</v>
      </c>
      <c r="B507" t="s">
        <v>60</v>
      </c>
      <c r="C507" t="s">
        <v>40</v>
      </c>
      <c r="D507">
        <v>2021</v>
      </c>
      <c r="E507">
        <v>2.3382369164345769</v>
      </c>
      <c r="F507">
        <v>6.0197643563294596</v>
      </c>
      <c r="G507">
        <f t="shared" si="7"/>
        <v>3.6815274398948827</v>
      </c>
      <c r="H507">
        <v>4.2229620878678473E-2</v>
      </c>
    </row>
    <row r="508" spans="1:8" x14ac:dyDescent="0.35">
      <c r="A508" t="s">
        <v>76</v>
      </c>
      <c r="B508" t="s">
        <v>59</v>
      </c>
      <c r="C508" t="s">
        <v>38</v>
      </c>
      <c r="D508">
        <v>2022</v>
      </c>
      <c r="E508">
        <v>3.3489770835561039</v>
      </c>
      <c r="F508">
        <v>4.8892912104023152</v>
      </c>
      <c r="G508">
        <f t="shared" si="7"/>
        <v>1.5403141268462113</v>
      </c>
      <c r="H508">
        <v>3.9751937262975177E-2</v>
      </c>
    </row>
    <row r="509" spans="1:8" x14ac:dyDescent="0.35">
      <c r="A509" t="s">
        <v>76</v>
      </c>
      <c r="B509" t="s">
        <v>61</v>
      </c>
      <c r="C509" t="s">
        <v>38</v>
      </c>
      <c r="D509">
        <v>2022</v>
      </c>
      <c r="E509">
        <v>4.6490196630740721</v>
      </c>
      <c r="F509">
        <v>4.8892912104023152</v>
      </c>
      <c r="G509">
        <f t="shared" si="7"/>
        <v>0.24027154732824307</v>
      </c>
      <c r="H509">
        <v>3.9751937262975177E-2</v>
      </c>
    </row>
    <row r="510" spans="1:8" x14ac:dyDescent="0.35">
      <c r="A510" t="s">
        <v>76</v>
      </c>
      <c r="B510" t="s">
        <v>60</v>
      </c>
      <c r="C510" t="s">
        <v>40</v>
      </c>
      <c r="D510">
        <v>2022</v>
      </c>
      <c r="E510">
        <v>3.5790486712876879</v>
      </c>
      <c r="F510">
        <v>4.8892912104023152</v>
      </c>
      <c r="G510">
        <f t="shared" si="7"/>
        <v>1.3102425391146273</v>
      </c>
      <c r="H510">
        <v>3.9751937262975177E-2</v>
      </c>
    </row>
    <row r="511" spans="1:8" x14ac:dyDescent="0.35">
      <c r="A511" t="s">
        <v>76</v>
      </c>
      <c r="B511" t="s">
        <v>62</v>
      </c>
      <c r="C511" t="s">
        <v>40</v>
      </c>
      <c r="D511">
        <v>2022</v>
      </c>
      <c r="E511">
        <v>3.271330674458595</v>
      </c>
      <c r="F511">
        <v>4.8892912104023152</v>
      </c>
      <c r="G511">
        <f t="shared" si="7"/>
        <v>1.6179605359437201</v>
      </c>
      <c r="H511">
        <v>3.9751937262975177E-2</v>
      </c>
    </row>
    <row r="512" spans="1:8" x14ac:dyDescent="0.35">
      <c r="A512" t="s">
        <v>76</v>
      </c>
      <c r="B512" t="s">
        <v>61</v>
      </c>
      <c r="C512" t="s">
        <v>38</v>
      </c>
      <c r="D512">
        <v>2023</v>
      </c>
      <c r="E512">
        <v>0.64857323528075828</v>
      </c>
      <c r="F512">
        <v>-0.58469355622177965</v>
      </c>
      <c r="G512">
        <f t="shared" si="7"/>
        <v>-1.2332667915025379</v>
      </c>
      <c r="H512">
        <v>4.7209783201579453E-2</v>
      </c>
    </row>
    <row r="513" spans="1:8" x14ac:dyDescent="0.35">
      <c r="A513" t="s">
        <v>76</v>
      </c>
      <c r="B513" t="s">
        <v>63</v>
      </c>
      <c r="C513" t="s">
        <v>38</v>
      </c>
      <c r="D513">
        <v>2023</v>
      </c>
      <c r="E513">
        <v>0.5799247285826814</v>
      </c>
      <c r="F513">
        <v>-0.58469355622177965</v>
      </c>
      <c r="G513">
        <f t="shared" si="7"/>
        <v>-1.1646182848044611</v>
      </c>
      <c r="H513">
        <v>4.7209783201579453E-2</v>
      </c>
    </row>
    <row r="514" spans="1:8" x14ac:dyDescent="0.35">
      <c r="A514" t="s">
        <v>76</v>
      </c>
      <c r="B514" t="s">
        <v>62</v>
      </c>
      <c r="C514" t="s">
        <v>40</v>
      </c>
      <c r="D514">
        <v>2023</v>
      </c>
      <c r="E514">
        <v>1.5682500170195011</v>
      </c>
      <c r="F514">
        <v>-0.58469355622177965</v>
      </c>
      <c r="G514">
        <f t="shared" ref="G514:G577" si="8">IF(OR(F514="",E514=""),"",F514-E514)</f>
        <v>-2.1529435732412807</v>
      </c>
      <c r="H514">
        <v>4.7209783201579453E-2</v>
      </c>
    </row>
    <row r="515" spans="1:8" x14ac:dyDescent="0.35">
      <c r="A515" t="s">
        <v>76</v>
      </c>
      <c r="B515" t="s">
        <v>64</v>
      </c>
      <c r="C515" t="s">
        <v>40</v>
      </c>
      <c r="D515">
        <v>2023</v>
      </c>
      <c r="E515">
        <v>1.8009941751683021</v>
      </c>
      <c r="F515">
        <v>-0.58469355622177965</v>
      </c>
      <c r="G515">
        <f t="shared" si="8"/>
        <v>-2.3856877313900817</v>
      </c>
      <c r="H515">
        <v>4.7209783201579453E-2</v>
      </c>
    </row>
    <row r="516" spans="1:8" x14ac:dyDescent="0.35">
      <c r="A516" t="s">
        <v>76</v>
      </c>
      <c r="B516" t="s">
        <v>63</v>
      </c>
      <c r="C516" t="s">
        <v>38</v>
      </c>
      <c r="D516">
        <v>2024</v>
      </c>
      <c r="E516">
        <v>1.090974188365412</v>
      </c>
      <c r="F516">
        <v>1.058640812818894</v>
      </c>
      <c r="G516">
        <f t="shared" si="8"/>
        <v>-3.2333375546518051E-2</v>
      </c>
      <c r="H516">
        <v>5.4550377494533613E-2</v>
      </c>
    </row>
    <row r="517" spans="1:8" x14ac:dyDescent="0.35">
      <c r="A517" t="s">
        <v>76</v>
      </c>
      <c r="B517" t="s">
        <v>65</v>
      </c>
      <c r="C517" t="s">
        <v>38</v>
      </c>
      <c r="D517">
        <v>2024</v>
      </c>
      <c r="E517">
        <v>0.84134331866276835</v>
      </c>
      <c r="F517">
        <v>1.058640812818894</v>
      </c>
      <c r="G517">
        <f t="shared" si="8"/>
        <v>0.21729749415612565</v>
      </c>
      <c r="H517">
        <v>5.4550377494533613E-2</v>
      </c>
    </row>
    <row r="518" spans="1:8" x14ac:dyDescent="0.35">
      <c r="A518" t="s">
        <v>76</v>
      </c>
      <c r="B518" t="s">
        <v>64</v>
      </c>
      <c r="C518" t="s">
        <v>40</v>
      </c>
      <c r="D518">
        <v>2024</v>
      </c>
      <c r="E518">
        <v>1.181076174566176</v>
      </c>
      <c r="F518">
        <v>1.058640812818894</v>
      </c>
      <c r="G518">
        <f t="shared" si="8"/>
        <v>-0.12243536174728198</v>
      </c>
      <c r="H518">
        <v>5.4550377494533613E-2</v>
      </c>
    </row>
    <row r="519" spans="1:8" x14ac:dyDescent="0.35">
      <c r="A519" t="s">
        <v>76</v>
      </c>
      <c r="B519" t="s">
        <v>66</v>
      </c>
      <c r="C519" t="s">
        <v>40</v>
      </c>
      <c r="D519">
        <v>2024</v>
      </c>
      <c r="E519">
        <v>0.76042118074215459</v>
      </c>
      <c r="F519">
        <v>1.058640812818894</v>
      </c>
      <c r="G519">
        <f t="shared" si="8"/>
        <v>0.2982196320767394</v>
      </c>
      <c r="H519">
        <v>5.4550377494533613E-2</v>
      </c>
    </row>
    <row r="520" spans="1:8" x14ac:dyDescent="0.35">
      <c r="A520" t="s">
        <v>76</v>
      </c>
      <c r="B520" t="s">
        <v>65</v>
      </c>
      <c r="C520" t="s">
        <v>38</v>
      </c>
      <c r="D520">
        <v>2025</v>
      </c>
      <c r="E520">
        <v>1.551316113361789</v>
      </c>
      <c r="F520">
        <v>1.5629801711020599</v>
      </c>
      <c r="G520">
        <f t="shared" si="8"/>
        <v>1.1664057740270906E-2</v>
      </c>
      <c r="H520">
        <v>5.4550377494533613E-2</v>
      </c>
    </row>
    <row r="521" spans="1:8" x14ac:dyDescent="0.35">
      <c r="A521" t="s">
        <v>76</v>
      </c>
      <c r="B521" t="s">
        <v>71</v>
      </c>
      <c r="C521" t="s">
        <v>38</v>
      </c>
      <c r="D521">
        <v>2025</v>
      </c>
      <c r="E521">
        <v>1.6966708374271939</v>
      </c>
      <c r="F521">
        <v>1.5629801711020599</v>
      </c>
      <c r="G521">
        <f t="shared" si="8"/>
        <v>-0.13369066632513404</v>
      </c>
      <c r="H521">
        <v>5.4550377494533613E-2</v>
      </c>
    </row>
    <row r="522" spans="1:8" x14ac:dyDescent="0.35">
      <c r="A522" t="s">
        <v>76</v>
      </c>
      <c r="B522" t="s">
        <v>66</v>
      </c>
      <c r="C522" t="s">
        <v>40</v>
      </c>
      <c r="D522">
        <v>2025</v>
      </c>
      <c r="E522">
        <v>1.4664182247055459</v>
      </c>
      <c r="F522">
        <v>1.5629801711020599</v>
      </c>
      <c r="G522">
        <f t="shared" si="8"/>
        <v>9.6561946396513942E-2</v>
      </c>
      <c r="H522">
        <v>5.4550377494533613E-2</v>
      </c>
    </row>
    <row r="523" spans="1:8" x14ac:dyDescent="0.35">
      <c r="A523" t="s">
        <v>76</v>
      </c>
      <c r="B523" t="s">
        <v>72</v>
      </c>
      <c r="C523" t="s">
        <v>40</v>
      </c>
      <c r="D523">
        <v>2025</v>
      </c>
      <c r="E523">
        <v>1.282511180567347</v>
      </c>
      <c r="F523">
        <v>1.5629801711020599</v>
      </c>
      <c r="G523">
        <f t="shared" si="8"/>
        <v>0.28046899053471286</v>
      </c>
      <c r="H523">
        <v>5.4550377494533613E-2</v>
      </c>
    </row>
    <row r="524" spans="1:8" x14ac:dyDescent="0.35">
      <c r="A524" t="s">
        <v>77</v>
      </c>
      <c r="B524" t="s">
        <v>37</v>
      </c>
      <c r="C524" t="s">
        <v>38</v>
      </c>
      <c r="D524">
        <v>2011</v>
      </c>
      <c r="E524">
        <v>-1.8696006757531689</v>
      </c>
      <c r="F524">
        <v>-1.7283467654708611</v>
      </c>
      <c r="G524">
        <f t="shared" si="8"/>
        <v>0.14125391028230783</v>
      </c>
      <c r="H524">
        <v>6.8274633981906245E-4</v>
      </c>
    </row>
    <row r="525" spans="1:8" x14ac:dyDescent="0.35">
      <c r="A525" t="s">
        <v>77</v>
      </c>
      <c r="B525" t="s">
        <v>39</v>
      </c>
      <c r="C525" t="s">
        <v>40</v>
      </c>
      <c r="D525">
        <v>2011</v>
      </c>
      <c r="E525">
        <v>-2.2032240541474901</v>
      </c>
      <c r="F525">
        <v>-1.7283467654708611</v>
      </c>
      <c r="G525">
        <f t="shared" si="8"/>
        <v>0.47487728867662904</v>
      </c>
      <c r="H525">
        <v>6.8274633981906245E-4</v>
      </c>
    </row>
    <row r="526" spans="1:8" x14ac:dyDescent="0.35">
      <c r="A526" t="s">
        <v>77</v>
      </c>
      <c r="B526" t="s">
        <v>37</v>
      </c>
      <c r="C526" t="s">
        <v>38</v>
      </c>
      <c r="D526">
        <v>2012</v>
      </c>
      <c r="E526">
        <v>-3.035670582279193</v>
      </c>
      <c r="F526">
        <v>-4.1352247921585192</v>
      </c>
      <c r="G526">
        <f t="shared" si="8"/>
        <v>-1.0995542098793263</v>
      </c>
      <c r="H526">
        <v>7.2226219902314333E-4</v>
      </c>
    </row>
    <row r="527" spans="1:8" x14ac:dyDescent="0.35">
      <c r="A527" t="s">
        <v>77</v>
      </c>
      <c r="B527" t="s">
        <v>41</v>
      </c>
      <c r="C527" t="s">
        <v>38</v>
      </c>
      <c r="D527">
        <v>2012</v>
      </c>
      <c r="E527">
        <v>-2.9592221038484801</v>
      </c>
      <c r="F527">
        <v>-4.1352247921585192</v>
      </c>
      <c r="G527">
        <f t="shared" si="8"/>
        <v>-1.1760026883100392</v>
      </c>
      <c r="H527">
        <v>7.2226219902314333E-4</v>
      </c>
    </row>
    <row r="528" spans="1:8" x14ac:dyDescent="0.35">
      <c r="A528" t="s">
        <v>77</v>
      </c>
      <c r="B528" t="s">
        <v>39</v>
      </c>
      <c r="C528" t="s">
        <v>40</v>
      </c>
      <c r="D528">
        <v>2012</v>
      </c>
      <c r="E528">
        <v>-1.7542339094107959</v>
      </c>
      <c r="F528">
        <v>-4.1352247921585192</v>
      </c>
      <c r="G528">
        <f t="shared" si="8"/>
        <v>-2.3809908827477235</v>
      </c>
      <c r="H528">
        <v>7.2226219902314333E-4</v>
      </c>
    </row>
    <row r="529" spans="1:8" x14ac:dyDescent="0.35">
      <c r="A529" t="s">
        <v>77</v>
      </c>
      <c r="B529" t="s">
        <v>42</v>
      </c>
      <c r="C529" t="s">
        <v>40</v>
      </c>
      <c r="D529">
        <v>2012</v>
      </c>
      <c r="E529">
        <v>-3.2622256936120531</v>
      </c>
      <c r="F529">
        <v>-4.1352247921585192</v>
      </c>
      <c r="G529">
        <f t="shared" si="8"/>
        <v>-0.87299909854646618</v>
      </c>
      <c r="H529">
        <v>7.2226219902314333E-4</v>
      </c>
    </row>
    <row r="530" spans="1:8" x14ac:dyDescent="0.35">
      <c r="A530" t="s">
        <v>77</v>
      </c>
      <c r="B530" t="s">
        <v>41</v>
      </c>
      <c r="C530" t="s">
        <v>38</v>
      </c>
      <c r="D530">
        <v>2013</v>
      </c>
      <c r="E530">
        <v>-0.99451273527885187</v>
      </c>
      <c r="F530">
        <v>-0.98897197690870997</v>
      </c>
      <c r="G530">
        <f t="shared" si="8"/>
        <v>5.5407583701418961E-3</v>
      </c>
      <c r="H530">
        <v>6.1268765363656371E-4</v>
      </c>
    </row>
    <row r="531" spans="1:8" x14ac:dyDescent="0.35">
      <c r="A531" t="s">
        <v>77</v>
      </c>
      <c r="B531" t="s">
        <v>43</v>
      </c>
      <c r="C531" t="s">
        <v>38</v>
      </c>
      <c r="D531">
        <v>2013</v>
      </c>
      <c r="E531">
        <v>-1.7638843604673491</v>
      </c>
      <c r="F531">
        <v>-0.98897197690870997</v>
      </c>
      <c r="G531">
        <f t="shared" si="8"/>
        <v>0.77491238355863912</v>
      </c>
      <c r="H531">
        <v>6.1268765363656371E-4</v>
      </c>
    </row>
    <row r="532" spans="1:8" x14ac:dyDescent="0.35">
      <c r="A532" t="s">
        <v>77</v>
      </c>
      <c r="B532" t="s">
        <v>42</v>
      </c>
      <c r="C532" t="s">
        <v>40</v>
      </c>
      <c r="D532">
        <v>2013</v>
      </c>
      <c r="E532">
        <v>0.25474465246075878</v>
      </c>
      <c r="F532">
        <v>-0.98897197690870997</v>
      </c>
      <c r="G532">
        <f t="shared" si="8"/>
        <v>-1.2437166293694688</v>
      </c>
      <c r="H532">
        <v>6.1268765363656371E-4</v>
      </c>
    </row>
    <row r="533" spans="1:8" x14ac:dyDescent="0.35">
      <c r="A533" t="s">
        <v>77</v>
      </c>
      <c r="B533" t="s">
        <v>44</v>
      </c>
      <c r="C533" t="s">
        <v>40</v>
      </c>
      <c r="D533">
        <v>2013</v>
      </c>
      <c r="E533">
        <v>-2.3430661136081392</v>
      </c>
      <c r="F533">
        <v>-0.98897197690870997</v>
      </c>
      <c r="G533">
        <f t="shared" si="8"/>
        <v>1.3540941366994292</v>
      </c>
      <c r="H533">
        <v>6.1268765363656371E-4</v>
      </c>
    </row>
    <row r="534" spans="1:8" x14ac:dyDescent="0.35">
      <c r="A534" t="s">
        <v>77</v>
      </c>
      <c r="B534" t="s">
        <v>43</v>
      </c>
      <c r="C534" t="s">
        <v>38</v>
      </c>
      <c r="D534">
        <v>2014</v>
      </c>
      <c r="E534">
        <v>0.77627138458356004</v>
      </c>
      <c r="F534">
        <v>0.73862541356536338</v>
      </c>
      <c r="G534">
        <f t="shared" si="8"/>
        <v>-3.7645971018196667E-2</v>
      </c>
      <c r="H534">
        <v>6.6711717123574797E-4</v>
      </c>
    </row>
    <row r="535" spans="1:8" x14ac:dyDescent="0.35">
      <c r="A535" t="s">
        <v>77</v>
      </c>
      <c r="B535" t="s">
        <v>45</v>
      </c>
      <c r="C535" t="s">
        <v>38</v>
      </c>
      <c r="D535">
        <v>2014</v>
      </c>
      <c r="E535">
        <v>0.93766267530348557</v>
      </c>
      <c r="F535">
        <v>0.73862541356536338</v>
      </c>
      <c r="G535">
        <f t="shared" si="8"/>
        <v>-0.1990372617381222</v>
      </c>
      <c r="H535">
        <v>6.6711717123574797E-4</v>
      </c>
    </row>
    <row r="536" spans="1:8" x14ac:dyDescent="0.35">
      <c r="A536" t="s">
        <v>77</v>
      </c>
      <c r="B536" t="s">
        <v>44</v>
      </c>
      <c r="C536" t="s">
        <v>40</v>
      </c>
      <c r="D536">
        <v>2014</v>
      </c>
      <c r="E536">
        <v>0.55862666597106259</v>
      </c>
      <c r="F536">
        <v>0.73862541356536338</v>
      </c>
      <c r="G536">
        <f t="shared" si="8"/>
        <v>0.17999874759430079</v>
      </c>
      <c r="H536">
        <v>6.6711717123574797E-4</v>
      </c>
    </row>
    <row r="537" spans="1:8" x14ac:dyDescent="0.35">
      <c r="A537" t="s">
        <v>77</v>
      </c>
      <c r="B537" t="s">
        <v>46</v>
      </c>
      <c r="C537" t="s">
        <v>40</v>
      </c>
      <c r="D537">
        <v>2014</v>
      </c>
      <c r="E537">
        <v>1.244291809650244</v>
      </c>
      <c r="F537">
        <v>0.73862541356536338</v>
      </c>
      <c r="G537">
        <f t="shared" si="8"/>
        <v>-0.50566639608488062</v>
      </c>
      <c r="H537">
        <v>6.6711717123574797E-4</v>
      </c>
    </row>
    <row r="538" spans="1:8" x14ac:dyDescent="0.35">
      <c r="A538" t="s">
        <v>77</v>
      </c>
      <c r="B538" t="s">
        <v>45</v>
      </c>
      <c r="C538" t="s">
        <v>38</v>
      </c>
      <c r="D538">
        <v>2015</v>
      </c>
      <c r="E538">
        <v>1.29819266835165</v>
      </c>
      <c r="F538">
        <v>1.5772755552952269</v>
      </c>
      <c r="G538">
        <f t="shared" si="8"/>
        <v>0.27908288694357686</v>
      </c>
      <c r="H538">
        <v>5.3958445557318298E-4</v>
      </c>
    </row>
    <row r="539" spans="1:8" x14ac:dyDescent="0.35">
      <c r="A539" t="s">
        <v>77</v>
      </c>
      <c r="B539" t="s">
        <v>47</v>
      </c>
      <c r="C539" t="s">
        <v>38</v>
      </c>
      <c r="D539">
        <v>2015</v>
      </c>
      <c r="E539">
        <v>1.741329419958926</v>
      </c>
      <c r="F539">
        <v>1.5772755552952269</v>
      </c>
      <c r="G539">
        <f t="shared" si="8"/>
        <v>-0.16405386466369909</v>
      </c>
      <c r="H539">
        <v>5.3958445557318298E-4</v>
      </c>
    </row>
    <row r="540" spans="1:8" x14ac:dyDescent="0.35">
      <c r="A540" t="s">
        <v>77</v>
      </c>
      <c r="B540" t="s">
        <v>46</v>
      </c>
      <c r="C540" t="s">
        <v>40</v>
      </c>
      <c r="D540">
        <v>2015</v>
      </c>
      <c r="E540">
        <v>1.4931874273763861</v>
      </c>
      <c r="F540">
        <v>1.5772755552952269</v>
      </c>
      <c r="G540">
        <f t="shared" si="8"/>
        <v>8.4088127918840794E-2</v>
      </c>
      <c r="H540">
        <v>5.3958445557318298E-4</v>
      </c>
    </row>
    <row r="541" spans="1:8" x14ac:dyDescent="0.35">
      <c r="A541" t="s">
        <v>77</v>
      </c>
      <c r="B541" t="s">
        <v>48</v>
      </c>
      <c r="C541" t="s">
        <v>40</v>
      </c>
      <c r="D541">
        <v>2015</v>
      </c>
      <c r="E541">
        <v>1.6418853965775471</v>
      </c>
      <c r="F541">
        <v>1.5772755552952269</v>
      </c>
      <c r="G541">
        <f t="shared" si="8"/>
        <v>-6.4609841282320168E-2</v>
      </c>
      <c r="H541">
        <v>5.3958445557318298E-4</v>
      </c>
    </row>
    <row r="542" spans="1:8" x14ac:dyDescent="0.35">
      <c r="A542" t="s">
        <v>77</v>
      </c>
      <c r="B542" t="s">
        <v>47</v>
      </c>
      <c r="C542" t="s">
        <v>38</v>
      </c>
      <c r="D542">
        <v>2016</v>
      </c>
      <c r="E542">
        <v>1.659048842216615</v>
      </c>
      <c r="F542">
        <v>1.9843922204112789</v>
      </c>
      <c r="G542">
        <f t="shared" si="8"/>
        <v>0.32534337819466397</v>
      </c>
      <c r="H542">
        <v>5.3362021622097597E-4</v>
      </c>
    </row>
    <row r="543" spans="1:8" x14ac:dyDescent="0.35">
      <c r="A543" t="s">
        <v>77</v>
      </c>
      <c r="B543" t="s">
        <v>49</v>
      </c>
      <c r="C543" t="s">
        <v>38</v>
      </c>
      <c r="D543">
        <v>2016</v>
      </c>
      <c r="E543">
        <v>0.92930181879138374</v>
      </c>
      <c r="F543">
        <v>1.9843922204112789</v>
      </c>
      <c r="G543">
        <f t="shared" si="8"/>
        <v>1.0550904016198952</v>
      </c>
      <c r="H543">
        <v>5.3362021622097597E-4</v>
      </c>
    </row>
    <row r="544" spans="1:8" x14ac:dyDescent="0.35">
      <c r="A544" t="s">
        <v>77</v>
      </c>
      <c r="B544" t="s">
        <v>48</v>
      </c>
      <c r="C544" t="s">
        <v>40</v>
      </c>
      <c r="D544">
        <v>2016</v>
      </c>
      <c r="E544">
        <v>1.838363161189682</v>
      </c>
      <c r="F544">
        <v>1.9843922204112789</v>
      </c>
      <c r="G544">
        <f t="shared" si="8"/>
        <v>0.14602905922159692</v>
      </c>
      <c r="H544">
        <v>5.3362021622097597E-4</v>
      </c>
    </row>
    <row r="545" spans="1:8" x14ac:dyDescent="0.35">
      <c r="A545" t="s">
        <v>77</v>
      </c>
      <c r="B545" t="s">
        <v>50</v>
      </c>
      <c r="C545" t="s">
        <v>40</v>
      </c>
      <c r="D545">
        <v>2016</v>
      </c>
      <c r="E545">
        <v>1.458222731677794</v>
      </c>
      <c r="F545">
        <v>1.9843922204112789</v>
      </c>
      <c r="G545">
        <f t="shared" si="8"/>
        <v>0.5261694887334849</v>
      </c>
      <c r="H545">
        <v>5.3362021622097597E-4</v>
      </c>
    </row>
    <row r="546" spans="1:8" x14ac:dyDescent="0.35">
      <c r="A546" t="s">
        <v>77</v>
      </c>
      <c r="B546" t="s">
        <v>49</v>
      </c>
      <c r="C546" t="s">
        <v>38</v>
      </c>
      <c r="D546">
        <v>2017</v>
      </c>
      <c r="E546">
        <v>1.2443844685501531</v>
      </c>
      <c r="F546">
        <v>3.260896558994415</v>
      </c>
      <c r="G546">
        <f t="shared" si="8"/>
        <v>2.0165120904442619</v>
      </c>
      <c r="H546">
        <v>4.9589602037646669E-4</v>
      </c>
    </row>
    <row r="547" spans="1:8" x14ac:dyDescent="0.35">
      <c r="A547" t="s">
        <v>77</v>
      </c>
      <c r="B547" t="s">
        <v>51</v>
      </c>
      <c r="C547" t="s">
        <v>38</v>
      </c>
      <c r="D547">
        <v>2017</v>
      </c>
      <c r="E547">
        <v>2.6293844522458749</v>
      </c>
      <c r="F547">
        <v>3.260896558994415</v>
      </c>
      <c r="G547">
        <f t="shared" si="8"/>
        <v>0.63151210674854008</v>
      </c>
      <c r="H547">
        <v>4.9589602037646669E-4</v>
      </c>
    </row>
    <row r="548" spans="1:8" x14ac:dyDescent="0.35">
      <c r="A548" t="s">
        <v>77</v>
      </c>
      <c r="B548" t="s">
        <v>50</v>
      </c>
      <c r="C548" t="s">
        <v>40</v>
      </c>
      <c r="D548">
        <v>2017</v>
      </c>
      <c r="E548">
        <v>1.7439816750679069</v>
      </c>
      <c r="F548">
        <v>3.260896558994415</v>
      </c>
      <c r="G548">
        <f t="shared" si="8"/>
        <v>1.5169148839265081</v>
      </c>
      <c r="H548">
        <v>4.9589602037646669E-4</v>
      </c>
    </row>
    <row r="549" spans="1:8" x14ac:dyDescent="0.35">
      <c r="A549" t="s">
        <v>77</v>
      </c>
      <c r="B549" t="s">
        <v>52</v>
      </c>
      <c r="C549" t="s">
        <v>40</v>
      </c>
      <c r="D549">
        <v>2017</v>
      </c>
      <c r="E549">
        <v>1.838683940143615</v>
      </c>
      <c r="F549">
        <v>3.260896558994415</v>
      </c>
      <c r="G549">
        <f t="shared" si="8"/>
        <v>1.4222126188508</v>
      </c>
      <c r="H549">
        <v>4.9589602037646669E-4</v>
      </c>
    </row>
    <row r="550" spans="1:8" x14ac:dyDescent="0.35">
      <c r="A550" t="s">
        <v>77</v>
      </c>
      <c r="B550" t="s">
        <v>51</v>
      </c>
      <c r="C550" t="s">
        <v>38</v>
      </c>
      <c r="D550">
        <v>2018</v>
      </c>
      <c r="E550">
        <v>2.0625112156605669</v>
      </c>
      <c r="F550">
        <v>2.903725267458769</v>
      </c>
      <c r="G550">
        <f t="shared" si="8"/>
        <v>0.84121405179820208</v>
      </c>
      <c r="H550">
        <v>4.5162297504167961E-4</v>
      </c>
    </row>
    <row r="551" spans="1:8" x14ac:dyDescent="0.35">
      <c r="A551" t="s">
        <v>77</v>
      </c>
      <c r="B551" t="s">
        <v>53</v>
      </c>
      <c r="C551" t="s">
        <v>38</v>
      </c>
      <c r="D551">
        <v>2018</v>
      </c>
      <c r="E551">
        <v>2.1672748154352162</v>
      </c>
      <c r="F551">
        <v>2.903725267458769</v>
      </c>
      <c r="G551">
        <f t="shared" si="8"/>
        <v>0.73645045202355286</v>
      </c>
      <c r="H551">
        <v>4.5162297504167961E-4</v>
      </c>
    </row>
    <row r="552" spans="1:8" x14ac:dyDescent="0.35">
      <c r="A552" t="s">
        <v>77</v>
      </c>
      <c r="B552" t="s">
        <v>52</v>
      </c>
      <c r="C552" t="s">
        <v>40</v>
      </c>
      <c r="D552">
        <v>2018</v>
      </c>
      <c r="E552">
        <v>1.5677461936429939</v>
      </c>
      <c r="F552">
        <v>2.903725267458769</v>
      </c>
      <c r="G552">
        <f t="shared" si="8"/>
        <v>1.3359790738157751</v>
      </c>
      <c r="H552">
        <v>4.5162297504167961E-4</v>
      </c>
    </row>
    <row r="553" spans="1:8" x14ac:dyDescent="0.35">
      <c r="A553" t="s">
        <v>77</v>
      </c>
      <c r="B553" t="s">
        <v>54</v>
      </c>
      <c r="C553" t="s">
        <v>40</v>
      </c>
      <c r="D553">
        <v>2018</v>
      </c>
      <c r="E553">
        <v>2.3337380052623979</v>
      </c>
      <c r="F553">
        <v>2.903725267458769</v>
      </c>
      <c r="G553">
        <f t="shared" si="8"/>
        <v>0.56998726219637108</v>
      </c>
      <c r="H553">
        <v>4.5162297504167961E-4</v>
      </c>
    </row>
    <row r="554" spans="1:8" x14ac:dyDescent="0.35">
      <c r="A554" t="s">
        <v>77</v>
      </c>
      <c r="B554" t="s">
        <v>53</v>
      </c>
      <c r="C554" t="s">
        <v>38</v>
      </c>
      <c r="D554">
        <v>2019</v>
      </c>
      <c r="E554">
        <v>1.839454993980616</v>
      </c>
      <c r="F554">
        <v>2.7086922955372188</v>
      </c>
      <c r="G554">
        <f t="shared" si="8"/>
        <v>0.86923730155660284</v>
      </c>
      <c r="H554">
        <v>8.1250644809519068E-4</v>
      </c>
    </row>
    <row r="555" spans="1:8" x14ac:dyDescent="0.35">
      <c r="A555" t="s">
        <v>77</v>
      </c>
      <c r="B555" t="s">
        <v>55</v>
      </c>
      <c r="C555" t="s">
        <v>38</v>
      </c>
      <c r="D555">
        <v>2019</v>
      </c>
      <c r="E555">
        <v>1.950475273387009</v>
      </c>
      <c r="F555">
        <v>2.7086922955372188</v>
      </c>
      <c r="G555">
        <f t="shared" si="8"/>
        <v>0.75821702215020981</v>
      </c>
      <c r="H555">
        <v>8.1250644809519068E-4</v>
      </c>
    </row>
    <row r="556" spans="1:8" x14ac:dyDescent="0.35">
      <c r="A556" t="s">
        <v>77</v>
      </c>
      <c r="B556" t="s">
        <v>54</v>
      </c>
      <c r="C556" t="s">
        <v>40</v>
      </c>
      <c r="D556">
        <v>2019</v>
      </c>
      <c r="E556">
        <v>2.0372674050813671</v>
      </c>
      <c r="F556">
        <v>2.7086922955372188</v>
      </c>
      <c r="G556">
        <f t="shared" si="8"/>
        <v>0.67142489045585174</v>
      </c>
      <c r="H556">
        <v>8.1250644809519068E-4</v>
      </c>
    </row>
    <row r="557" spans="1:8" x14ac:dyDescent="0.35">
      <c r="A557" t="s">
        <v>77</v>
      </c>
      <c r="B557" t="s">
        <v>56</v>
      </c>
      <c r="C557" t="s">
        <v>40</v>
      </c>
      <c r="D557">
        <v>2019</v>
      </c>
      <c r="E557">
        <v>1.672451894689297</v>
      </c>
      <c r="F557">
        <v>2.7086922955372188</v>
      </c>
      <c r="G557">
        <f t="shared" si="8"/>
        <v>1.0362404008479218</v>
      </c>
      <c r="H557">
        <v>8.1250644809519068E-4</v>
      </c>
    </row>
    <row r="558" spans="1:8" x14ac:dyDescent="0.35">
      <c r="A558" t="s">
        <v>77</v>
      </c>
      <c r="B558" t="s">
        <v>55</v>
      </c>
      <c r="C558" t="s">
        <v>38</v>
      </c>
      <c r="D558">
        <v>2020</v>
      </c>
      <c r="E558">
        <v>1.699885517193356</v>
      </c>
      <c r="F558">
        <v>-8.5609032033360464</v>
      </c>
      <c r="G558">
        <f t="shared" si="8"/>
        <v>-10.260788720529403</v>
      </c>
      <c r="H558">
        <v>1.1314571143666431E-3</v>
      </c>
    </row>
    <row r="559" spans="1:8" x14ac:dyDescent="0.35">
      <c r="A559" t="s">
        <v>77</v>
      </c>
      <c r="B559" t="s">
        <v>57</v>
      </c>
      <c r="C559" t="s">
        <v>38</v>
      </c>
      <c r="D559">
        <v>2020</v>
      </c>
      <c r="E559">
        <v>-9.2905567939445373</v>
      </c>
      <c r="F559">
        <v>-8.5609032033360464</v>
      </c>
      <c r="G559">
        <f t="shared" si="8"/>
        <v>0.72965359060849089</v>
      </c>
      <c r="H559">
        <v>1.1314571143666431E-3</v>
      </c>
    </row>
    <row r="560" spans="1:8" x14ac:dyDescent="0.35">
      <c r="A560" t="s">
        <v>77</v>
      </c>
      <c r="B560" t="s">
        <v>56</v>
      </c>
      <c r="C560" t="s">
        <v>40</v>
      </c>
      <c r="D560">
        <v>2020</v>
      </c>
      <c r="E560">
        <v>1.7153996309464681</v>
      </c>
      <c r="F560">
        <v>-8.5609032033360464</v>
      </c>
      <c r="G560">
        <f t="shared" si="8"/>
        <v>-10.276302834282514</v>
      </c>
      <c r="H560">
        <v>1.1314571143666431E-3</v>
      </c>
    </row>
    <row r="561" spans="1:8" x14ac:dyDescent="0.35">
      <c r="A561" t="s">
        <v>77</v>
      </c>
      <c r="B561" t="s">
        <v>58</v>
      </c>
      <c r="C561" t="s">
        <v>40</v>
      </c>
      <c r="D561">
        <v>2020</v>
      </c>
      <c r="E561">
        <v>-6.7651809613411107</v>
      </c>
      <c r="F561">
        <v>-8.5609032033360464</v>
      </c>
      <c r="G561">
        <f t="shared" si="8"/>
        <v>-1.7957222419949357</v>
      </c>
      <c r="H561">
        <v>1.1314571143666431E-3</v>
      </c>
    </row>
    <row r="562" spans="1:8" x14ac:dyDescent="0.35">
      <c r="A562" t="s">
        <v>77</v>
      </c>
      <c r="B562" t="s">
        <v>57</v>
      </c>
      <c r="C562" t="s">
        <v>38</v>
      </c>
      <c r="D562">
        <v>2021</v>
      </c>
      <c r="E562">
        <v>5.3606609364002189</v>
      </c>
      <c r="F562">
        <v>5.4098373027499997</v>
      </c>
      <c r="G562">
        <f t="shared" si="8"/>
        <v>4.9176366349780842E-2</v>
      </c>
      <c r="H562">
        <v>1.543056079090352E-3</v>
      </c>
    </row>
    <row r="563" spans="1:8" x14ac:dyDescent="0.35">
      <c r="A563" t="s">
        <v>77</v>
      </c>
      <c r="B563" t="s">
        <v>59</v>
      </c>
      <c r="C563" t="s">
        <v>38</v>
      </c>
      <c r="D563">
        <v>2021</v>
      </c>
      <c r="E563">
        <v>4.5428064601391371</v>
      </c>
      <c r="F563">
        <v>5.4098373027499997</v>
      </c>
      <c r="G563">
        <f t="shared" si="8"/>
        <v>0.86703084261086261</v>
      </c>
      <c r="H563">
        <v>1.543056079090352E-3</v>
      </c>
    </row>
    <row r="564" spans="1:8" x14ac:dyDescent="0.35">
      <c r="A564" t="s">
        <v>77</v>
      </c>
      <c r="B564" t="s">
        <v>58</v>
      </c>
      <c r="C564" t="s">
        <v>40</v>
      </c>
      <c r="D564">
        <v>2021</v>
      </c>
      <c r="E564">
        <v>5.8179091621113344</v>
      </c>
      <c r="F564">
        <v>5.4098373027499997</v>
      </c>
      <c r="G564">
        <f t="shared" si="8"/>
        <v>-0.40807185936133461</v>
      </c>
      <c r="H564">
        <v>1.543056079090352E-3</v>
      </c>
    </row>
    <row r="565" spans="1:8" x14ac:dyDescent="0.35">
      <c r="A565" t="s">
        <v>77</v>
      </c>
      <c r="B565" t="s">
        <v>60</v>
      </c>
      <c r="C565" t="s">
        <v>40</v>
      </c>
      <c r="D565">
        <v>2021</v>
      </c>
      <c r="E565">
        <v>3.9441078773994498</v>
      </c>
      <c r="F565">
        <v>5.4098373027499997</v>
      </c>
      <c r="G565">
        <f t="shared" si="8"/>
        <v>1.46572942535055</v>
      </c>
      <c r="H565">
        <v>1.543056079090352E-3</v>
      </c>
    </row>
    <row r="566" spans="1:8" x14ac:dyDescent="0.35">
      <c r="A566" t="s">
        <v>77</v>
      </c>
      <c r="B566" t="s">
        <v>59</v>
      </c>
      <c r="C566" t="s">
        <v>38</v>
      </c>
      <c r="D566">
        <v>2022</v>
      </c>
      <c r="E566">
        <v>5.3212657228810967</v>
      </c>
      <c r="F566">
        <v>6.7526124502433778</v>
      </c>
      <c r="G566">
        <f t="shared" si="8"/>
        <v>1.4313467273622811</v>
      </c>
      <c r="H566">
        <v>1.0726805330251909E-3</v>
      </c>
    </row>
    <row r="567" spans="1:8" x14ac:dyDescent="0.35">
      <c r="A567" t="s">
        <v>77</v>
      </c>
      <c r="B567" t="s">
        <v>61</v>
      </c>
      <c r="C567" t="s">
        <v>38</v>
      </c>
      <c r="D567">
        <v>2022</v>
      </c>
      <c r="E567">
        <v>6.5861251608809734</v>
      </c>
      <c r="F567">
        <v>6.7526124502433778</v>
      </c>
      <c r="G567">
        <f t="shared" si="8"/>
        <v>0.16648728936240431</v>
      </c>
      <c r="H567">
        <v>1.0726805330251909E-3</v>
      </c>
    </row>
    <row r="568" spans="1:8" x14ac:dyDescent="0.35">
      <c r="A568" t="s">
        <v>77</v>
      </c>
      <c r="B568" t="s">
        <v>60</v>
      </c>
      <c r="C568" t="s">
        <v>40</v>
      </c>
      <c r="D568">
        <v>2022</v>
      </c>
      <c r="E568">
        <v>5.0988792351265078</v>
      </c>
      <c r="F568">
        <v>6.7526124502433778</v>
      </c>
      <c r="G568">
        <f t="shared" si="8"/>
        <v>1.65373321511687</v>
      </c>
      <c r="H568">
        <v>1.0726805330251909E-3</v>
      </c>
    </row>
    <row r="569" spans="1:8" x14ac:dyDescent="0.35">
      <c r="A569" t="s">
        <v>77</v>
      </c>
      <c r="B569" t="s">
        <v>62</v>
      </c>
      <c r="C569" t="s">
        <v>40</v>
      </c>
      <c r="D569">
        <v>2022</v>
      </c>
      <c r="E569">
        <v>5.8054687081874778</v>
      </c>
      <c r="F569">
        <v>6.7526124502433778</v>
      </c>
      <c r="G569">
        <f t="shared" si="8"/>
        <v>0.94714374205589991</v>
      </c>
      <c r="H569">
        <v>1.0726805330251909E-3</v>
      </c>
    </row>
    <row r="570" spans="1:8" x14ac:dyDescent="0.35">
      <c r="A570" t="s">
        <v>77</v>
      </c>
      <c r="B570" t="s">
        <v>61</v>
      </c>
      <c r="C570" t="s">
        <v>38</v>
      </c>
      <c r="D570">
        <v>2023</v>
      </c>
      <c r="E570">
        <v>0.71696140778811923</v>
      </c>
      <c r="F570">
        <v>3.0529202104847739</v>
      </c>
      <c r="G570">
        <f t="shared" si="8"/>
        <v>2.3359588026966547</v>
      </c>
      <c r="H570">
        <v>9.9804011718640203E-4</v>
      </c>
    </row>
    <row r="571" spans="1:8" x14ac:dyDescent="0.35">
      <c r="A571" t="s">
        <v>77</v>
      </c>
      <c r="B571" t="s">
        <v>63</v>
      </c>
      <c r="C571" t="s">
        <v>38</v>
      </c>
      <c r="D571">
        <v>2023</v>
      </c>
      <c r="E571">
        <v>2.226883105497079</v>
      </c>
      <c r="F571">
        <v>3.0529202104847739</v>
      </c>
      <c r="G571">
        <f t="shared" si="8"/>
        <v>0.82603710498769489</v>
      </c>
      <c r="H571">
        <v>9.9804011718640203E-4</v>
      </c>
    </row>
    <row r="572" spans="1:8" x14ac:dyDescent="0.35">
      <c r="A572" t="s">
        <v>77</v>
      </c>
      <c r="B572" t="s">
        <v>62</v>
      </c>
      <c r="C572" t="s">
        <v>40</v>
      </c>
      <c r="D572">
        <v>2023</v>
      </c>
      <c r="E572">
        <v>2.6604918870074319</v>
      </c>
      <c r="F572">
        <v>3.0529202104847739</v>
      </c>
      <c r="G572">
        <f t="shared" si="8"/>
        <v>0.39242832347734202</v>
      </c>
      <c r="H572">
        <v>9.9804011718640203E-4</v>
      </c>
    </row>
    <row r="573" spans="1:8" x14ac:dyDescent="0.35">
      <c r="A573" t="s">
        <v>77</v>
      </c>
      <c r="B573" t="s">
        <v>64</v>
      </c>
      <c r="C573" t="s">
        <v>40</v>
      </c>
      <c r="D573">
        <v>2023</v>
      </c>
      <c r="E573">
        <v>2.4387614512581202</v>
      </c>
      <c r="F573">
        <v>3.0529202104847739</v>
      </c>
      <c r="G573">
        <f t="shared" si="8"/>
        <v>0.61415875922665375</v>
      </c>
      <c r="H573">
        <v>9.9804011718640203E-4</v>
      </c>
    </row>
    <row r="574" spans="1:8" x14ac:dyDescent="0.35">
      <c r="A574" t="s">
        <v>77</v>
      </c>
      <c r="B574" t="s">
        <v>63</v>
      </c>
      <c r="C574" t="s">
        <v>38</v>
      </c>
      <c r="D574">
        <v>2024</v>
      </c>
      <c r="E574">
        <v>1.3133477904788251</v>
      </c>
      <c r="F574">
        <v>2.1904072780361381</v>
      </c>
      <c r="G574">
        <f t="shared" si="8"/>
        <v>0.877059487557313</v>
      </c>
      <c r="H574">
        <v>9.9939188696901698E-4</v>
      </c>
    </row>
    <row r="575" spans="1:8" x14ac:dyDescent="0.35">
      <c r="A575" t="s">
        <v>77</v>
      </c>
      <c r="B575" t="s">
        <v>65</v>
      </c>
      <c r="C575" t="s">
        <v>38</v>
      </c>
      <c r="D575">
        <v>2024</v>
      </c>
      <c r="E575">
        <v>1.6514732694230541</v>
      </c>
      <c r="F575">
        <v>2.1904072780361381</v>
      </c>
      <c r="G575">
        <f t="shared" si="8"/>
        <v>0.53893400861308405</v>
      </c>
      <c r="H575">
        <v>9.9939188696901698E-4</v>
      </c>
    </row>
    <row r="576" spans="1:8" x14ac:dyDescent="0.35">
      <c r="A576" t="s">
        <v>77</v>
      </c>
      <c r="B576" t="s">
        <v>64</v>
      </c>
      <c r="C576" t="s">
        <v>40</v>
      </c>
      <c r="D576">
        <v>2024</v>
      </c>
      <c r="E576">
        <v>1.7569161258840891</v>
      </c>
      <c r="F576">
        <v>2.1904072780361381</v>
      </c>
      <c r="G576">
        <f t="shared" si="8"/>
        <v>0.43349115215204903</v>
      </c>
      <c r="H576">
        <v>9.9939188696901698E-4</v>
      </c>
    </row>
    <row r="577" spans="1:8" x14ac:dyDescent="0.35">
      <c r="A577" t="s">
        <v>77</v>
      </c>
      <c r="B577" t="s">
        <v>66</v>
      </c>
      <c r="C577" t="s">
        <v>40</v>
      </c>
      <c r="D577">
        <v>2024</v>
      </c>
      <c r="E577">
        <v>1.734179743438991</v>
      </c>
      <c r="F577">
        <v>2.1904072780361381</v>
      </c>
      <c r="G577">
        <f t="shared" si="8"/>
        <v>0.45622753459714716</v>
      </c>
      <c r="H577">
        <v>9.9939188696901698E-4</v>
      </c>
    </row>
    <row r="578" spans="1:8" x14ac:dyDescent="0.35">
      <c r="A578" t="s">
        <v>77</v>
      </c>
      <c r="B578" t="s">
        <v>65</v>
      </c>
      <c r="C578" t="s">
        <v>38</v>
      </c>
      <c r="D578">
        <v>2025</v>
      </c>
      <c r="E578">
        <v>1.851074416505627</v>
      </c>
      <c r="F578">
        <v>1.8442000090405599</v>
      </c>
      <c r="G578">
        <f t="shared" ref="G578:G581" si="9">IF(OR(F578="",E578=""),"",F578-E578)</f>
        <v>-6.8744074650670672E-3</v>
      </c>
      <c r="H578">
        <v>9.9939188696901698E-4</v>
      </c>
    </row>
    <row r="579" spans="1:8" x14ac:dyDescent="0.35">
      <c r="A579" t="s">
        <v>77</v>
      </c>
      <c r="B579" t="s">
        <v>71</v>
      </c>
      <c r="C579" t="s">
        <v>38</v>
      </c>
      <c r="D579">
        <v>2025</v>
      </c>
      <c r="E579">
        <v>1.898720252436026</v>
      </c>
      <c r="F579">
        <v>1.8442000090405599</v>
      </c>
      <c r="G579">
        <f t="shared" si="9"/>
        <v>-5.4520243395466128E-2</v>
      </c>
      <c r="H579">
        <v>9.9939188696901698E-4</v>
      </c>
    </row>
    <row r="580" spans="1:8" x14ac:dyDescent="0.35">
      <c r="A580" t="s">
        <v>77</v>
      </c>
      <c r="B580" t="s">
        <v>66</v>
      </c>
      <c r="C580" t="s">
        <v>40</v>
      </c>
      <c r="D580">
        <v>2025</v>
      </c>
      <c r="E580">
        <v>1.87529344869708</v>
      </c>
      <c r="F580">
        <v>1.8442000090405599</v>
      </c>
      <c r="G580">
        <f t="shared" si="9"/>
        <v>-3.1093439656520117E-2</v>
      </c>
      <c r="H580">
        <v>9.9939188696901698E-4</v>
      </c>
    </row>
    <row r="581" spans="1:8" x14ac:dyDescent="0.35">
      <c r="A581" t="s">
        <v>77</v>
      </c>
      <c r="B581" t="s">
        <v>72</v>
      </c>
      <c r="C581" t="s">
        <v>40</v>
      </c>
      <c r="D581">
        <v>2025</v>
      </c>
      <c r="E581">
        <v>1.7505876843593839</v>
      </c>
      <c r="F581">
        <v>1.8442000090405599</v>
      </c>
      <c r="G581">
        <f t="shared" si="9"/>
        <v>9.3612324681175973E-2</v>
      </c>
      <c r="H581">
        <v>9.9939188696901698E-4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2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6</v>
      </c>
    </row>
    <row r="2" spans="1:8" x14ac:dyDescent="0.35">
      <c r="A2" t="s">
        <v>36</v>
      </c>
      <c r="B2" t="s">
        <v>55</v>
      </c>
      <c r="C2" t="s">
        <v>38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8.5662439392624936E-3</v>
      </c>
    </row>
    <row r="3" spans="1:8" x14ac:dyDescent="0.35">
      <c r="A3" t="s">
        <v>36</v>
      </c>
      <c r="B3" t="s">
        <v>57</v>
      </c>
      <c r="C3" t="s">
        <v>38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8.5662439392624936E-3</v>
      </c>
    </row>
    <row r="4" spans="1:8" x14ac:dyDescent="0.35">
      <c r="A4" t="s">
        <v>36</v>
      </c>
      <c r="B4" t="s">
        <v>56</v>
      </c>
      <c r="C4" t="s">
        <v>40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8.5662439392624936E-3</v>
      </c>
    </row>
    <row r="5" spans="1:8" x14ac:dyDescent="0.35">
      <c r="A5" t="s">
        <v>36</v>
      </c>
      <c r="B5" t="s">
        <v>58</v>
      </c>
      <c r="C5" t="s">
        <v>40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8.5662439392624936E-3</v>
      </c>
    </row>
    <row r="6" spans="1:8" x14ac:dyDescent="0.35">
      <c r="A6" t="s">
        <v>36</v>
      </c>
      <c r="B6" t="s">
        <v>57</v>
      </c>
      <c r="C6" t="s">
        <v>38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8.943056702231925E-3</v>
      </c>
    </row>
    <row r="7" spans="1:8" x14ac:dyDescent="0.35">
      <c r="A7" t="s">
        <v>36</v>
      </c>
      <c r="B7" t="s">
        <v>59</v>
      </c>
      <c r="C7" t="s">
        <v>38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8.943056702231925E-3</v>
      </c>
    </row>
    <row r="8" spans="1:8" x14ac:dyDescent="0.35">
      <c r="A8" t="s">
        <v>36</v>
      </c>
      <c r="B8" t="s">
        <v>58</v>
      </c>
      <c r="C8" t="s">
        <v>40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8.943056702231925E-3</v>
      </c>
    </row>
    <row r="9" spans="1:8" x14ac:dyDescent="0.35">
      <c r="A9" t="s">
        <v>36</v>
      </c>
      <c r="B9" t="s">
        <v>60</v>
      </c>
      <c r="C9" t="s">
        <v>40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8.943056702231925E-3</v>
      </c>
    </row>
    <row r="10" spans="1:8" x14ac:dyDescent="0.35">
      <c r="A10" t="s">
        <v>36</v>
      </c>
      <c r="B10" t="s">
        <v>59</v>
      </c>
      <c r="C10" t="s">
        <v>38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8.9996521427787666E-3</v>
      </c>
    </row>
    <row r="11" spans="1:8" x14ac:dyDescent="0.35">
      <c r="A11" t="s">
        <v>36</v>
      </c>
      <c r="B11" t="s">
        <v>61</v>
      </c>
      <c r="C11" t="s">
        <v>38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8.9996521427787666E-3</v>
      </c>
    </row>
    <row r="12" spans="1:8" x14ac:dyDescent="0.35">
      <c r="A12" t="s">
        <v>36</v>
      </c>
      <c r="B12" t="s">
        <v>60</v>
      </c>
      <c r="C12" t="s">
        <v>40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8.9996521427787666E-3</v>
      </c>
    </row>
    <row r="13" spans="1:8" x14ac:dyDescent="0.35">
      <c r="A13" t="s">
        <v>36</v>
      </c>
      <c r="B13" t="s">
        <v>62</v>
      </c>
      <c r="C13" t="s">
        <v>40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8.9996521427787666E-3</v>
      </c>
    </row>
    <row r="14" spans="1:8" x14ac:dyDescent="0.35">
      <c r="A14" t="s">
        <v>36</v>
      </c>
      <c r="B14" t="s">
        <v>61</v>
      </c>
      <c r="C14" t="s">
        <v>38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1.018602861865241E-2</v>
      </c>
    </row>
    <row r="15" spans="1:8" x14ac:dyDescent="0.35">
      <c r="A15" t="s">
        <v>36</v>
      </c>
      <c r="B15" t="s">
        <v>63</v>
      </c>
      <c r="C15" t="s">
        <v>38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1.018602861865241E-2</v>
      </c>
    </row>
    <row r="16" spans="1:8" x14ac:dyDescent="0.35">
      <c r="A16" t="s">
        <v>36</v>
      </c>
      <c r="B16" t="s">
        <v>62</v>
      </c>
      <c r="C16" t="s">
        <v>40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1.018602861865241E-2</v>
      </c>
    </row>
    <row r="17" spans="1:8" x14ac:dyDescent="0.35">
      <c r="A17" t="s">
        <v>36</v>
      </c>
      <c r="B17" t="s">
        <v>64</v>
      </c>
      <c r="C17" t="s">
        <v>40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1.018602861865241E-2</v>
      </c>
    </row>
    <row r="18" spans="1:8" x14ac:dyDescent="0.35">
      <c r="A18" t="s">
        <v>36</v>
      </c>
      <c r="B18" t="s">
        <v>63</v>
      </c>
      <c r="C18" t="s">
        <v>38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1.1274054550446029E-2</v>
      </c>
    </row>
    <row r="19" spans="1:8" x14ac:dyDescent="0.35">
      <c r="A19" t="s">
        <v>36</v>
      </c>
      <c r="B19" t="s">
        <v>65</v>
      </c>
      <c r="C19" t="s">
        <v>38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1.1274054550446029E-2</v>
      </c>
    </row>
    <row r="20" spans="1:8" x14ac:dyDescent="0.35">
      <c r="A20" t="s">
        <v>36</v>
      </c>
      <c r="B20" t="s">
        <v>64</v>
      </c>
      <c r="C20" t="s">
        <v>40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1.1274054550446029E-2</v>
      </c>
    </row>
    <row r="21" spans="1:8" x14ac:dyDescent="0.35">
      <c r="A21" t="s">
        <v>36</v>
      </c>
      <c r="B21" t="s">
        <v>66</v>
      </c>
      <c r="C21" t="s">
        <v>40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1.1274054550446029E-2</v>
      </c>
    </row>
    <row r="22" spans="1:8" x14ac:dyDescent="0.35">
      <c r="A22" t="s">
        <v>36</v>
      </c>
      <c r="B22" t="s">
        <v>65</v>
      </c>
      <c r="C22" t="s">
        <v>38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1.1274054550446029E-2</v>
      </c>
    </row>
    <row r="23" spans="1:8" x14ac:dyDescent="0.35">
      <c r="A23" t="s">
        <v>36</v>
      </c>
      <c r="B23" t="s">
        <v>71</v>
      </c>
      <c r="C23" t="s">
        <v>38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1.1274054550446029E-2</v>
      </c>
    </row>
    <row r="24" spans="1:8" x14ac:dyDescent="0.35">
      <c r="A24" t="s">
        <v>36</v>
      </c>
      <c r="B24" t="s">
        <v>66</v>
      </c>
      <c r="C24" t="s">
        <v>40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1.1274054550446029E-2</v>
      </c>
    </row>
    <row r="25" spans="1:8" x14ac:dyDescent="0.35">
      <c r="A25" t="s">
        <v>36</v>
      </c>
      <c r="B25" t="s">
        <v>72</v>
      </c>
      <c r="C25" t="s">
        <v>40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1.1274054550446029E-2</v>
      </c>
    </row>
    <row r="26" spans="1:8" x14ac:dyDescent="0.35">
      <c r="A26" t="s">
        <v>67</v>
      </c>
      <c r="B26" t="s">
        <v>55</v>
      </c>
      <c r="C26" t="s">
        <v>38</v>
      </c>
      <c r="D26">
        <v>2020</v>
      </c>
      <c r="E26">
        <v>0.96034482213216421</v>
      </c>
      <c r="F26">
        <v>-4.9116764965584894</v>
      </c>
      <c r="G26">
        <f t="shared" si="0"/>
        <v>-5.8720213186906536</v>
      </c>
      <c r="H26">
        <v>1.2802209101079819E-3</v>
      </c>
    </row>
    <row r="27" spans="1:8" x14ac:dyDescent="0.35">
      <c r="A27" t="s">
        <v>67</v>
      </c>
      <c r="B27" t="s">
        <v>57</v>
      </c>
      <c r="C27" t="s">
        <v>38</v>
      </c>
      <c r="D27">
        <v>2020</v>
      </c>
      <c r="E27">
        <v>-8.420158667688538</v>
      </c>
      <c r="F27">
        <v>-4.9116764965584894</v>
      </c>
      <c r="G27">
        <f t="shared" si="0"/>
        <v>3.5084821711300487</v>
      </c>
      <c r="H27">
        <v>1.2802209101079819E-3</v>
      </c>
    </row>
    <row r="28" spans="1:8" x14ac:dyDescent="0.35">
      <c r="A28" t="s">
        <v>67</v>
      </c>
      <c r="B28" t="s">
        <v>56</v>
      </c>
      <c r="C28" t="s">
        <v>40</v>
      </c>
      <c r="D28">
        <v>2020</v>
      </c>
      <c r="E28">
        <v>1.199077085455502</v>
      </c>
      <c r="F28">
        <v>-4.9116764965584894</v>
      </c>
      <c r="G28">
        <f t="shared" si="0"/>
        <v>-6.1107535820139915</v>
      </c>
      <c r="H28">
        <v>1.2802209101079819E-3</v>
      </c>
    </row>
    <row r="29" spans="1:8" x14ac:dyDescent="0.35">
      <c r="A29" t="s">
        <v>67</v>
      </c>
      <c r="B29" t="s">
        <v>58</v>
      </c>
      <c r="C29" t="s">
        <v>40</v>
      </c>
      <c r="D29">
        <v>2020</v>
      </c>
      <c r="E29">
        <v>-7.1575995247655024</v>
      </c>
      <c r="F29">
        <v>-4.9116764965584894</v>
      </c>
      <c r="G29">
        <f t="shared" si="0"/>
        <v>2.2459230282070131</v>
      </c>
      <c r="H29">
        <v>1.2802209101079819E-3</v>
      </c>
    </row>
    <row r="30" spans="1:8" x14ac:dyDescent="0.35">
      <c r="A30" t="s">
        <v>67</v>
      </c>
      <c r="B30" t="s">
        <v>57</v>
      </c>
      <c r="C30" t="s">
        <v>38</v>
      </c>
      <c r="D30">
        <v>2021</v>
      </c>
      <c r="E30">
        <v>4.1239049795648741</v>
      </c>
      <c r="F30">
        <v>6.0667175798443678</v>
      </c>
      <c r="G30">
        <f t="shared" si="0"/>
        <v>1.9428126002794937</v>
      </c>
      <c r="H30">
        <v>1.1517525996332381E-3</v>
      </c>
    </row>
    <row r="31" spans="1:8" x14ac:dyDescent="0.35">
      <c r="A31" t="s">
        <v>67</v>
      </c>
      <c r="B31" t="s">
        <v>59</v>
      </c>
      <c r="C31" t="s">
        <v>38</v>
      </c>
      <c r="D31">
        <v>2021</v>
      </c>
      <c r="E31">
        <v>5.9836029339416452</v>
      </c>
      <c r="F31">
        <v>6.0667175798443678</v>
      </c>
      <c r="G31">
        <f t="shared" si="0"/>
        <v>8.311464590272255E-2</v>
      </c>
      <c r="H31">
        <v>1.1517525996332381E-3</v>
      </c>
    </row>
    <row r="32" spans="1:8" x14ac:dyDescent="0.35">
      <c r="A32" t="s">
        <v>67</v>
      </c>
      <c r="B32" t="s">
        <v>58</v>
      </c>
      <c r="C32" t="s">
        <v>40</v>
      </c>
      <c r="D32">
        <v>2021</v>
      </c>
      <c r="E32">
        <v>6.6899129841448302</v>
      </c>
      <c r="F32">
        <v>6.0667175798443678</v>
      </c>
      <c r="G32">
        <f t="shared" si="0"/>
        <v>-0.62319540430046239</v>
      </c>
      <c r="H32">
        <v>1.1517525996332381E-3</v>
      </c>
    </row>
    <row r="33" spans="1:8" x14ac:dyDescent="0.35">
      <c r="A33" t="s">
        <v>67</v>
      </c>
      <c r="B33" t="s">
        <v>60</v>
      </c>
      <c r="C33" t="s">
        <v>40</v>
      </c>
      <c r="D33">
        <v>2021</v>
      </c>
      <c r="E33">
        <v>4.5423071463688514</v>
      </c>
      <c r="F33">
        <v>6.0667175798443678</v>
      </c>
      <c r="G33">
        <f t="shared" si="0"/>
        <v>1.5244104334755164</v>
      </c>
      <c r="H33">
        <v>1.1517525996332381E-3</v>
      </c>
    </row>
    <row r="34" spans="1:8" x14ac:dyDescent="0.35">
      <c r="A34" t="s">
        <v>67</v>
      </c>
      <c r="B34" t="s">
        <v>59</v>
      </c>
      <c r="C34" t="s">
        <v>38</v>
      </c>
      <c r="D34">
        <v>2022</v>
      </c>
      <c r="E34">
        <v>2.6471364529380592</v>
      </c>
      <c r="F34">
        <v>3.945716681463399</v>
      </c>
      <c r="G34">
        <f t="shared" si="0"/>
        <v>1.2985802285253398</v>
      </c>
      <c r="H34">
        <v>1.014469878411819E-3</v>
      </c>
    </row>
    <row r="35" spans="1:8" x14ac:dyDescent="0.35">
      <c r="A35" t="s">
        <v>67</v>
      </c>
      <c r="B35" t="s">
        <v>61</v>
      </c>
      <c r="C35" t="s">
        <v>38</v>
      </c>
      <c r="D35">
        <v>2022</v>
      </c>
      <c r="E35">
        <v>2.8171147512312089</v>
      </c>
      <c r="F35">
        <v>3.945716681463399</v>
      </c>
      <c r="G35">
        <f t="shared" si="0"/>
        <v>1.1286019302321901</v>
      </c>
      <c r="H35">
        <v>1.014469878411819E-3</v>
      </c>
    </row>
    <row r="36" spans="1:8" x14ac:dyDescent="0.35">
      <c r="A36" t="s">
        <v>67</v>
      </c>
      <c r="B36" t="s">
        <v>60</v>
      </c>
      <c r="C36" t="s">
        <v>40</v>
      </c>
      <c r="D36">
        <v>2022</v>
      </c>
      <c r="E36">
        <v>3.671117125209777</v>
      </c>
      <c r="F36">
        <v>3.945716681463399</v>
      </c>
      <c r="G36">
        <f t="shared" si="0"/>
        <v>0.27459955625362209</v>
      </c>
      <c r="H36">
        <v>1.014469878411819E-3</v>
      </c>
    </row>
    <row r="37" spans="1:8" x14ac:dyDescent="0.35">
      <c r="A37" t="s">
        <v>67</v>
      </c>
      <c r="B37" t="s">
        <v>62</v>
      </c>
      <c r="C37" t="s">
        <v>40</v>
      </c>
      <c r="D37">
        <v>2022</v>
      </c>
      <c r="E37">
        <v>2.0165795618690252</v>
      </c>
      <c r="F37">
        <v>3.945716681463399</v>
      </c>
      <c r="G37">
        <f t="shared" si="0"/>
        <v>1.9291371195943738</v>
      </c>
      <c r="H37">
        <v>1.014469878411819E-3</v>
      </c>
    </row>
    <row r="38" spans="1:8" x14ac:dyDescent="0.35">
      <c r="A38" t="s">
        <v>67</v>
      </c>
      <c r="B38" t="s">
        <v>61</v>
      </c>
      <c r="C38" t="s">
        <v>38</v>
      </c>
      <c r="D38">
        <v>2023</v>
      </c>
      <c r="E38">
        <v>0.1608186912456899</v>
      </c>
      <c r="F38">
        <v>1.5491827810755261</v>
      </c>
      <c r="G38">
        <f t="shared" si="0"/>
        <v>1.3883640898298362</v>
      </c>
      <c r="H38">
        <v>1.324636913672042E-3</v>
      </c>
    </row>
    <row r="39" spans="1:8" x14ac:dyDescent="0.35">
      <c r="A39" t="s">
        <v>67</v>
      </c>
      <c r="B39" t="s">
        <v>63</v>
      </c>
      <c r="C39" t="s">
        <v>38</v>
      </c>
      <c r="D39">
        <v>2023</v>
      </c>
      <c r="E39">
        <v>1.44096095579862</v>
      </c>
      <c r="F39">
        <v>1.5491827810755261</v>
      </c>
      <c r="G39">
        <f t="shared" si="0"/>
        <v>0.10822182527690605</v>
      </c>
      <c r="H39">
        <v>1.324636913672042E-3</v>
      </c>
    </row>
    <row r="40" spans="1:8" x14ac:dyDescent="0.35">
      <c r="A40" t="s">
        <v>67</v>
      </c>
      <c r="B40" t="s">
        <v>62</v>
      </c>
      <c r="C40" t="s">
        <v>40</v>
      </c>
      <c r="D40">
        <v>2023</v>
      </c>
      <c r="E40">
        <v>1.7766240808305469</v>
      </c>
      <c r="F40">
        <v>1.5491827810755261</v>
      </c>
      <c r="G40">
        <f t="shared" si="0"/>
        <v>-0.22744129975502081</v>
      </c>
      <c r="H40">
        <v>1.324636913672042E-3</v>
      </c>
    </row>
    <row r="41" spans="1:8" x14ac:dyDescent="0.35">
      <c r="A41" t="s">
        <v>67</v>
      </c>
      <c r="B41" t="s">
        <v>64</v>
      </c>
      <c r="C41" t="s">
        <v>40</v>
      </c>
      <c r="D41">
        <v>2023</v>
      </c>
      <c r="E41">
        <v>1.2330728065618859</v>
      </c>
      <c r="F41">
        <v>1.5491827810755261</v>
      </c>
      <c r="G41">
        <f t="shared" si="0"/>
        <v>0.3161099745136402</v>
      </c>
      <c r="H41">
        <v>1.324636913672042E-3</v>
      </c>
    </row>
    <row r="42" spans="1:8" x14ac:dyDescent="0.35">
      <c r="A42" t="s">
        <v>67</v>
      </c>
      <c r="B42" t="s">
        <v>63</v>
      </c>
      <c r="C42" t="s">
        <v>38</v>
      </c>
      <c r="D42">
        <v>2024</v>
      </c>
      <c r="E42">
        <v>1.366814397179428</v>
      </c>
      <c r="F42">
        <v>1.0917584184985489</v>
      </c>
      <c r="G42">
        <f t="shared" si="0"/>
        <v>-0.27505597868087905</v>
      </c>
      <c r="H42">
        <v>1.372182399148419E-3</v>
      </c>
    </row>
    <row r="43" spans="1:8" x14ac:dyDescent="0.35">
      <c r="A43" t="s">
        <v>67</v>
      </c>
      <c r="B43" t="s">
        <v>65</v>
      </c>
      <c r="C43" t="s">
        <v>38</v>
      </c>
      <c r="D43">
        <v>2024</v>
      </c>
      <c r="E43">
        <v>1.144309940913812</v>
      </c>
      <c r="F43">
        <v>1.0917584184985489</v>
      </c>
      <c r="G43">
        <f t="shared" si="0"/>
        <v>-5.2551522415263063E-2</v>
      </c>
      <c r="H43">
        <v>1.372182399148419E-3</v>
      </c>
    </row>
    <row r="44" spans="1:8" x14ac:dyDescent="0.35">
      <c r="A44" t="s">
        <v>67</v>
      </c>
      <c r="B44" t="s">
        <v>64</v>
      </c>
      <c r="C44" t="s">
        <v>40</v>
      </c>
      <c r="D44">
        <v>2024</v>
      </c>
      <c r="E44">
        <v>1.3611844962323929</v>
      </c>
      <c r="F44">
        <v>1.0917584184985489</v>
      </c>
      <c r="G44">
        <f t="shared" si="0"/>
        <v>-0.26942607773384397</v>
      </c>
      <c r="H44">
        <v>1.372182399148419E-3</v>
      </c>
    </row>
    <row r="45" spans="1:8" x14ac:dyDescent="0.35">
      <c r="A45" t="s">
        <v>67</v>
      </c>
      <c r="B45" t="s">
        <v>66</v>
      </c>
      <c r="C45" t="s">
        <v>40</v>
      </c>
      <c r="D45">
        <v>2024</v>
      </c>
      <c r="E45">
        <v>1.2741731353000501</v>
      </c>
      <c r="F45">
        <v>1.0917584184985489</v>
      </c>
      <c r="G45">
        <f t="shared" si="0"/>
        <v>-0.18241471680150112</v>
      </c>
      <c r="H45">
        <v>1.372182399148419E-3</v>
      </c>
    </row>
    <row r="46" spans="1:8" x14ac:dyDescent="0.35">
      <c r="A46" t="s">
        <v>67</v>
      </c>
      <c r="B46" t="s">
        <v>65</v>
      </c>
      <c r="C46" t="s">
        <v>38</v>
      </c>
      <c r="D46">
        <v>2025</v>
      </c>
      <c r="E46">
        <v>1.2445832169132749</v>
      </c>
      <c r="F46">
        <v>0.97833513074895262</v>
      </c>
      <c r="G46">
        <f t="shared" si="0"/>
        <v>-0.26624808616432227</v>
      </c>
      <c r="H46">
        <v>1.372182399148419E-3</v>
      </c>
    </row>
    <row r="47" spans="1:8" x14ac:dyDescent="0.35">
      <c r="A47" t="s">
        <v>67</v>
      </c>
      <c r="B47" t="s">
        <v>71</v>
      </c>
      <c r="C47" t="s">
        <v>38</v>
      </c>
      <c r="D47">
        <v>2025</v>
      </c>
      <c r="E47">
        <v>0.99784735760106713</v>
      </c>
      <c r="F47">
        <v>0.97833513074895262</v>
      </c>
      <c r="G47">
        <f t="shared" si="0"/>
        <v>-1.9512226852114511E-2</v>
      </c>
      <c r="H47">
        <v>1.372182399148419E-3</v>
      </c>
    </row>
    <row r="48" spans="1:8" x14ac:dyDescent="0.35">
      <c r="A48" t="s">
        <v>67</v>
      </c>
      <c r="B48" t="s">
        <v>66</v>
      </c>
      <c r="C48" t="s">
        <v>40</v>
      </c>
      <c r="D48">
        <v>2025</v>
      </c>
      <c r="E48">
        <v>1.3772936758912999</v>
      </c>
      <c r="F48">
        <v>0.97833513074895262</v>
      </c>
      <c r="G48">
        <f t="shared" si="0"/>
        <v>-0.3989585451423473</v>
      </c>
      <c r="H48">
        <v>1.372182399148419E-3</v>
      </c>
    </row>
    <row r="49" spans="1:8" x14ac:dyDescent="0.35">
      <c r="A49" t="s">
        <v>67</v>
      </c>
      <c r="B49" t="s">
        <v>72</v>
      </c>
      <c r="C49" t="s">
        <v>40</v>
      </c>
      <c r="D49">
        <v>2025</v>
      </c>
      <c r="E49">
        <v>0.76893815941332377</v>
      </c>
      <c r="F49">
        <v>0.97833513074895262</v>
      </c>
      <c r="G49">
        <f t="shared" si="0"/>
        <v>0.20939697133562885</v>
      </c>
      <c r="H49">
        <v>1.372182399148419E-3</v>
      </c>
    </row>
    <row r="50" spans="1:8" x14ac:dyDescent="0.35">
      <c r="A50" t="s">
        <v>68</v>
      </c>
      <c r="B50" t="s">
        <v>55</v>
      </c>
      <c r="C50" t="s">
        <v>38</v>
      </c>
      <c r="D50">
        <v>2020</v>
      </c>
      <c r="E50">
        <v>1.0098419735112829</v>
      </c>
      <c r="F50">
        <v>-4.5019012679871278</v>
      </c>
      <c r="G50">
        <f t="shared" si="0"/>
        <v>-5.5117432414984107</v>
      </c>
      <c r="H50">
        <v>7.8392311441250039E-3</v>
      </c>
    </row>
    <row r="51" spans="1:8" x14ac:dyDescent="0.35">
      <c r="A51" t="s">
        <v>68</v>
      </c>
      <c r="B51" t="s">
        <v>57</v>
      </c>
      <c r="C51" t="s">
        <v>38</v>
      </c>
      <c r="D51">
        <v>2020</v>
      </c>
      <c r="E51">
        <v>-5.5682040725027582</v>
      </c>
      <c r="F51">
        <v>-4.5019012679871278</v>
      </c>
      <c r="G51">
        <f t="shared" si="0"/>
        <v>1.0663028045156304</v>
      </c>
      <c r="H51">
        <v>7.8392311441250039E-3</v>
      </c>
    </row>
    <row r="52" spans="1:8" x14ac:dyDescent="0.35">
      <c r="A52" t="s">
        <v>68</v>
      </c>
      <c r="B52" t="s">
        <v>56</v>
      </c>
      <c r="C52" t="s">
        <v>40</v>
      </c>
      <c r="D52">
        <v>2020</v>
      </c>
      <c r="E52">
        <v>1.5458815393741829</v>
      </c>
      <c r="F52">
        <v>-4.5019012679871278</v>
      </c>
      <c r="G52">
        <f t="shared" si="0"/>
        <v>-6.0477828073613109</v>
      </c>
      <c r="H52">
        <v>7.8392311441250039E-3</v>
      </c>
    </row>
    <row r="53" spans="1:8" x14ac:dyDescent="0.35">
      <c r="A53" t="s">
        <v>68</v>
      </c>
      <c r="B53" t="s">
        <v>58</v>
      </c>
      <c r="C53" t="s">
        <v>40</v>
      </c>
      <c r="D53">
        <v>2020</v>
      </c>
      <c r="E53">
        <v>-6.4695771848944261</v>
      </c>
      <c r="F53">
        <v>-4.5019012679871278</v>
      </c>
      <c r="G53">
        <f t="shared" si="0"/>
        <v>1.9676759169072984</v>
      </c>
      <c r="H53">
        <v>7.8392311441250039E-3</v>
      </c>
    </row>
    <row r="54" spans="1:8" x14ac:dyDescent="0.35">
      <c r="A54" t="s">
        <v>68</v>
      </c>
      <c r="B54" t="s">
        <v>57</v>
      </c>
      <c r="C54" t="s">
        <v>38</v>
      </c>
      <c r="D54">
        <v>2021</v>
      </c>
      <c r="E54">
        <v>3.5168418141955371</v>
      </c>
      <c r="F54">
        <v>3.8314526417859192</v>
      </c>
      <c r="G54">
        <f t="shared" si="0"/>
        <v>0.31461082759038206</v>
      </c>
      <c r="H54">
        <v>7.7356755077016047E-3</v>
      </c>
    </row>
    <row r="55" spans="1:8" x14ac:dyDescent="0.35">
      <c r="A55" t="s">
        <v>68</v>
      </c>
      <c r="B55" t="s">
        <v>59</v>
      </c>
      <c r="C55" t="s">
        <v>38</v>
      </c>
      <c r="D55">
        <v>2021</v>
      </c>
      <c r="E55">
        <v>2.7343389231728081</v>
      </c>
      <c r="F55">
        <v>3.8314526417859192</v>
      </c>
      <c r="G55">
        <f t="shared" si="0"/>
        <v>1.097113718613111</v>
      </c>
      <c r="H55">
        <v>7.7356755077016047E-3</v>
      </c>
    </row>
    <row r="56" spans="1:8" x14ac:dyDescent="0.35">
      <c r="A56" t="s">
        <v>68</v>
      </c>
      <c r="B56" t="s">
        <v>58</v>
      </c>
      <c r="C56" t="s">
        <v>40</v>
      </c>
      <c r="D56">
        <v>2021</v>
      </c>
      <c r="E56">
        <v>5.8723795390502653</v>
      </c>
      <c r="F56">
        <v>3.8314526417859192</v>
      </c>
      <c r="G56">
        <f t="shared" si="0"/>
        <v>-2.0409268972643462</v>
      </c>
      <c r="H56">
        <v>7.7356755077016047E-3</v>
      </c>
    </row>
    <row r="57" spans="1:8" x14ac:dyDescent="0.35">
      <c r="A57" t="s">
        <v>68</v>
      </c>
      <c r="B57" t="s">
        <v>60</v>
      </c>
      <c r="C57" t="s">
        <v>40</v>
      </c>
      <c r="D57">
        <v>2021</v>
      </c>
      <c r="E57">
        <v>3.405406776981335</v>
      </c>
      <c r="F57">
        <v>3.8314526417859192</v>
      </c>
      <c r="G57">
        <f t="shared" si="0"/>
        <v>0.42604586480458417</v>
      </c>
      <c r="H57">
        <v>7.7356755077016047E-3</v>
      </c>
    </row>
    <row r="58" spans="1:8" x14ac:dyDescent="0.35">
      <c r="A58" t="s">
        <v>68</v>
      </c>
      <c r="B58" t="s">
        <v>59</v>
      </c>
      <c r="C58" t="s">
        <v>38</v>
      </c>
      <c r="D58">
        <v>2022</v>
      </c>
      <c r="E58">
        <v>4.5927784434600882</v>
      </c>
      <c r="F58">
        <v>1.931834126476093</v>
      </c>
      <c r="G58">
        <f t="shared" si="0"/>
        <v>-2.6609443169839953</v>
      </c>
      <c r="H58">
        <v>7.6054945428721031E-3</v>
      </c>
    </row>
    <row r="59" spans="1:8" x14ac:dyDescent="0.35">
      <c r="A59" t="s">
        <v>68</v>
      </c>
      <c r="B59" t="s">
        <v>61</v>
      </c>
      <c r="C59" t="s">
        <v>38</v>
      </c>
      <c r="D59">
        <v>2022</v>
      </c>
      <c r="E59">
        <v>1.55845355711639</v>
      </c>
      <c r="F59">
        <v>1.931834126476093</v>
      </c>
      <c r="G59">
        <f t="shared" si="0"/>
        <v>0.37338056935970299</v>
      </c>
      <c r="H59">
        <v>7.6054945428721031E-3</v>
      </c>
    </row>
    <row r="60" spans="1:8" x14ac:dyDescent="0.35">
      <c r="A60" t="s">
        <v>68</v>
      </c>
      <c r="B60" t="s">
        <v>60</v>
      </c>
      <c r="C60" t="s">
        <v>40</v>
      </c>
      <c r="D60">
        <v>2022</v>
      </c>
      <c r="E60">
        <v>4.0547699734103224</v>
      </c>
      <c r="F60">
        <v>1.931834126476093</v>
      </c>
      <c r="G60">
        <f t="shared" si="0"/>
        <v>-2.1229358469342294</v>
      </c>
      <c r="H60">
        <v>7.6054945428721031E-3</v>
      </c>
    </row>
    <row r="61" spans="1:8" x14ac:dyDescent="0.35">
      <c r="A61" t="s">
        <v>68</v>
      </c>
      <c r="B61" t="s">
        <v>62</v>
      </c>
      <c r="C61" t="s">
        <v>40</v>
      </c>
      <c r="D61">
        <v>2022</v>
      </c>
      <c r="E61">
        <v>1.5579683422439761</v>
      </c>
      <c r="F61">
        <v>1.931834126476093</v>
      </c>
      <c r="G61">
        <f t="shared" si="0"/>
        <v>0.37386578423211692</v>
      </c>
      <c r="H61">
        <v>7.6054945428721031E-3</v>
      </c>
    </row>
    <row r="62" spans="1:8" x14ac:dyDescent="0.35">
      <c r="A62" t="s">
        <v>68</v>
      </c>
      <c r="B62" t="s">
        <v>61</v>
      </c>
      <c r="C62" t="s">
        <v>38</v>
      </c>
      <c r="D62">
        <v>2023</v>
      </c>
      <c r="E62">
        <v>-0.62595524483003429</v>
      </c>
      <c r="F62">
        <v>-0.81689108427086243</v>
      </c>
      <c r="G62">
        <f t="shared" si="0"/>
        <v>-0.19093583944082815</v>
      </c>
      <c r="H62">
        <v>8.2683809672599654E-3</v>
      </c>
    </row>
    <row r="63" spans="1:8" x14ac:dyDescent="0.35">
      <c r="A63" t="s">
        <v>68</v>
      </c>
      <c r="B63" t="s">
        <v>63</v>
      </c>
      <c r="C63" t="s">
        <v>38</v>
      </c>
      <c r="D63">
        <v>2023</v>
      </c>
      <c r="E63">
        <v>-0.27334918709761569</v>
      </c>
      <c r="F63">
        <v>-0.81689108427086243</v>
      </c>
      <c r="G63">
        <f t="shared" si="0"/>
        <v>-0.54354189717324675</v>
      </c>
      <c r="H63">
        <v>8.2683809672599654E-3</v>
      </c>
    </row>
    <row r="64" spans="1:8" x14ac:dyDescent="0.35">
      <c r="A64" t="s">
        <v>68</v>
      </c>
      <c r="B64" t="s">
        <v>62</v>
      </c>
      <c r="C64" t="s">
        <v>40</v>
      </c>
      <c r="D64">
        <v>2023</v>
      </c>
      <c r="E64">
        <v>2.4090316591396821</v>
      </c>
      <c r="F64">
        <v>-0.81689108427086243</v>
      </c>
      <c r="G64">
        <f t="shared" si="0"/>
        <v>-3.2259227434105444</v>
      </c>
      <c r="H64">
        <v>8.2683809672599654E-3</v>
      </c>
    </row>
    <row r="65" spans="1:8" x14ac:dyDescent="0.35">
      <c r="A65" t="s">
        <v>68</v>
      </c>
      <c r="B65" t="s">
        <v>64</v>
      </c>
      <c r="C65" t="s">
        <v>40</v>
      </c>
      <c r="D65">
        <v>2023</v>
      </c>
      <c r="E65">
        <v>0.18957305278237691</v>
      </c>
      <c r="F65">
        <v>-0.81689108427086243</v>
      </c>
      <c r="G65">
        <f t="shared" si="0"/>
        <v>-1.0064641370532392</v>
      </c>
      <c r="H65">
        <v>8.2683809672599654E-3</v>
      </c>
    </row>
    <row r="66" spans="1:8" x14ac:dyDescent="0.35">
      <c r="A66" t="s">
        <v>68</v>
      </c>
      <c r="B66" t="s">
        <v>63</v>
      </c>
      <c r="C66" t="s">
        <v>38</v>
      </c>
      <c r="D66">
        <v>2024</v>
      </c>
      <c r="E66">
        <v>0.80450584510622924</v>
      </c>
      <c r="F66">
        <v>4.0523394564314849E-2</v>
      </c>
      <c r="G66">
        <f t="shared" ref="G66:G129" si="1">IF(OR(F66="",E66=""),"",F66-E66)</f>
        <v>-0.76398245054191438</v>
      </c>
      <c r="H66">
        <v>9.0522441223979538E-3</v>
      </c>
    </row>
    <row r="67" spans="1:8" x14ac:dyDescent="0.35">
      <c r="A67" t="s">
        <v>68</v>
      </c>
      <c r="B67" t="s">
        <v>65</v>
      </c>
      <c r="C67" t="s">
        <v>38</v>
      </c>
      <c r="D67">
        <v>2024</v>
      </c>
      <c r="E67">
        <v>-0.1114510968873272</v>
      </c>
      <c r="F67">
        <v>4.0523394564314849E-2</v>
      </c>
      <c r="G67">
        <f t="shared" si="1"/>
        <v>0.15197449145164205</v>
      </c>
      <c r="H67">
        <v>9.0522441223979538E-3</v>
      </c>
    </row>
    <row r="68" spans="1:8" x14ac:dyDescent="0.35">
      <c r="A68" t="s">
        <v>68</v>
      </c>
      <c r="B68" t="s">
        <v>64</v>
      </c>
      <c r="C68" t="s">
        <v>40</v>
      </c>
      <c r="D68">
        <v>2024</v>
      </c>
      <c r="E68">
        <v>1.358688832068133</v>
      </c>
      <c r="F68">
        <v>4.0523394564314849E-2</v>
      </c>
      <c r="G68">
        <f t="shared" si="1"/>
        <v>-1.3181654375038181</v>
      </c>
      <c r="H68">
        <v>9.0522441223979538E-3</v>
      </c>
    </row>
    <row r="69" spans="1:8" x14ac:dyDescent="0.35">
      <c r="A69" t="s">
        <v>68</v>
      </c>
      <c r="B69" t="s">
        <v>66</v>
      </c>
      <c r="C69" t="s">
        <v>40</v>
      </c>
      <c r="D69">
        <v>2024</v>
      </c>
      <c r="E69">
        <v>0.12753656568900151</v>
      </c>
      <c r="F69">
        <v>4.0523394564314849E-2</v>
      </c>
      <c r="G69">
        <f t="shared" si="1"/>
        <v>-8.7013171124686664E-2</v>
      </c>
      <c r="H69">
        <v>9.0522441223979538E-3</v>
      </c>
    </row>
    <row r="70" spans="1:8" x14ac:dyDescent="0.35">
      <c r="A70" t="s">
        <v>68</v>
      </c>
      <c r="B70" t="s">
        <v>65</v>
      </c>
      <c r="C70" t="s">
        <v>38</v>
      </c>
      <c r="D70">
        <v>2025</v>
      </c>
      <c r="E70">
        <v>0.69333808233418281</v>
      </c>
      <c r="F70">
        <v>0.34025588112837718</v>
      </c>
      <c r="G70">
        <f t="shared" si="1"/>
        <v>-0.35308220120580563</v>
      </c>
      <c r="H70">
        <v>9.0522441223979538E-3</v>
      </c>
    </row>
    <row r="71" spans="1:8" x14ac:dyDescent="0.35">
      <c r="A71" t="s">
        <v>68</v>
      </c>
      <c r="B71" t="s">
        <v>71</v>
      </c>
      <c r="C71" t="s">
        <v>38</v>
      </c>
      <c r="D71">
        <v>2025</v>
      </c>
      <c r="E71">
        <v>0.17068748819852869</v>
      </c>
      <c r="F71">
        <v>0.34025588112837718</v>
      </c>
      <c r="G71">
        <f t="shared" si="1"/>
        <v>0.16956839292984849</v>
      </c>
      <c r="H71">
        <v>9.0522441223979538E-3</v>
      </c>
    </row>
    <row r="72" spans="1:8" x14ac:dyDescent="0.35">
      <c r="A72" t="s">
        <v>68</v>
      </c>
      <c r="B72" t="s">
        <v>66</v>
      </c>
      <c r="C72" t="s">
        <v>40</v>
      </c>
      <c r="D72">
        <v>2025</v>
      </c>
      <c r="E72">
        <v>1.014129227832639</v>
      </c>
      <c r="F72">
        <v>0.34025588112837718</v>
      </c>
      <c r="G72">
        <f t="shared" si="1"/>
        <v>-0.67387334670426191</v>
      </c>
      <c r="H72">
        <v>9.0522441223979538E-3</v>
      </c>
    </row>
    <row r="73" spans="1:8" x14ac:dyDescent="0.35">
      <c r="A73" t="s">
        <v>68</v>
      </c>
      <c r="B73" t="s">
        <v>72</v>
      </c>
      <c r="C73" t="s">
        <v>40</v>
      </c>
      <c r="D73">
        <v>2025</v>
      </c>
      <c r="E73">
        <v>-2.9831521216272531E-2</v>
      </c>
      <c r="F73">
        <v>0.34025588112837718</v>
      </c>
      <c r="G73">
        <f t="shared" si="1"/>
        <v>0.37008740234464971</v>
      </c>
      <c r="H73">
        <v>9.0522441223979538E-3</v>
      </c>
    </row>
    <row r="74" spans="1:8" x14ac:dyDescent="0.35">
      <c r="A74" t="s">
        <v>69</v>
      </c>
      <c r="B74" t="s">
        <v>55</v>
      </c>
      <c r="C74" t="s">
        <v>38</v>
      </c>
      <c r="D74">
        <v>2020</v>
      </c>
      <c r="E74">
        <v>1.490576223487361</v>
      </c>
      <c r="F74">
        <v>-11.58616521695834</v>
      </c>
      <c r="G74">
        <f t="shared" si="1"/>
        <v>-13.076741440445701</v>
      </c>
      <c r="H74">
        <v>1.089781682979109E-3</v>
      </c>
    </row>
    <row r="75" spans="1:8" x14ac:dyDescent="0.35">
      <c r="A75" t="s">
        <v>69</v>
      </c>
      <c r="B75" t="s">
        <v>57</v>
      </c>
      <c r="C75" t="s">
        <v>38</v>
      </c>
      <c r="D75">
        <v>2020</v>
      </c>
      <c r="E75">
        <v>-12.410533977614319</v>
      </c>
      <c r="F75">
        <v>-11.58616521695834</v>
      </c>
      <c r="G75">
        <f t="shared" si="1"/>
        <v>0.82436876065597886</v>
      </c>
      <c r="H75">
        <v>1.089781682979109E-3</v>
      </c>
    </row>
    <row r="76" spans="1:8" x14ac:dyDescent="0.35">
      <c r="A76" t="s">
        <v>69</v>
      </c>
      <c r="B76" t="s">
        <v>56</v>
      </c>
      <c r="C76" t="s">
        <v>40</v>
      </c>
      <c r="D76">
        <v>2020</v>
      </c>
      <c r="E76">
        <v>1.863359760106897</v>
      </c>
      <c r="F76">
        <v>-11.58616521695834</v>
      </c>
      <c r="G76">
        <f t="shared" si="1"/>
        <v>-13.449524977065238</v>
      </c>
      <c r="H76">
        <v>1.089781682979109E-3</v>
      </c>
    </row>
    <row r="77" spans="1:8" x14ac:dyDescent="0.35">
      <c r="A77" t="s">
        <v>69</v>
      </c>
      <c r="B77" t="s">
        <v>58</v>
      </c>
      <c r="C77" t="s">
        <v>40</v>
      </c>
      <c r="D77">
        <v>2020</v>
      </c>
      <c r="E77">
        <v>-9.3843459766278272</v>
      </c>
      <c r="F77">
        <v>-11.58616521695834</v>
      </c>
      <c r="G77">
        <f t="shared" si="1"/>
        <v>-2.2018192403305132</v>
      </c>
      <c r="H77">
        <v>1.089781682979109E-3</v>
      </c>
    </row>
    <row r="78" spans="1:8" x14ac:dyDescent="0.35">
      <c r="A78" t="s">
        <v>69</v>
      </c>
      <c r="B78" t="s">
        <v>57</v>
      </c>
      <c r="C78" t="s">
        <v>38</v>
      </c>
      <c r="D78">
        <v>2021</v>
      </c>
      <c r="E78">
        <v>5.3508536215682634</v>
      </c>
      <c r="F78">
        <v>6.4693143142877041</v>
      </c>
      <c r="G78">
        <f t="shared" si="1"/>
        <v>1.1184606927194407</v>
      </c>
      <c r="H78">
        <v>9.4978125409007018E-4</v>
      </c>
    </row>
    <row r="79" spans="1:8" x14ac:dyDescent="0.35">
      <c r="A79" t="s">
        <v>69</v>
      </c>
      <c r="B79" t="s">
        <v>59</v>
      </c>
      <c r="C79" t="s">
        <v>38</v>
      </c>
      <c r="D79">
        <v>2021</v>
      </c>
      <c r="E79">
        <v>4.6234510847103616</v>
      </c>
      <c r="F79">
        <v>6.4693143142877041</v>
      </c>
      <c r="G79">
        <f t="shared" si="1"/>
        <v>1.8458632295773425</v>
      </c>
      <c r="H79">
        <v>9.4978125409007018E-4</v>
      </c>
    </row>
    <row r="80" spans="1:8" x14ac:dyDescent="0.35">
      <c r="A80" t="s">
        <v>69</v>
      </c>
      <c r="B80" t="s">
        <v>58</v>
      </c>
      <c r="C80" t="s">
        <v>40</v>
      </c>
      <c r="D80">
        <v>2021</v>
      </c>
      <c r="E80">
        <v>6.9761759541974167</v>
      </c>
      <c r="F80">
        <v>6.4693143142877041</v>
      </c>
      <c r="G80">
        <f t="shared" si="1"/>
        <v>-0.50686163990971256</v>
      </c>
      <c r="H80">
        <v>9.4978125409007018E-4</v>
      </c>
    </row>
    <row r="81" spans="1:8" x14ac:dyDescent="0.35">
      <c r="A81" t="s">
        <v>69</v>
      </c>
      <c r="B81" t="s">
        <v>60</v>
      </c>
      <c r="C81" t="s">
        <v>40</v>
      </c>
      <c r="D81">
        <v>2021</v>
      </c>
      <c r="E81">
        <v>5.8812532644924698</v>
      </c>
      <c r="F81">
        <v>6.4693143142877041</v>
      </c>
      <c r="G81">
        <f t="shared" si="1"/>
        <v>0.58806104979523433</v>
      </c>
      <c r="H81">
        <v>9.4978125409007018E-4</v>
      </c>
    </row>
    <row r="82" spans="1:8" x14ac:dyDescent="0.35">
      <c r="A82" t="s">
        <v>69</v>
      </c>
      <c r="B82" t="s">
        <v>59</v>
      </c>
      <c r="C82" t="s">
        <v>38</v>
      </c>
      <c r="D82">
        <v>2022</v>
      </c>
      <c r="E82">
        <v>5.5278236152833893</v>
      </c>
      <c r="F82">
        <v>6.1757125573772758</v>
      </c>
      <c r="G82">
        <f t="shared" si="1"/>
        <v>0.64788894209388648</v>
      </c>
      <c r="H82">
        <v>7.4930942000427699E-4</v>
      </c>
    </row>
    <row r="83" spans="1:8" x14ac:dyDescent="0.35">
      <c r="A83" t="s">
        <v>69</v>
      </c>
      <c r="B83" t="s">
        <v>61</v>
      </c>
      <c r="C83" t="s">
        <v>38</v>
      </c>
      <c r="D83">
        <v>2022</v>
      </c>
      <c r="E83">
        <v>4.547669246739372</v>
      </c>
      <c r="F83">
        <v>6.1757125573772758</v>
      </c>
      <c r="G83">
        <f t="shared" si="1"/>
        <v>1.6280433106379038</v>
      </c>
      <c r="H83">
        <v>7.4930942000427699E-4</v>
      </c>
    </row>
    <row r="84" spans="1:8" x14ac:dyDescent="0.35">
      <c r="A84" t="s">
        <v>69</v>
      </c>
      <c r="B84" t="s">
        <v>60</v>
      </c>
      <c r="C84" t="s">
        <v>40</v>
      </c>
      <c r="D84">
        <v>2022</v>
      </c>
      <c r="E84">
        <v>6.7779918001151573</v>
      </c>
      <c r="F84">
        <v>6.1757125573772758</v>
      </c>
      <c r="G84">
        <f t="shared" si="1"/>
        <v>-0.60227924273788158</v>
      </c>
      <c r="H84">
        <v>7.4930942000427699E-4</v>
      </c>
    </row>
    <row r="85" spans="1:8" x14ac:dyDescent="0.35">
      <c r="A85" t="s">
        <v>69</v>
      </c>
      <c r="B85" t="s">
        <v>62</v>
      </c>
      <c r="C85" t="s">
        <v>40</v>
      </c>
      <c r="D85">
        <v>2022</v>
      </c>
      <c r="E85">
        <v>4.0260894815609127</v>
      </c>
      <c r="F85">
        <v>6.1757125573772758</v>
      </c>
      <c r="G85">
        <f t="shared" si="1"/>
        <v>2.149623075816363</v>
      </c>
      <c r="H85">
        <v>7.4930942000427699E-4</v>
      </c>
    </row>
    <row r="86" spans="1:8" x14ac:dyDescent="0.35">
      <c r="A86" t="s">
        <v>69</v>
      </c>
      <c r="B86" t="s">
        <v>61</v>
      </c>
      <c r="C86" t="s">
        <v>38</v>
      </c>
      <c r="D86">
        <v>2023</v>
      </c>
      <c r="E86">
        <v>0.95503996038659444</v>
      </c>
      <c r="F86">
        <v>2.4309784639696339</v>
      </c>
      <c r="G86">
        <f t="shared" si="1"/>
        <v>1.4759385035830395</v>
      </c>
      <c r="H86">
        <v>8.3245038969018029E-4</v>
      </c>
    </row>
    <row r="87" spans="1:8" x14ac:dyDescent="0.35">
      <c r="A87" t="s">
        <v>69</v>
      </c>
      <c r="B87" t="s">
        <v>63</v>
      </c>
      <c r="C87" t="s">
        <v>38</v>
      </c>
      <c r="D87">
        <v>2023</v>
      </c>
      <c r="E87">
        <v>2.3654844972287088</v>
      </c>
      <c r="F87">
        <v>2.4309784639696339</v>
      </c>
      <c r="G87">
        <f t="shared" si="1"/>
        <v>6.5493966740925114E-2</v>
      </c>
      <c r="H87">
        <v>8.3245038969018029E-4</v>
      </c>
    </row>
    <row r="88" spans="1:8" x14ac:dyDescent="0.35">
      <c r="A88" t="s">
        <v>69</v>
      </c>
      <c r="B88" t="s">
        <v>62</v>
      </c>
      <c r="C88" t="s">
        <v>40</v>
      </c>
      <c r="D88">
        <v>2023</v>
      </c>
      <c r="E88">
        <v>3.3729684974310499</v>
      </c>
      <c r="F88">
        <v>2.4309784639696339</v>
      </c>
      <c r="G88">
        <f t="shared" si="1"/>
        <v>-0.94199003346141597</v>
      </c>
      <c r="H88">
        <v>8.3245038969018029E-4</v>
      </c>
    </row>
    <row r="89" spans="1:8" x14ac:dyDescent="0.35">
      <c r="A89" t="s">
        <v>69</v>
      </c>
      <c r="B89" t="s">
        <v>64</v>
      </c>
      <c r="C89" t="s">
        <v>40</v>
      </c>
      <c r="D89">
        <v>2023</v>
      </c>
      <c r="E89">
        <v>1.9366811763456671</v>
      </c>
      <c r="F89">
        <v>2.4309784639696339</v>
      </c>
      <c r="G89">
        <f t="shared" si="1"/>
        <v>0.49429728762396685</v>
      </c>
      <c r="H89">
        <v>8.3245038969018029E-4</v>
      </c>
    </row>
    <row r="90" spans="1:8" x14ac:dyDescent="0.35">
      <c r="A90" t="s">
        <v>69</v>
      </c>
      <c r="B90" t="s">
        <v>63</v>
      </c>
      <c r="C90" t="s">
        <v>38</v>
      </c>
      <c r="D90">
        <v>2024</v>
      </c>
      <c r="E90">
        <v>1.660542743130144</v>
      </c>
      <c r="F90">
        <v>3.3969031373447791</v>
      </c>
      <c r="G90">
        <f t="shared" si="1"/>
        <v>1.7363603942146351</v>
      </c>
      <c r="H90">
        <v>8.3940839252033268E-4</v>
      </c>
    </row>
    <row r="91" spans="1:8" x14ac:dyDescent="0.35">
      <c r="A91" t="s">
        <v>69</v>
      </c>
      <c r="B91" t="s">
        <v>65</v>
      </c>
      <c r="C91" t="s">
        <v>38</v>
      </c>
      <c r="D91">
        <v>2024</v>
      </c>
      <c r="E91">
        <v>2.966936931003072</v>
      </c>
      <c r="F91">
        <v>3.3969031373447791</v>
      </c>
      <c r="G91">
        <f t="shared" si="1"/>
        <v>0.42996620634170712</v>
      </c>
      <c r="H91">
        <v>8.3940839252033268E-4</v>
      </c>
    </row>
    <row r="92" spans="1:8" x14ac:dyDescent="0.35">
      <c r="A92" t="s">
        <v>69</v>
      </c>
      <c r="B92" t="s">
        <v>64</v>
      </c>
      <c r="C92" t="s">
        <v>40</v>
      </c>
      <c r="D92">
        <v>2024</v>
      </c>
      <c r="E92">
        <v>1.9648768473316871</v>
      </c>
      <c r="F92">
        <v>3.3969031373447791</v>
      </c>
      <c r="G92">
        <f t="shared" si="1"/>
        <v>1.432026290013092</v>
      </c>
      <c r="H92">
        <v>8.3940839252033268E-4</v>
      </c>
    </row>
    <row r="93" spans="1:8" x14ac:dyDescent="0.35">
      <c r="A93" t="s">
        <v>69</v>
      </c>
      <c r="B93" t="s">
        <v>66</v>
      </c>
      <c r="C93" t="s">
        <v>40</v>
      </c>
      <c r="D93">
        <v>2024</v>
      </c>
      <c r="E93">
        <v>2.1447304612078222</v>
      </c>
      <c r="F93">
        <v>3.3969031373447791</v>
      </c>
      <c r="G93">
        <f t="shared" si="1"/>
        <v>1.2521726761369569</v>
      </c>
      <c r="H93">
        <v>8.3940839252033268E-4</v>
      </c>
    </row>
    <row r="94" spans="1:8" x14ac:dyDescent="0.35">
      <c r="A94" t="s">
        <v>69</v>
      </c>
      <c r="B94" t="s">
        <v>65</v>
      </c>
      <c r="C94" t="s">
        <v>38</v>
      </c>
      <c r="D94">
        <v>2025</v>
      </c>
      <c r="E94">
        <v>2.3460653050844331</v>
      </c>
      <c r="F94">
        <v>2.7857852243734129</v>
      </c>
      <c r="G94">
        <f t="shared" si="1"/>
        <v>0.4397199192889798</v>
      </c>
      <c r="H94">
        <v>8.3940839252033268E-4</v>
      </c>
    </row>
    <row r="95" spans="1:8" x14ac:dyDescent="0.35">
      <c r="A95" t="s">
        <v>69</v>
      </c>
      <c r="B95" t="s">
        <v>71</v>
      </c>
      <c r="C95" t="s">
        <v>38</v>
      </c>
      <c r="D95">
        <v>2025</v>
      </c>
      <c r="E95">
        <v>2.8680409593299978</v>
      </c>
      <c r="F95">
        <v>2.7857852243734129</v>
      </c>
      <c r="G95">
        <f t="shared" si="1"/>
        <v>-8.2255734956584892E-2</v>
      </c>
      <c r="H95">
        <v>8.3940839252033268E-4</v>
      </c>
    </row>
    <row r="96" spans="1:8" x14ac:dyDescent="0.35">
      <c r="A96" t="s">
        <v>69</v>
      </c>
      <c r="B96" t="s">
        <v>66</v>
      </c>
      <c r="C96" t="s">
        <v>40</v>
      </c>
      <c r="D96">
        <v>2025</v>
      </c>
      <c r="E96">
        <v>1.947420292593427</v>
      </c>
      <c r="F96">
        <v>2.7857852243734129</v>
      </c>
      <c r="G96">
        <f t="shared" si="1"/>
        <v>0.83836493177998594</v>
      </c>
      <c r="H96">
        <v>8.3940839252033268E-4</v>
      </c>
    </row>
    <row r="97" spans="1:8" x14ac:dyDescent="0.35">
      <c r="A97" t="s">
        <v>69</v>
      </c>
      <c r="B97" t="s">
        <v>72</v>
      </c>
      <c r="C97" t="s">
        <v>40</v>
      </c>
      <c r="D97">
        <v>2025</v>
      </c>
      <c r="E97">
        <v>2.5510068501240162</v>
      </c>
      <c r="F97">
        <v>2.7857852243734129</v>
      </c>
      <c r="G97">
        <f t="shared" si="1"/>
        <v>0.23477837424939674</v>
      </c>
      <c r="H97">
        <v>8.3940839252033268E-4</v>
      </c>
    </row>
    <row r="98" spans="1:8" x14ac:dyDescent="0.35">
      <c r="A98" t="s">
        <v>70</v>
      </c>
      <c r="B98" t="s">
        <v>55</v>
      </c>
      <c r="C98" t="s">
        <v>38</v>
      </c>
      <c r="D98">
        <v>2020</v>
      </c>
      <c r="E98">
        <v>1.1013866566023991</v>
      </c>
      <c r="F98">
        <v>-2.5216639551613449</v>
      </c>
      <c r="G98">
        <f t="shared" si="1"/>
        <v>-3.6230506117637438</v>
      </c>
      <c r="H98">
        <v>1.9365478320968409E-3</v>
      </c>
    </row>
    <row r="99" spans="1:8" x14ac:dyDescent="0.35">
      <c r="A99" t="s">
        <v>70</v>
      </c>
      <c r="B99" t="s">
        <v>57</v>
      </c>
      <c r="C99" t="s">
        <v>38</v>
      </c>
      <c r="D99">
        <v>2020</v>
      </c>
      <c r="E99">
        <v>-4.2712767573150012</v>
      </c>
      <c r="F99">
        <v>-2.5216639551613449</v>
      </c>
      <c r="G99">
        <f t="shared" si="1"/>
        <v>1.7496128021536563</v>
      </c>
      <c r="H99">
        <v>1.9365478320968409E-3</v>
      </c>
    </row>
    <row r="100" spans="1:8" x14ac:dyDescent="0.35">
      <c r="A100" t="s">
        <v>70</v>
      </c>
      <c r="B100" t="s">
        <v>56</v>
      </c>
      <c r="C100" t="s">
        <v>40</v>
      </c>
      <c r="D100">
        <v>2020</v>
      </c>
      <c r="E100">
        <v>1.1658655715774511</v>
      </c>
      <c r="F100">
        <v>-2.5216639551613449</v>
      </c>
      <c r="G100">
        <f t="shared" si="1"/>
        <v>-3.6875295267387962</v>
      </c>
      <c r="H100">
        <v>1.9365478320968409E-3</v>
      </c>
    </row>
    <row r="101" spans="1:8" x14ac:dyDescent="0.35">
      <c r="A101" t="s">
        <v>70</v>
      </c>
      <c r="B101" t="s">
        <v>58</v>
      </c>
      <c r="C101" t="s">
        <v>40</v>
      </c>
      <c r="D101">
        <v>2020</v>
      </c>
      <c r="E101">
        <v>-6.3340086382144829</v>
      </c>
      <c r="F101">
        <v>-2.5216639551613449</v>
      </c>
      <c r="G101">
        <f t="shared" si="1"/>
        <v>3.812344683053138</v>
      </c>
      <c r="H101">
        <v>1.9365478320968409E-3</v>
      </c>
    </row>
    <row r="102" spans="1:8" x14ac:dyDescent="0.35">
      <c r="A102" t="s">
        <v>70</v>
      </c>
      <c r="B102" t="s">
        <v>57</v>
      </c>
      <c r="C102" t="s">
        <v>38</v>
      </c>
      <c r="D102">
        <v>2021</v>
      </c>
      <c r="E102">
        <v>2.900169440971712</v>
      </c>
      <c r="F102">
        <v>2.6415720090220192</v>
      </c>
      <c r="G102">
        <f t="shared" si="1"/>
        <v>-0.25859743194969287</v>
      </c>
      <c r="H102">
        <v>2.6224663629109508E-3</v>
      </c>
    </row>
    <row r="103" spans="1:8" x14ac:dyDescent="0.35">
      <c r="A103" t="s">
        <v>70</v>
      </c>
      <c r="B103" t="s">
        <v>59</v>
      </c>
      <c r="C103" t="s">
        <v>38</v>
      </c>
      <c r="D103">
        <v>2021</v>
      </c>
      <c r="E103">
        <v>3.4041276267937399</v>
      </c>
      <c r="F103">
        <v>2.6415720090220192</v>
      </c>
      <c r="G103">
        <f t="shared" si="1"/>
        <v>-0.76255561777172076</v>
      </c>
      <c r="H103">
        <v>2.6224663629109508E-3</v>
      </c>
    </row>
    <row r="104" spans="1:8" x14ac:dyDescent="0.35">
      <c r="A104" t="s">
        <v>70</v>
      </c>
      <c r="B104" t="s">
        <v>58</v>
      </c>
      <c r="C104" t="s">
        <v>40</v>
      </c>
      <c r="D104">
        <v>2021</v>
      </c>
      <c r="E104">
        <v>3.6735608188213531</v>
      </c>
      <c r="F104">
        <v>2.6415720090220192</v>
      </c>
      <c r="G104">
        <f t="shared" si="1"/>
        <v>-1.0319888097993339</v>
      </c>
      <c r="H104">
        <v>2.6224663629109508E-3</v>
      </c>
    </row>
    <row r="105" spans="1:8" x14ac:dyDescent="0.35">
      <c r="A105" t="s">
        <v>70</v>
      </c>
      <c r="B105" t="s">
        <v>60</v>
      </c>
      <c r="C105" t="s">
        <v>40</v>
      </c>
      <c r="D105">
        <v>2021</v>
      </c>
      <c r="E105">
        <v>2.739564988065335</v>
      </c>
      <c r="F105">
        <v>2.6415720090220192</v>
      </c>
      <c r="G105">
        <f t="shared" si="1"/>
        <v>-9.7992979043315831E-2</v>
      </c>
      <c r="H105">
        <v>2.6224663629109508E-3</v>
      </c>
    </row>
    <row r="106" spans="1:8" x14ac:dyDescent="0.35">
      <c r="A106" t="s">
        <v>70</v>
      </c>
      <c r="B106" t="s">
        <v>59</v>
      </c>
      <c r="C106" t="s">
        <v>38</v>
      </c>
      <c r="D106">
        <v>2022</v>
      </c>
      <c r="E106">
        <v>2.8272245866406638</v>
      </c>
      <c r="F106">
        <v>0.76006291556467176</v>
      </c>
      <c r="G106">
        <f t="shared" si="1"/>
        <v>-2.0671616710759921</v>
      </c>
      <c r="H106">
        <v>1.923663900762973E-3</v>
      </c>
    </row>
    <row r="107" spans="1:8" x14ac:dyDescent="0.35">
      <c r="A107" t="s">
        <v>70</v>
      </c>
      <c r="B107" t="s">
        <v>61</v>
      </c>
      <c r="C107" t="s">
        <v>38</v>
      </c>
      <c r="D107">
        <v>2022</v>
      </c>
      <c r="E107">
        <v>2.327853537647107</v>
      </c>
      <c r="F107">
        <v>0.76006291556467176</v>
      </c>
      <c r="G107">
        <f t="shared" si="1"/>
        <v>-1.5677906220824354</v>
      </c>
      <c r="H107">
        <v>1.923663900762973E-3</v>
      </c>
    </row>
    <row r="108" spans="1:8" x14ac:dyDescent="0.35">
      <c r="A108" t="s">
        <v>70</v>
      </c>
      <c r="B108" t="s">
        <v>60</v>
      </c>
      <c r="C108" t="s">
        <v>40</v>
      </c>
      <c r="D108">
        <v>2022</v>
      </c>
      <c r="E108">
        <v>2.7517012411305108</v>
      </c>
      <c r="F108">
        <v>0.76006291556467176</v>
      </c>
      <c r="G108">
        <f t="shared" si="1"/>
        <v>-1.9916383255658392</v>
      </c>
      <c r="H108">
        <v>1.923663900762973E-3</v>
      </c>
    </row>
    <row r="109" spans="1:8" x14ac:dyDescent="0.35">
      <c r="A109" t="s">
        <v>70</v>
      </c>
      <c r="B109" t="s">
        <v>62</v>
      </c>
      <c r="C109" t="s">
        <v>40</v>
      </c>
      <c r="D109">
        <v>2022</v>
      </c>
      <c r="E109">
        <v>1.603112304026943</v>
      </c>
      <c r="F109">
        <v>0.76006291556467176</v>
      </c>
      <c r="G109">
        <f t="shared" si="1"/>
        <v>-0.84304938846227129</v>
      </c>
      <c r="H109">
        <v>1.923663900762973E-3</v>
      </c>
    </row>
    <row r="110" spans="1:8" x14ac:dyDescent="0.35">
      <c r="A110" t="s">
        <v>70</v>
      </c>
      <c r="B110" t="s">
        <v>61</v>
      </c>
      <c r="C110" t="s">
        <v>38</v>
      </c>
      <c r="D110">
        <v>2023</v>
      </c>
      <c r="E110">
        <v>0.23998786112824361</v>
      </c>
      <c r="F110">
        <v>-1.2980054053073831</v>
      </c>
      <c r="G110">
        <f t="shared" si="1"/>
        <v>-1.5379932664356266</v>
      </c>
      <c r="H110">
        <v>2.503328687020895E-3</v>
      </c>
    </row>
    <row r="111" spans="1:8" x14ac:dyDescent="0.35">
      <c r="A111" t="s">
        <v>70</v>
      </c>
      <c r="B111" t="s">
        <v>63</v>
      </c>
      <c r="C111" t="s">
        <v>38</v>
      </c>
      <c r="D111">
        <v>2023</v>
      </c>
      <c r="E111">
        <v>0.13705974715647609</v>
      </c>
      <c r="F111">
        <v>-1.2980054053073831</v>
      </c>
      <c r="G111">
        <f t="shared" si="1"/>
        <v>-1.4350651524638591</v>
      </c>
      <c r="H111">
        <v>2.503328687020895E-3</v>
      </c>
    </row>
    <row r="112" spans="1:8" x14ac:dyDescent="0.35">
      <c r="A112" t="s">
        <v>70</v>
      </c>
      <c r="B112" t="s">
        <v>62</v>
      </c>
      <c r="C112" t="s">
        <v>40</v>
      </c>
      <c r="D112">
        <v>2023</v>
      </c>
      <c r="E112">
        <v>1.664320363648697</v>
      </c>
      <c r="F112">
        <v>-1.2980054053073831</v>
      </c>
      <c r="G112">
        <f t="shared" si="1"/>
        <v>-2.96232576895608</v>
      </c>
      <c r="H112">
        <v>2.503328687020895E-3</v>
      </c>
    </row>
    <row r="113" spans="1:8" x14ac:dyDescent="0.35">
      <c r="A113" t="s">
        <v>70</v>
      </c>
      <c r="B113" t="s">
        <v>64</v>
      </c>
      <c r="C113" t="s">
        <v>40</v>
      </c>
      <c r="D113">
        <v>2023</v>
      </c>
      <c r="E113">
        <v>0.1978909161836295</v>
      </c>
      <c r="F113">
        <v>-1.2980054053073831</v>
      </c>
      <c r="G113">
        <f t="shared" si="1"/>
        <v>-1.4958963214910126</v>
      </c>
      <c r="H113">
        <v>2.503328687020895E-3</v>
      </c>
    </row>
    <row r="114" spans="1:8" x14ac:dyDescent="0.35">
      <c r="A114" t="s">
        <v>70</v>
      </c>
      <c r="B114" t="s">
        <v>63</v>
      </c>
      <c r="C114" t="s">
        <v>38</v>
      </c>
      <c r="D114">
        <v>2024</v>
      </c>
      <c r="E114">
        <v>0.82599219561030335</v>
      </c>
      <c r="F114">
        <v>0.8814466149882676</v>
      </c>
      <c r="G114">
        <f t="shared" si="1"/>
        <v>5.5454419377964248E-2</v>
      </c>
      <c r="H114">
        <v>2.4884109011011962E-3</v>
      </c>
    </row>
    <row r="115" spans="1:8" x14ac:dyDescent="0.35">
      <c r="A115" t="s">
        <v>70</v>
      </c>
      <c r="B115" t="s">
        <v>65</v>
      </c>
      <c r="C115" t="s">
        <v>38</v>
      </c>
      <c r="D115">
        <v>2024</v>
      </c>
      <c r="E115">
        <v>-0.27816035844419051</v>
      </c>
      <c r="F115">
        <v>0.8814466149882676</v>
      </c>
      <c r="G115">
        <f t="shared" si="1"/>
        <v>1.1596069734324581</v>
      </c>
      <c r="H115">
        <v>2.4884109011011962E-3</v>
      </c>
    </row>
    <row r="116" spans="1:8" x14ac:dyDescent="0.35">
      <c r="A116" t="s">
        <v>70</v>
      </c>
      <c r="B116" t="s">
        <v>64</v>
      </c>
      <c r="C116" t="s">
        <v>40</v>
      </c>
      <c r="D116">
        <v>2024</v>
      </c>
      <c r="E116">
        <v>1.375433393552461</v>
      </c>
      <c r="F116">
        <v>0.8814466149882676</v>
      </c>
      <c r="G116">
        <f t="shared" si="1"/>
        <v>-0.49398677856419337</v>
      </c>
      <c r="H116">
        <v>2.4884109011011962E-3</v>
      </c>
    </row>
    <row r="117" spans="1:8" x14ac:dyDescent="0.35">
      <c r="A117" t="s">
        <v>70</v>
      </c>
      <c r="B117" t="s">
        <v>66</v>
      </c>
      <c r="C117" t="s">
        <v>40</v>
      </c>
      <c r="D117">
        <v>2024</v>
      </c>
      <c r="E117">
        <v>3.9573385924840387E-2</v>
      </c>
      <c r="F117">
        <v>0.8814466149882676</v>
      </c>
      <c r="G117">
        <f t="shared" si="1"/>
        <v>0.84187322906342721</v>
      </c>
      <c r="H117">
        <v>2.4884109011011962E-3</v>
      </c>
    </row>
    <row r="118" spans="1:8" x14ac:dyDescent="0.35">
      <c r="A118" t="s">
        <v>70</v>
      </c>
      <c r="B118" t="s">
        <v>65</v>
      </c>
      <c r="C118" t="s">
        <v>38</v>
      </c>
      <c r="D118">
        <v>2025</v>
      </c>
      <c r="E118">
        <v>1.544507858030109</v>
      </c>
      <c r="F118">
        <v>0.79990149121373022</v>
      </c>
      <c r="G118">
        <f t="shared" si="1"/>
        <v>-0.74460636681637882</v>
      </c>
      <c r="H118">
        <v>2.4884109011011962E-3</v>
      </c>
    </row>
    <row r="119" spans="1:8" x14ac:dyDescent="0.35">
      <c r="A119" t="s">
        <v>70</v>
      </c>
      <c r="B119" t="s">
        <v>71</v>
      </c>
      <c r="C119" t="s">
        <v>38</v>
      </c>
      <c r="D119">
        <v>2025</v>
      </c>
      <c r="E119">
        <v>7.5720238361931536E-2</v>
      </c>
      <c r="F119">
        <v>0.79990149121373022</v>
      </c>
      <c r="G119">
        <f t="shared" si="1"/>
        <v>0.72418125285179868</v>
      </c>
      <c r="H119">
        <v>2.4884109011011962E-3</v>
      </c>
    </row>
    <row r="120" spans="1:8" x14ac:dyDescent="0.35">
      <c r="A120" t="s">
        <v>70</v>
      </c>
      <c r="B120" t="s">
        <v>66</v>
      </c>
      <c r="C120" t="s">
        <v>40</v>
      </c>
      <c r="D120">
        <v>2025</v>
      </c>
      <c r="E120">
        <v>1.3606562692519699</v>
      </c>
      <c r="F120">
        <v>0.79990149121373022</v>
      </c>
      <c r="G120">
        <f t="shared" si="1"/>
        <v>-0.5607547780382397</v>
      </c>
      <c r="H120">
        <v>2.4884109011011962E-3</v>
      </c>
    </row>
    <row r="121" spans="1:8" x14ac:dyDescent="0.35">
      <c r="A121" t="s">
        <v>70</v>
      </c>
      <c r="B121" t="s">
        <v>72</v>
      </c>
      <c r="C121" t="s">
        <v>40</v>
      </c>
      <c r="D121">
        <v>2025</v>
      </c>
      <c r="E121">
        <v>0.97596362509042578</v>
      </c>
      <c r="F121">
        <v>0.79990149121373022</v>
      </c>
      <c r="G121">
        <f t="shared" si="1"/>
        <v>-0.17606213387669556</v>
      </c>
      <c r="H121">
        <v>2.4884109011011962E-3</v>
      </c>
    </row>
    <row r="122" spans="1:8" x14ac:dyDescent="0.35">
      <c r="A122" t="s">
        <v>73</v>
      </c>
      <c r="B122" t="s">
        <v>55</v>
      </c>
      <c r="C122" t="s">
        <v>38</v>
      </c>
      <c r="D122">
        <v>2020</v>
      </c>
      <c r="E122">
        <v>1.285387661815784</v>
      </c>
      <c r="F122">
        <v>-7.9120138942178206</v>
      </c>
      <c r="G122">
        <f t="shared" si="1"/>
        <v>-9.1974015560336042</v>
      </c>
      <c r="H122">
        <v>3.0499904166596229E-3</v>
      </c>
    </row>
    <row r="123" spans="1:8" x14ac:dyDescent="0.35">
      <c r="A123" t="s">
        <v>73</v>
      </c>
      <c r="B123" t="s">
        <v>57</v>
      </c>
      <c r="C123" t="s">
        <v>38</v>
      </c>
      <c r="D123">
        <v>2020</v>
      </c>
      <c r="E123">
        <v>-9.3511426009976422</v>
      </c>
      <c r="F123">
        <v>-7.9120138942178206</v>
      </c>
      <c r="G123">
        <f t="shared" si="1"/>
        <v>1.4391287067798215</v>
      </c>
      <c r="H123">
        <v>3.0499904166596229E-3</v>
      </c>
    </row>
    <row r="124" spans="1:8" x14ac:dyDescent="0.35">
      <c r="A124" t="s">
        <v>73</v>
      </c>
      <c r="B124" t="s">
        <v>56</v>
      </c>
      <c r="C124" t="s">
        <v>40</v>
      </c>
      <c r="D124">
        <v>2020</v>
      </c>
      <c r="E124">
        <v>1.503749975943047</v>
      </c>
      <c r="F124">
        <v>-7.9120138942178206</v>
      </c>
      <c r="G124">
        <f t="shared" si="1"/>
        <v>-9.4157638701608679</v>
      </c>
      <c r="H124">
        <v>3.0499904166596229E-3</v>
      </c>
    </row>
    <row r="125" spans="1:8" x14ac:dyDescent="0.35">
      <c r="A125" t="s">
        <v>73</v>
      </c>
      <c r="B125" t="s">
        <v>58</v>
      </c>
      <c r="C125" t="s">
        <v>40</v>
      </c>
      <c r="D125">
        <v>2020</v>
      </c>
      <c r="E125">
        <v>-8.2482980854368328</v>
      </c>
      <c r="F125">
        <v>-7.9120138942178206</v>
      </c>
      <c r="G125">
        <f t="shared" si="1"/>
        <v>0.33628419121901221</v>
      </c>
      <c r="H125">
        <v>3.0499904166596229E-3</v>
      </c>
    </row>
    <row r="126" spans="1:8" x14ac:dyDescent="0.35">
      <c r="A126" t="s">
        <v>73</v>
      </c>
      <c r="B126" t="s">
        <v>57</v>
      </c>
      <c r="C126" t="s">
        <v>38</v>
      </c>
      <c r="D126">
        <v>2021</v>
      </c>
      <c r="E126">
        <v>5.7952659026178077</v>
      </c>
      <c r="F126">
        <v>6.5701884772546428</v>
      </c>
      <c r="G126">
        <f t="shared" si="1"/>
        <v>0.77492257463683512</v>
      </c>
      <c r="H126">
        <v>3.231172514807625E-3</v>
      </c>
    </row>
    <row r="127" spans="1:8" x14ac:dyDescent="0.35">
      <c r="A127" t="s">
        <v>73</v>
      </c>
      <c r="B127" t="s">
        <v>59</v>
      </c>
      <c r="C127" t="s">
        <v>38</v>
      </c>
      <c r="D127">
        <v>2021</v>
      </c>
      <c r="E127">
        <v>6.5425794292067074</v>
      </c>
      <c r="F127">
        <v>6.5701884772546428</v>
      </c>
      <c r="G127">
        <f t="shared" si="1"/>
        <v>2.7609048047935403E-2</v>
      </c>
      <c r="H127">
        <v>3.231172514807625E-3</v>
      </c>
    </row>
    <row r="128" spans="1:8" x14ac:dyDescent="0.35">
      <c r="A128" t="s">
        <v>73</v>
      </c>
      <c r="B128" t="s">
        <v>58</v>
      </c>
      <c r="C128" t="s">
        <v>40</v>
      </c>
      <c r="D128">
        <v>2021</v>
      </c>
      <c r="E128">
        <v>7.4011344913377686</v>
      </c>
      <c r="F128">
        <v>6.5701884772546428</v>
      </c>
      <c r="G128">
        <f t="shared" si="1"/>
        <v>-0.83094601408312574</v>
      </c>
      <c r="H128">
        <v>3.231172514807625E-3</v>
      </c>
    </row>
    <row r="129" spans="1:8" x14ac:dyDescent="0.35">
      <c r="A129" t="s">
        <v>73</v>
      </c>
      <c r="B129" t="s">
        <v>60</v>
      </c>
      <c r="C129" t="s">
        <v>40</v>
      </c>
      <c r="D129">
        <v>2021</v>
      </c>
      <c r="E129">
        <v>5.7147026734028614</v>
      </c>
      <c r="F129">
        <v>6.5701884772546428</v>
      </c>
      <c r="G129">
        <f t="shared" si="1"/>
        <v>0.85548580385178141</v>
      </c>
      <c r="H129">
        <v>3.231172514807625E-3</v>
      </c>
    </row>
    <row r="130" spans="1:8" x14ac:dyDescent="0.35">
      <c r="A130" t="s">
        <v>73</v>
      </c>
      <c r="B130" t="s">
        <v>59</v>
      </c>
      <c r="C130" t="s">
        <v>38</v>
      </c>
      <c r="D130">
        <v>2022</v>
      </c>
      <c r="E130">
        <v>3.7661475579403141</v>
      </c>
      <c r="F130">
        <v>2.761671160127166</v>
      </c>
      <c r="G130">
        <f t="shared" ref="G130:G193" si="2">IF(OR(F130="",E130=""),"",F130-E130)</f>
        <v>-1.0044763978131481</v>
      </c>
      <c r="H130">
        <v>3.2520324935252378E-3</v>
      </c>
    </row>
    <row r="131" spans="1:8" x14ac:dyDescent="0.35">
      <c r="A131" t="s">
        <v>73</v>
      </c>
      <c r="B131" t="s">
        <v>61</v>
      </c>
      <c r="C131" t="s">
        <v>38</v>
      </c>
      <c r="D131">
        <v>2022</v>
      </c>
      <c r="E131">
        <v>2.6294584401195249</v>
      </c>
      <c r="F131">
        <v>2.761671160127166</v>
      </c>
      <c r="G131">
        <f t="shared" si="2"/>
        <v>0.13221272000764106</v>
      </c>
      <c r="H131">
        <v>3.2520324935252378E-3</v>
      </c>
    </row>
    <row r="132" spans="1:8" x14ac:dyDescent="0.35">
      <c r="A132" t="s">
        <v>73</v>
      </c>
      <c r="B132" t="s">
        <v>60</v>
      </c>
      <c r="C132" t="s">
        <v>40</v>
      </c>
      <c r="D132">
        <v>2022</v>
      </c>
      <c r="E132">
        <v>4.2114770737248453</v>
      </c>
      <c r="F132">
        <v>2.761671160127166</v>
      </c>
      <c r="G132">
        <f t="shared" si="2"/>
        <v>-1.4498059135976793</v>
      </c>
      <c r="H132">
        <v>3.2520324935252378E-3</v>
      </c>
    </row>
    <row r="133" spans="1:8" x14ac:dyDescent="0.35">
      <c r="A133" t="s">
        <v>73</v>
      </c>
      <c r="B133" t="s">
        <v>62</v>
      </c>
      <c r="C133" t="s">
        <v>40</v>
      </c>
      <c r="D133">
        <v>2022</v>
      </c>
      <c r="E133">
        <v>3.0989524183168582</v>
      </c>
      <c r="F133">
        <v>2.761671160127166</v>
      </c>
      <c r="G133">
        <f t="shared" si="2"/>
        <v>-0.33728125818969223</v>
      </c>
      <c r="H133">
        <v>3.2520324935252378E-3</v>
      </c>
    </row>
    <row r="134" spans="1:8" x14ac:dyDescent="0.35">
      <c r="A134" t="s">
        <v>73</v>
      </c>
      <c r="B134" t="s">
        <v>61</v>
      </c>
      <c r="C134" t="s">
        <v>38</v>
      </c>
      <c r="D134">
        <v>2023</v>
      </c>
      <c r="E134">
        <v>0.43950651458626311</v>
      </c>
      <c r="F134">
        <v>1.8022470831755071</v>
      </c>
      <c r="G134">
        <f t="shared" si="2"/>
        <v>1.362740568589244</v>
      </c>
      <c r="H134">
        <v>2.5946260117071041E-3</v>
      </c>
    </row>
    <row r="135" spans="1:8" x14ac:dyDescent="0.35">
      <c r="A135" t="s">
        <v>73</v>
      </c>
      <c r="B135" t="s">
        <v>63</v>
      </c>
      <c r="C135" t="s">
        <v>38</v>
      </c>
      <c r="D135">
        <v>2023</v>
      </c>
      <c r="E135">
        <v>1.0022762950343991</v>
      </c>
      <c r="F135">
        <v>1.8022470831755071</v>
      </c>
      <c r="G135">
        <f t="shared" si="2"/>
        <v>0.799970788141108</v>
      </c>
      <c r="H135">
        <v>2.5946260117071041E-3</v>
      </c>
    </row>
    <row r="136" spans="1:8" x14ac:dyDescent="0.35">
      <c r="A136" t="s">
        <v>73</v>
      </c>
      <c r="B136" t="s">
        <v>62</v>
      </c>
      <c r="C136" t="s">
        <v>40</v>
      </c>
      <c r="D136">
        <v>2023</v>
      </c>
      <c r="E136">
        <v>1.7691091240616961</v>
      </c>
      <c r="F136">
        <v>1.8022470831755071</v>
      </c>
      <c r="G136">
        <f t="shared" si="2"/>
        <v>3.3137959113811011E-2</v>
      </c>
      <c r="H136">
        <v>2.5946260117071041E-3</v>
      </c>
    </row>
    <row r="137" spans="1:8" x14ac:dyDescent="0.35">
      <c r="A137" t="s">
        <v>73</v>
      </c>
      <c r="B137" t="s">
        <v>64</v>
      </c>
      <c r="C137" t="s">
        <v>40</v>
      </c>
      <c r="D137">
        <v>2023</v>
      </c>
      <c r="E137">
        <v>0.72426026364131868</v>
      </c>
      <c r="F137">
        <v>1.8022470831755071</v>
      </c>
      <c r="G137">
        <f t="shared" si="2"/>
        <v>1.0779868195341884</v>
      </c>
      <c r="H137">
        <v>2.5946260117071041E-3</v>
      </c>
    </row>
    <row r="138" spans="1:8" x14ac:dyDescent="0.35">
      <c r="A138" t="s">
        <v>73</v>
      </c>
      <c r="B138" t="s">
        <v>63</v>
      </c>
      <c r="C138" t="s">
        <v>38</v>
      </c>
      <c r="D138">
        <v>2024</v>
      </c>
      <c r="E138">
        <v>1.2470954330068731</v>
      </c>
      <c r="F138">
        <v>1.4144828845553741</v>
      </c>
      <c r="G138">
        <f t="shared" si="2"/>
        <v>0.16738745154850099</v>
      </c>
      <c r="H138">
        <v>2.7698144991347719E-3</v>
      </c>
    </row>
    <row r="139" spans="1:8" x14ac:dyDescent="0.35">
      <c r="A139" t="s">
        <v>73</v>
      </c>
      <c r="B139" t="s">
        <v>65</v>
      </c>
      <c r="C139" t="s">
        <v>38</v>
      </c>
      <c r="D139">
        <v>2024</v>
      </c>
      <c r="E139">
        <v>1.13903040986485</v>
      </c>
      <c r="F139">
        <v>1.4144828845553741</v>
      </c>
      <c r="G139">
        <f t="shared" si="2"/>
        <v>0.27545247469052403</v>
      </c>
      <c r="H139">
        <v>2.7698144991347719E-3</v>
      </c>
    </row>
    <row r="140" spans="1:8" x14ac:dyDescent="0.35">
      <c r="A140" t="s">
        <v>73</v>
      </c>
      <c r="B140" t="s">
        <v>64</v>
      </c>
      <c r="C140" t="s">
        <v>40</v>
      </c>
      <c r="D140">
        <v>2024</v>
      </c>
      <c r="E140">
        <v>1.41860461240253</v>
      </c>
      <c r="F140">
        <v>1.4144828845553741</v>
      </c>
      <c r="G140">
        <f t="shared" si="2"/>
        <v>-4.1217278471559204E-3</v>
      </c>
      <c r="H140">
        <v>2.7698144991347719E-3</v>
      </c>
    </row>
    <row r="141" spans="1:8" x14ac:dyDescent="0.35">
      <c r="A141" t="s">
        <v>73</v>
      </c>
      <c r="B141" t="s">
        <v>66</v>
      </c>
      <c r="C141" t="s">
        <v>40</v>
      </c>
      <c r="D141">
        <v>2024</v>
      </c>
      <c r="E141">
        <v>0.72851910514837304</v>
      </c>
      <c r="F141">
        <v>1.4144828845553741</v>
      </c>
      <c r="G141">
        <f t="shared" si="2"/>
        <v>0.68596377940700104</v>
      </c>
      <c r="H141">
        <v>2.7698144991347719E-3</v>
      </c>
    </row>
    <row r="142" spans="1:8" x14ac:dyDescent="0.35">
      <c r="A142" t="s">
        <v>73</v>
      </c>
      <c r="B142" t="s">
        <v>65</v>
      </c>
      <c r="C142" t="s">
        <v>38</v>
      </c>
      <c r="D142">
        <v>2025</v>
      </c>
      <c r="E142">
        <v>0.82258828244963222</v>
      </c>
      <c r="F142">
        <v>0.88561946045636819</v>
      </c>
      <c r="G142">
        <f t="shared" si="2"/>
        <v>6.3031178006735966E-2</v>
      </c>
      <c r="H142">
        <v>2.7698144991347719E-3</v>
      </c>
    </row>
    <row r="143" spans="1:8" x14ac:dyDescent="0.35">
      <c r="A143" t="s">
        <v>73</v>
      </c>
      <c r="B143" t="s">
        <v>71</v>
      </c>
      <c r="C143" t="s">
        <v>38</v>
      </c>
      <c r="D143">
        <v>2025</v>
      </c>
      <c r="E143">
        <v>0.69714532745484004</v>
      </c>
      <c r="F143">
        <v>0.88561946045636819</v>
      </c>
      <c r="G143">
        <f t="shared" si="2"/>
        <v>0.18847413300152815</v>
      </c>
      <c r="H143">
        <v>2.7698144991347719E-3</v>
      </c>
    </row>
    <row r="144" spans="1:8" x14ac:dyDescent="0.35">
      <c r="A144" t="s">
        <v>73</v>
      </c>
      <c r="B144" t="s">
        <v>66</v>
      </c>
      <c r="C144" t="s">
        <v>40</v>
      </c>
      <c r="D144">
        <v>2025</v>
      </c>
      <c r="E144">
        <v>1.2594069979400271</v>
      </c>
      <c r="F144">
        <v>0.88561946045636819</v>
      </c>
      <c r="G144">
        <f t="shared" si="2"/>
        <v>-0.37378753748365889</v>
      </c>
      <c r="H144">
        <v>2.7698144991347719E-3</v>
      </c>
    </row>
    <row r="145" spans="1:8" x14ac:dyDescent="0.35">
      <c r="A145" t="s">
        <v>73</v>
      </c>
      <c r="B145" t="s">
        <v>72</v>
      </c>
      <c r="C145" t="s">
        <v>40</v>
      </c>
      <c r="D145">
        <v>2025</v>
      </c>
      <c r="E145">
        <v>0.57266269658549085</v>
      </c>
      <c r="F145">
        <v>0.88561946045636819</v>
      </c>
      <c r="G145">
        <f t="shared" si="2"/>
        <v>0.31295676387087734</v>
      </c>
      <c r="H145">
        <v>2.7698144991347719E-3</v>
      </c>
    </row>
    <row r="146" spans="1:8" x14ac:dyDescent="0.35">
      <c r="A146" t="s">
        <v>74</v>
      </c>
      <c r="B146" t="s">
        <v>55</v>
      </c>
      <c r="C146" t="s">
        <v>38</v>
      </c>
      <c r="D146">
        <v>2020</v>
      </c>
      <c r="E146">
        <v>3.528571869780794</v>
      </c>
      <c r="F146">
        <v>6.9863814303713827</v>
      </c>
      <c r="G146">
        <f t="shared" si="2"/>
        <v>3.4578095605905887</v>
      </c>
      <c r="H146">
        <v>9.2278925085046721E-3</v>
      </c>
    </row>
    <row r="147" spans="1:8" x14ac:dyDescent="0.35">
      <c r="A147" t="s">
        <v>74</v>
      </c>
      <c r="B147" t="s">
        <v>57</v>
      </c>
      <c r="C147" t="s">
        <v>38</v>
      </c>
      <c r="D147">
        <v>2020</v>
      </c>
      <c r="E147">
        <v>-2.3373996171914708</v>
      </c>
      <c r="F147">
        <v>6.9863814303713827</v>
      </c>
      <c r="G147">
        <f t="shared" si="2"/>
        <v>9.3237810475628535</v>
      </c>
      <c r="H147">
        <v>9.2278925085046721E-3</v>
      </c>
    </row>
    <row r="148" spans="1:8" x14ac:dyDescent="0.35">
      <c r="A148" t="s">
        <v>74</v>
      </c>
      <c r="B148" t="s">
        <v>56</v>
      </c>
      <c r="C148" t="s">
        <v>40</v>
      </c>
      <c r="D148">
        <v>2020</v>
      </c>
      <c r="E148">
        <v>3.3676156234285992</v>
      </c>
      <c r="F148">
        <v>6.9863814303713827</v>
      </c>
      <c r="G148">
        <f t="shared" si="2"/>
        <v>3.6187658069427835</v>
      </c>
      <c r="H148">
        <v>9.2278925085046721E-3</v>
      </c>
    </row>
    <row r="149" spans="1:8" x14ac:dyDescent="0.35">
      <c r="A149" t="s">
        <v>74</v>
      </c>
      <c r="B149" t="s">
        <v>58</v>
      </c>
      <c r="C149" t="s">
        <v>40</v>
      </c>
      <c r="D149">
        <v>2020</v>
      </c>
      <c r="E149">
        <v>-7.9470480138547073</v>
      </c>
      <c r="F149">
        <v>6.9863814303713827</v>
      </c>
      <c r="G149">
        <f t="shared" si="2"/>
        <v>14.933429444226089</v>
      </c>
      <c r="H149">
        <v>9.2278925085046721E-3</v>
      </c>
    </row>
    <row r="150" spans="1:8" x14ac:dyDescent="0.35">
      <c r="A150" t="s">
        <v>74</v>
      </c>
      <c r="B150" t="s">
        <v>57</v>
      </c>
      <c r="C150" t="s">
        <v>38</v>
      </c>
      <c r="D150">
        <v>2021</v>
      </c>
      <c r="E150">
        <v>2.947813244873676</v>
      </c>
      <c r="F150">
        <v>15.1246997065809</v>
      </c>
      <c r="G150">
        <f t="shared" si="2"/>
        <v>12.176886461707223</v>
      </c>
      <c r="H150">
        <v>7.4467517837094243E-3</v>
      </c>
    </row>
    <row r="151" spans="1:8" x14ac:dyDescent="0.35">
      <c r="A151" t="s">
        <v>74</v>
      </c>
      <c r="B151" t="s">
        <v>59</v>
      </c>
      <c r="C151" t="s">
        <v>38</v>
      </c>
      <c r="D151">
        <v>2021</v>
      </c>
      <c r="E151">
        <v>14.562981111404421</v>
      </c>
      <c r="F151">
        <v>15.1246997065809</v>
      </c>
      <c r="G151">
        <f t="shared" si="2"/>
        <v>0.5617185951764796</v>
      </c>
      <c r="H151">
        <v>7.4467517837094243E-3</v>
      </c>
    </row>
    <row r="152" spans="1:8" x14ac:dyDescent="0.35">
      <c r="A152" t="s">
        <v>74</v>
      </c>
      <c r="B152" t="s">
        <v>58</v>
      </c>
      <c r="C152" t="s">
        <v>40</v>
      </c>
      <c r="D152">
        <v>2021</v>
      </c>
      <c r="E152">
        <v>6.0844415228506374</v>
      </c>
      <c r="F152">
        <v>15.1246997065809</v>
      </c>
      <c r="G152">
        <f t="shared" si="2"/>
        <v>9.0402581837302627</v>
      </c>
      <c r="H152">
        <v>7.4467517837094243E-3</v>
      </c>
    </row>
    <row r="153" spans="1:8" x14ac:dyDescent="0.35">
      <c r="A153" t="s">
        <v>74</v>
      </c>
      <c r="B153" t="s">
        <v>60</v>
      </c>
      <c r="C153" t="s">
        <v>40</v>
      </c>
      <c r="D153">
        <v>2021</v>
      </c>
      <c r="E153">
        <v>4.5993257541988797</v>
      </c>
      <c r="F153">
        <v>15.1246997065809</v>
      </c>
      <c r="G153">
        <f t="shared" si="2"/>
        <v>10.52537395238202</v>
      </c>
      <c r="H153">
        <v>7.4467517837094243E-3</v>
      </c>
    </row>
    <row r="154" spans="1:8" x14ac:dyDescent="0.35">
      <c r="A154" t="s">
        <v>74</v>
      </c>
      <c r="B154" t="s">
        <v>59</v>
      </c>
      <c r="C154" t="s">
        <v>38</v>
      </c>
      <c r="D154">
        <v>2022</v>
      </c>
      <c r="E154">
        <v>5.0918722980731523</v>
      </c>
      <c r="F154">
        <v>7.9894443369245964</v>
      </c>
      <c r="G154">
        <f t="shared" si="2"/>
        <v>2.8975720388514441</v>
      </c>
      <c r="H154">
        <v>7.2438945945355968E-3</v>
      </c>
    </row>
    <row r="155" spans="1:8" x14ac:dyDescent="0.35">
      <c r="A155" t="s">
        <v>74</v>
      </c>
      <c r="B155" t="s">
        <v>61</v>
      </c>
      <c r="C155" t="s">
        <v>38</v>
      </c>
      <c r="D155">
        <v>2022</v>
      </c>
      <c r="E155">
        <v>7.8710837662645083</v>
      </c>
      <c r="F155">
        <v>7.9894443369245964</v>
      </c>
      <c r="G155">
        <f t="shared" si="2"/>
        <v>0.11836057066008809</v>
      </c>
      <c r="H155">
        <v>7.2438945945355968E-3</v>
      </c>
    </row>
    <row r="156" spans="1:8" x14ac:dyDescent="0.35">
      <c r="A156" t="s">
        <v>74</v>
      </c>
      <c r="B156" t="s">
        <v>60</v>
      </c>
      <c r="C156" t="s">
        <v>40</v>
      </c>
      <c r="D156">
        <v>2022</v>
      </c>
      <c r="E156">
        <v>4.9759868399277041</v>
      </c>
      <c r="F156">
        <v>7.9894443369245964</v>
      </c>
      <c r="G156">
        <f t="shared" si="2"/>
        <v>3.0134574969968924</v>
      </c>
      <c r="H156">
        <v>7.2438945945355968E-3</v>
      </c>
    </row>
    <row r="157" spans="1:8" x14ac:dyDescent="0.35">
      <c r="A157" t="s">
        <v>74</v>
      </c>
      <c r="B157" t="s">
        <v>62</v>
      </c>
      <c r="C157" t="s">
        <v>40</v>
      </c>
      <c r="D157">
        <v>2022</v>
      </c>
      <c r="E157">
        <v>5.3816861962496354</v>
      </c>
      <c r="F157">
        <v>7.9894443369245964</v>
      </c>
      <c r="G157">
        <f t="shared" si="2"/>
        <v>2.607758140674961</v>
      </c>
      <c r="H157">
        <v>7.2438945945355968E-3</v>
      </c>
    </row>
    <row r="158" spans="1:8" x14ac:dyDescent="0.35">
      <c r="A158" t="s">
        <v>74</v>
      </c>
      <c r="B158" t="s">
        <v>61</v>
      </c>
      <c r="C158" t="s">
        <v>38</v>
      </c>
      <c r="D158">
        <v>2023</v>
      </c>
      <c r="E158">
        <v>3.172255506856847</v>
      </c>
      <c r="F158">
        <v>-3.5205103013764418</v>
      </c>
      <c r="G158">
        <f t="shared" si="2"/>
        <v>-6.6927658082332888</v>
      </c>
      <c r="H158">
        <v>7.0481552886537402E-3</v>
      </c>
    </row>
    <row r="159" spans="1:8" x14ac:dyDescent="0.35">
      <c r="A159" t="s">
        <v>74</v>
      </c>
      <c r="B159" t="s">
        <v>63</v>
      </c>
      <c r="C159" t="s">
        <v>38</v>
      </c>
      <c r="D159">
        <v>2023</v>
      </c>
      <c r="E159">
        <v>-0.93495600507882415</v>
      </c>
      <c r="F159">
        <v>-3.5205103013764418</v>
      </c>
      <c r="G159">
        <f t="shared" si="2"/>
        <v>-2.5855542962976177</v>
      </c>
      <c r="H159">
        <v>7.0481552886537402E-3</v>
      </c>
    </row>
    <row r="160" spans="1:8" x14ac:dyDescent="0.35">
      <c r="A160" t="s">
        <v>74</v>
      </c>
      <c r="B160" t="s">
        <v>62</v>
      </c>
      <c r="C160" t="s">
        <v>40</v>
      </c>
      <c r="D160">
        <v>2023</v>
      </c>
      <c r="E160">
        <v>4.4348314017168322</v>
      </c>
      <c r="F160">
        <v>-3.5205103013764418</v>
      </c>
      <c r="G160">
        <f t="shared" si="2"/>
        <v>-7.955341703093274</v>
      </c>
      <c r="H160">
        <v>7.0481552886537402E-3</v>
      </c>
    </row>
    <row r="161" spans="1:8" x14ac:dyDescent="0.35">
      <c r="A161" t="s">
        <v>74</v>
      </c>
      <c r="B161" t="s">
        <v>64</v>
      </c>
      <c r="C161" t="s">
        <v>40</v>
      </c>
      <c r="D161">
        <v>2023</v>
      </c>
      <c r="E161">
        <v>5.5170730455133654</v>
      </c>
      <c r="F161">
        <v>-3.5205103013764418</v>
      </c>
      <c r="G161">
        <f t="shared" si="2"/>
        <v>-9.0375833468898072</v>
      </c>
      <c r="H161">
        <v>7.0481552886537402E-3</v>
      </c>
    </row>
    <row r="162" spans="1:8" x14ac:dyDescent="0.35">
      <c r="A162" t="s">
        <v>74</v>
      </c>
      <c r="B162" t="s">
        <v>63</v>
      </c>
      <c r="C162" t="s">
        <v>38</v>
      </c>
      <c r="D162">
        <v>2024</v>
      </c>
      <c r="E162">
        <v>3.0440640134462789</v>
      </c>
      <c r="F162">
        <v>3.6203795629134459</v>
      </c>
      <c r="G162">
        <f t="shared" si="2"/>
        <v>0.57631554946716701</v>
      </c>
      <c r="H162">
        <v>8.9861308352750593E-3</v>
      </c>
    </row>
    <row r="163" spans="1:8" x14ac:dyDescent="0.35">
      <c r="A163" t="s">
        <v>74</v>
      </c>
      <c r="B163" t="s">
        <v>65</v>
      </c>
      <c r="C163" t="s">
        <v>38</v>
      </c>
      <c r="D163">
        <v>2024</v>
      </c>
      <c r="E163">
        <v>-0.54062635287741578</v>
      </c>
      <c r="F163">
        <v>3.6203795629134459</v>
      </c>
      <c r="G163">
        <f t="shared" si="2"/>
        <v>4.1610059157908612</v>
      </c>
      <c r="H163">
        <v>8.9861308352750593E-3</v>
      </c>
    </row>
    <row r="164" spans="1:8" x14ac:dyDescent="0.35">
      <c r="A164" t="s">
        <v>74</v>
      </c>
      <c r="B164" t="s">
        <v>64</v>
      </c>
      <c r="C164" t="s">
        <v>40</v>
      </c>
      <c r="D164">
        <v>2024</v>
      </c>
      <c r="E164">
        <v>4.9679452562146009</v>
      </c>
      <c r="F164">
        <v>3.6203795629134459</v>
      </c>
      <c r="G164">
        <f t="shared" si="2"/>
        <v>-1.3475656933011551</v>
      </c>
      <c r="H164">
        <v>8.9861308352750593E-3</v>
      </c>
    </row>
    <row r="165" spans="1:8" x14ac:dyDescent="0.35">
      <c r="A165" t="s">
        <v>74</v>
      </c>
      <c r="B165" t="s">
        <v>66</v>
      </c>
      <c r="C165" t="s">
        <v>40</v>
      </c>
      <c r="D165">
        <v>2024</v>
      </c>
      <c r="E165">
        <v>1.2437124663212009</v>
      </c>
      <c r="F165">
        <v>3.6203795629134459</v>
      </c>
      <c r="G165">
        <f t="shared" si="2"/>
        <v>2.3766670965922447</v>
      </c>
      <c r="H165">
        <v>8.9861308352750593E-3</v>
      </c>
    </row>
    <row r="166" spans="1:8" x14ac:dyDescent="0.35">
      <c r="A166" t="s">
        <v>74</v>
      </c>
      <c r="B166" t="s">
        <v>65</v>
      </c>
      <c r="C166" t="s">
        <v>38</v>
      </c>
      <c r="D166">
        <v>2025</v>
      </c>
      <c r="E166">
        <v>4.023669914633099</v>
      </c>
      <c r="F166">
        <v>7.7791754385506806</v>
      </c>
      <c r="G166">
        <f t="shared" si="2"/>
        <v>3.7555055239175816</v>
      </c>
      <c r="H166">
        <v>8.9861308352750593E-3</v>
      </c>
    </row>
    <row r="167" spans="1:8" x14ac:dyDescent="0.35">
      <c r="A167" t="s">
        <v>74</v>
      </c>
      <c r="B167" t="s">
        <v>71</v>
      </c>
      <c r="C167" t="s">
        <v>38</v>
      </c>
      <c r="D167">
        <v>2025</v>
      </c>
      <c r="E167">
        <v>10.65081995793598</v>
      </c>
      <c r="F167">
        <v>7.7791754385506806</v>
      </c>
      <c r="G167">
        <f t="shared" si="2"/>
        <v>-2.8716445193852991</v>
      </c>
      <c r="H167">
        <v>8.9861308352750593E-3</v>
      </c>
    </row>
    <row r="168" spans="1:8" x14ac:dyDescent="0.35">
      <c r="A168" t="s">
        <v>74</v>
      </c>
      <c r="B168" t="s">
        <v>66</v>
      </c>
      <c r="C168" t="s">
        <v>40</v>
      </c>
      <c r="D168">
        <v>2025</v>
      </c>
      <c r="E168">
        <v>3.5927766013469591</v>
      </c>
      <c r="F168">
        <v>7.7791754385506806</v>
      </c>
      <c r="G168">
        <f t="shared" si="2"/>
        <v>4.186398837203722</v>
      </c>
      <c r="H168">
        <v>8.9861308352750593E-3</v>
      </c>
    </row>
    <row r="169" spans="1:8" x14ac:dyDescent="0.35">
      <c r="A169" t="s">
        <v>74</v>
      </c>
      <c r="B169" t="s">
        <v>72</v>
      </c>
      <c r="C169" t="s">
        <v>40</v>
      </c>
      <c r="D169">
        <v>2025</v>
      </c>
      <c r="E169">
        <v>3.377198218825495</v>
      </c>
      <c r="F169">
        <v>7.7791754385506806</v>
      </c>
      <c r="G169">
        <f t="shared" si="2"/>
        <v>4.4019772197251861</v>
      </c>
      <c r="H169">
        <v>8.9861308352750593E-3</v>
      </c>
    </row>
    <row r="170" spans="1:8" x14ac:dyDescent="0.35">
      <c r="A170" t="s">
        <v>75</v>
      </c>
      <c r="B170" t="s">
        <v>55</v>
      </c>
      <c r="C170" t="s">
        <v>38</v>
      </c>
      <c r="D170">
        <v>2020</v>
      </c>
      <c r="E170">
        <v>0.43236292909316631</v>
      </c>
      <c r="F170">
        <v>-9.3783767522421471</v>
      </c>
      <c r="G170">
        <f t="shared" si="2"/>
        <v>-9.8107396813353134</v>
      </c>
      <c r="H170">
        <v>1.62386443036395E-3</v>
      </c>
    </row>
    <row r="171" spans="1:8" x14ac:dyDescent="0.35">
      <c r="A171" t="s">
        <v>75</v>
      </c>
      <c r="B171" t="s">
        <v>57</v>
      </c>
      <c r="C171" t="s">
        <v>38</v>
      </c>
      <c r="D171">
        <v>2020</v>
      </c>
      <c r="E171">
        <v>-9.8515454699187543</v>
      </c>
      <c r="F171">
        <v>-9.3783767522421471</v>
      </c>
      <c r="G171">
        <f t="shared" si="2"/>
        <v>0.47316871767660729</v>
      </c>
      <c r="H171">
        <v>1.62386443036395E-3</v>
      </c>
    </row>
    <row r="172" spans="1:8" x14ac:dyDescent="0.35">
      <c r="A172" t="s">
        <v>75</v>
      </c>
      <c r="B172" t="s">
        <v>56</v>
      </c>
      <c r="C172" t="s">
        <v>40</v>
      </c>
      <c r="D172">
        <v>2020</v>
      </c>
      <c r="E172">
        <v>0.71178912334750599</v>
      </c>
      <c r="F172">
        <v>-9.3783767522421471</v>
      </c>
      <c r="G172">
        <f t="shared" si="2"/>
        <v>-10.090165875589653</v>
      </c>
      <c r="H172">
        <v>1.62386443036395E-3</v>
      </c>
    </row>
    <row r="173" spans="1:8" x14ac:dyDescent="0.35">
      <c r="A173" t="s">
        <v>75</v>
      </c>
      <c r="B173" t="s">
        <v>58</v>
      </c>
      <c r="C173" t="s">
        <v>40</v>
      </c>
      <c r="D173">
        <v>2020</v>
      </c>
      <c r="E173">
        <v>-9.517990850094149</v>
      </c>
      <c r="F173">
        <v>-9.3783767522421471</v>
      </c>
      <c r="G173">
        <f t="shared" si="2"/>
        <v>0.13961409785200196</v>
      </c>
      <c r="H173">
        <v>1.62386443036395E-3</v>
      </c>
    </row>
    <row r="174" spans="1:8" x14ac:dyDescent="0.35">
      <c r="A174" t="s">
        <v>75</v>
      </c>
      <c r="B174" t="s">
        <v>57</v>
      </c>
      <c r="C174" t="s">
        <v>38</v>
      </c>
      <c r="D174">
        <v>2021</v>
      </c>
      <c r="E174">
        <v>4.051033813756133</v>
      </c>
      <c r="F174">
        <v>8.4370671759064813</v>
      </c>
      <c r="G174">
        <f t="shared" si="2"/>
        <v>4.3860333621503482</v>
      </c>
      <c r="H174">
        <v>1.3550145653097681E-3</v>
      </c>
    </row>
    <row r="175" spans="1:8" x14ac:dyDescent="0.35">
      <c r="A175" t="s">
        <v>75</v>
      </c>
      <c r="B175" t="s">
        <v>59</v>
      </c>
      <c r="C175" t="s">
        <v>38</v>
      </c>
      <c r="D175">
        <v>2021</v>
      </c>
      <c r="E175">
        <v>6.2292733128945343</v>
      </c>
      <c r="F175">
        <v>8.4370671759064813</v>
      </c>
      <c r="G175">
        <f t="shared" si="2"/>
        <v>2.2077938630119469</v>
      </c>
      <c r="H175">
        <v>1.3550145653097681E-3</v>
      </c>
    </row>
    <row r="176" spans="1:8" x14ac:dyDescent="0.35">
      <c r="A176" t="s">
        <v>75</v>
      </c>
      <c r="B176" t="s">
        <v>58</v>
      </c>
      <c r="C176" t="s">
        <v>40</v>
      </c>
      <c r="D176">
        <v>2021</v>
      </c>
      <c r="E176">
        <v>6.5496569028856699</v>
      </c>
      <c r="F176">
        <v>8.4370671759064813</v>
      </c>
      <c r="G176">
        <f t="shared" si="2"/>
        <v>1.8874102730208113</v>
      </c>
      <c r="H176">
        <v>1.3550145653097681E-3</v>
      </c>
    </row>
    <row r="177" spans="1:8" x14ac:dyDescent="0.35">
      <c r="A177" t="s">
        <v>75</v>
      </c>
      <c r="B177" t="s">
        <v>60</v>
      </c>
      <c r="C177" t="s">
        <v>40</v>
      </c>
      <c r="D177">
        <v>2021</v>
      </c>
      <c r="E177">
        <v>4.2068723885489323</v>
      </c>
      <c r="F177">
        <v>8.4370671759064813</v>
      </c>
      <c r="G177">
        <f t="shared" si="2"/>
        <v>4.2301947873575489</v>
      </c>
      <c r="H177">
        <v>1.3550145653097681E-3</v>
      </c>
    </row>
    <row r="178" spans="1:8" x14ac:dyDescent="0.35">
      <c r="A178" t="s">
        <v>75</v>
      </c>
      <c r="B178" t="s">
        <v>59</v>
      </c>
      <c r="C178" t="s">
        <v>38</v>
      </c>
      <c r="D178">
        <v>2022</v>
      </c>
      <c r="E178">
        <v>4.2689191687874661</v>
      </c>
      <c r="F178">
        <v>4.8546134866977511</v>
      </c>
      <c r="G178">
        <f t="shared" si="2"/>
        <v>0.58569431791028492</v>
      </c>
      <c r="H178">
        <v>1.312969725716661E-3</v>
      </c>
    </row>
    <row r="179" spans="1:8" x14ac:dyDescent="0.35">
      <c r="A179" t="s">
        <v>75</v>
      </c>
      <c r="B179" t="s">
        <v>61</v>
      </c>
      <c r="C179" t="s">
        <v>38</v>
      </c>
      <c r="D179">
        <v>2022</v>
      </c>
      <c r="E179">
        <v>3.8268920279536989</v>
      </c>
      <c r="F179">
        <v>4.8546134866977511</v>
      </c>
      <c r="G179">
        <f t="shared" si="2"/>
        <v>1.0277214587440522</v>
      </c>
      <c r="H179">
        <v>1.312969725716661E-3</v>
      </c>
    </row>
    <row r="180" spans="1:8" x14ac:dyDescent="0.35">
      <c r="A180" t="s">
        <v>75</v>
      </c>
      <c r="B180" t="s">
        <v>60</v>
      </c>
      <c r="C180" t="s">
        <v>40</v>
      </c>
      <c r="D180">
        <v>2022</v>
      </c>
      <c r="E180">
        <v>4.3934586282645904</v>
      </c>
      <c r="F180">
        <v>4.8546134866977511</v>
      </c>
      <c r="G180">
        <f t="shared" si="2"/>
        <v>0.46115485843316062</v>
      </c>
      <c r="H180">
        <v>1.312969725716661E-3</v>
      </c>
    </row>
    <row r="181" spans="1:8" x14ac:dyDescent="0.35">
      <c r="A181" t="s">
        <v>75</v>
      </c>
      <c r="B181" t="s">
        <v>62</v>
      </c>
      <c r="C181" t="s">
        <v>40</v>
      </c>
      <c r="D181">
        <v>2022</v>
      </c>
      <c r="E181">
        <v>2.4256542804822261</v>
      </c>
      <c r="F181">
        <v>4.8546134866977511</v>
      </c>
      <c r="G181">
        <f t="shared" si="2"/>
        <v>2.428959206215525</v>
      </c>
      <c r="H181">
        <v>1.312969725716661E-3</v>
      </c>
    </row>
    <row r="182" spans="1:8" x14ac:dyDescent="0.35">
      <c r="A182" t="s">
        <v>75</v>
      </c>
      <c r="B182" t="s">
        <v>61</v>
      </c>
      <c r="C182" t="s">
        <v>38</v>
      </c>
      <c r="D182">
        <v>2023</v>
      </c>
      <c r="E182">
        <v>0.31473715860916851</v>
      </c>
      <c r="F182">
        <v>1.014274087639002</v>
      </c>
      <c r="G182">
        <f t="shared" si="2"/>
        <v>0.69953692902983344</v>
      </c>
      <c r="H182">
        <v>1.28816868967217E-3</v>
      </c>
    </row>
    <row r="183" spans="1:8" x14ac:dyDescent="0.35">
      <c r="A183" t="s">
        <v>75</v>
      </c>
      <c r="B183" t="s">
        <v>63</v>
      </c>
      <c r="C183" t="s">
        <v>38</v>
      </c>
      <c r="D183">
        <v>2023</v>
      </c>
      <c r="E183">
        <v>0.69157318051265015</v>
      </c>
      <c r="F183">
        <v>1.014274087639002</v>
      </c>
      <c r="G183">
        <f t="shared" si="2"/>
        <v>0.3227009071263518</v>
      </c>
      <c r="H183">
        <v>1.28816868967217E-3</v>
      </c>
    </row>
    <row r="184" spans="1:8" x14ac:dyDescent="0.35">
      <c r="A184" t="s">
        <v>75</v>
      </c>
      <c r="B184" t="s">
        <v>62</v>
      </c>
      <c r="C184" t="s">
        <v>40</v>
      </c>
      <c r="D184">
        <v>2023</v>
      </c>
      <c r="E184">
        <v>1.851291422718337</v>
      </c>
      <c r="F184">
        <v>1.014274087639002</v>
      </c>
      <c r="G184">
        <f t="shared" si="2"/>
        <v>-0.83701733507933507</v>
      </c>
      <c r="H184">
        <v>1.28816868967217E-3</v>
      </c>
    </row>
    <row r="185" spans="1:8" x14ac:dyDescent="0.35">
      <c r="A185" t="s">
        <v>75</v>
      </c>
      <c r="B185" t="s">
        <v>64</v>
      </c>
      <c r="C185" t="s">
        <v>40</v>
      </c>
      <c r="D185">
        <v>2023</v>
      </c>
      <c r="E185">
        <v>1.206598132351089</v>
      </c>
      <c r="F185">
        <v>1.014274087639002</v>
      </c>
      <c r="G185">
        <f t="shared" si="2"/>
        <v>-0.19232404471208708</v>
      </c>
      <c r="H185">
        <v>1.28816868967217E-3</v>
      </c>
    </row>
    <row r="186" spans="1:8" x14ac:dyDescent="0.35">
      <c r="A186" t="s">
        <v>75</v>
      </c>
      <c r="B186" t="s">
        <v>63</v>
      </c>
      <c r="C186" t="s">
        <v>38</v>
      </c>
      <c r="D186">
        <v>2024</v>
      </c>
      <c r="E186">
        <v>0.85219564942633497</v>
      </c>
      <c r="F186">
        <v>0.58463257989526929</v>
      </c>
      <c r="G186">
        <f t="shared" si="2"/>
        <v>-0.26756306953106568</v>
      </c>
      <c r="H186">
        <v>1.194863073206081E-3</v>
      </c>
    </row>
    <row r="187" spans="1:8" x14ac:dyDescent="0.35">
      <c r="A187" t="s">
        <v>75</v>
      </c>
      <c r="B187" t="s">
        <v>65</v>
      </c>
      <c r="C187" t="s">
        <v>38</v>
      </c>
      <c r="D187">
        <v>2024</v>
      </c>
      <c r="E187">
        <v>0.66875073104093463</v>
      </c>
      <c r="F187">
        <v>0.58463257989526929</v>
      </c>
      <c r="G187">
        <f t="shared" si="2"/>
        <v>-8.4118151145665343E-2</v>
      </c>
      <c r="H187">
        <v>1.194863073206081E-3</v>
      </c>
    </row>
    <row r="188" spans="1:8" x14ac:dyDescent="0.35">
      <c r="A188" t="s">
        <v>75</v>
      </c>
      <c r="B188" t="s">
        <v>64</v>
      </c>
      <c r="C188" t="s">
        <v>40</v>
      </c>
      <c r="D188">
        <v>2024</v>
      </c>
      <c r="E188">
        <v>1.088219792885559</v>
      </c>
      <c r="F188">
        <v>0.58463257989526929</v>
      </c>
      <c r="G188">
        <f t="shared" si="2"/>
        <v>-0.50358721299028975</v>
      </c>
      <c r="H188">
        <v>1.194863073206081E-3</v>
      </c>
    </row>
    <row r="189" spans="1:8" x14ac:dyDescent="0.35">
      <c r="A189" t="s">
        <v>75</v>
      </c>
      <c r="B189" t="s">
        <v>66</v>
      </c>
      <c r="C189" t="s">
        <v>40</v>
      </c>
      <c r="D189">
        <v>2024</v>
      </c>
      <c r="E189">
        <v>0.93648338218597083</v>
      </c>
      <c r="F189">
        <v>0.58463257989526929</v>
      </c>
      <c r="G189">
        <f t="shared" si="2"/>
        <v>-0.35185080229070154</v>
      </c>
      <c r="H189">
        <v>1.194863073206081E-3</v>
      </c>
    </row>
    <row r="190" spans="1:8" x14ac:dyDescent="0.35">
      <c r="A190" t="s">
        <v>75</v>
      </c>
      <c r="B190" t="s">
        <v>65</v>
      </c>
      <c r="C190" t="s">
        <v>38</v>
      </c>
      <c r="D190">
        <v>2025</v>
      </c>
      <c r="E190">
        <v>1.0376492446310339</v>
      </c>
      <c r="F190">
        <v>0.66135842759176278</v>
      </c>
      <c r="G190">
        <f t="shared" si="2"/>
        <v>-0.37629081703927114</v>
      </c>
      <c r="H190">
        <v>1.194863073206081E-3</v>
      </c>
    </row>
    <row r="191" spans="1:8" x14ac:dyDescent="0.35">
      <c r="A191" t="s">
        <v>75</v>
      </c>
      <c r="B191" t="s">
        <v>71</v>
      </c>
      <c r="C191" t="s">
        <v>38</v>
      </c>
      <c r="D191">
        <v>2025</v>
      </c>
      <c r="E191">
        <v>0.35981622121454843</v>
      </c>
      <c r="F191">
        <v>0.66135842759176278</v>
      </c>
      <c r="G191">
        <f t="shared" si="2"/>
        <v>0.30154220637721435</v>
      </c>
      <c r="H191">
        <v>1.194863073206081E-3</v>
      </c>
    </row>
    <row r="192" spans="1:8" x14ac:dyDescent="0.35">
      <c r="A192" t="s">
        <v>75</v>
      </c>
      <c r="B192" t="s">
        <v>66</v>
      </c>
      <c r="C192" t="s">
        <v>40</v>
      </c>
      <c r="D192">
        <v>2025</v>
      </c>
      <c r="E192">
        <v>1.0979449050216421</v>
      </c>
      <c r="F192">
        <v>0.66135842759176278</v>
      </c>
      <c r="G192">
        <f t="shared" si="2"/>
        <v>-0.43658647742987933</v>
      </c>
      <c r="H192">
        <v>1.194863073206081E-3</v>
      </c>
    </row>
    <row r="193" spans="1:8" x14ac:dyDescent="0.35">
      <c r="A193" t="s">
        <v>75</v>
      </c>
      <c r="B193" t="s">
        <v>72</v>
      </c>
      <c r="C193" t="s">
        <v>40</v>
      </c>
      <c r="D193">
        <v>2025</v>
      </c>
      <c r="E193">
        <v>0.66447930597219873</v>
      </c>
      <c r="F193">
        <v>0.66135842759176278</v>
      </c>
      <c r="G193">
        <f t="shared" si="2"/>
        <v>-3.1208783804359541E-3</v>
      </c>
      <c r="H193">
        <v>1.194863073206081E-3</v>
      </c>
    </row>
    <row r="194" spans="1:8" x14ac:dyDescent="0.35">
      <c r="A194" t="s">
        <v>76</v>
      </c>
      <c r="B194" t="s">
        <v>55</v>
      </c>
      <c r="C194" t="s">
        <v>38</v>
      </c>
      <c r="D194">
        <v>2020</v>
      </c>
      <c r="E194">
        <v>1.2831214058191649</v>
      </c>
      <c r="F194">
        <v>-3.9039509434828492</v>
      </c>
      <c r="G194">
        <f t="shared" ref="G194:G241" si="3">IF(OR(F194="",E194=""),"",F194-E194)</f>
        <v>-5.1870723493020137</v>
      </c>
      <c r="H194">
        <v>4.2581579870975293E-2</v>
      </c>
    </row>
    <row r="195" spans="1:8" x14ac:dyDescent="0.35">
      <c r="A195" t="s">
        <v>76</v>
      </c>
      <c r="B195" t="s">
        <v>57</v>
      </c>
      <c r="C195" t="s">
        <v>38</v>
      </c>
      <c r="D195">
        <v>2020</v>
      </c>
      <c r="E195">
        <v>-5.3222217587985954</v>
      </c>
      <c r="F195">
        <v>-3.9039509434828492</v>
      </c>
      <c r="G195">
        <f t="shared" si="3"/>
        <v>1.4182708153157462</v>
      </c>
      <c r="H195">
        <v>4.2581579870975293E-2</v>
      </c>
    </row>
    <row r="196" spans="1:8" x14ac:dyDescent="0.35">
      <c r="A196" t="s">
        <v>76</v>
      </c>
      <c r="B196" t="s">
        <v>56</v>
      </c>
      <c r="C196" t="s">
        <v>40</v>
      </c>
      <c r="D196">
        <v>2020</v>
      </c>
      <c r="E196">
        <v>1.619436814413677</v>
      </c>
      <c r="F196">
        <v>-3.9039509434828492</v>
      </c>
      <c r="G196">
        <f t="shared" si="3"/>
        <v>-5.5233877578965265</v>
      </c>
      <c r="H196">
        <v>4.2581579870975293E-2</v>
      </c>
    </row>
    <row r="197" spans="1:8" x14ac:dyDescent="0.35">
      <c r="A197" t="s">
        <v>76</v>
      </c>
      <c r="B197" t="s">
        <v>58</v>
      </c>
      <c r="C197" t="s">
        <v>40</v>
      </c>
      <c r="D197">
        <v>2020</v>
      </c>
      <c r="E197">
        <v>-6.8478963820636896</v>
      </c>
      <c r="F197">
        <v>-3.9039509434828492</v>
      </c>
      <c r="G197">
        <f t="shared" si="3"/>
        <v>2.9439454385808403</v>
      </c>
      <c r="H197">
        <v>4.2581579870975293E-2</v>
      </c>
    </row>
    <row r="198" spans="1:8" x14ac:dyDescent="0.35">
      <c r="A198" t="s">
        <v>76</v>
      </c>
      <c r="B198" t="s">
        <v>57</v>
      </c>
      <c r="C198" t="s">
        <v>38</v>
      </c>
      <c r="D198">
        <v>2021</v>
      </c>
      <c r="E198">
        <v>2.161323818880434</v>
      </c>
      <c r="F198">
        <v>6.0197643563294596</v>
      </c>
      <c r="G198">
        <f t="shared" si="3"/>
        <v>3.8584405374490256</v>
      </c>
      <c r="H198">
        <v>4.2229620878678473E-2</v>
      </c>
    </row>
    <row r="199" spans="1:8" x14ac:dyDescent="0.35">
      <c r="A199" t="s">
        <v>76</v>
      </c>
      <c r="B199" t="s">
        <v>59</v>
      </c>
      <c r="C199" t="s">
        <v>38</v>
      </c>
      <c r="D199">
        <v>2021</v>
      </c>
      <c r="E199">
        <v>3.9728248180522558</v>
      </c>
      <c r="F199">
        <v>6.0197643563294596</v>
      </c>
      <c r="G199">
        <f t="shared" si="3"/>
        <v>2.0469395382772038</v>
      </c>
      <c r="H199">
        <v>4.2229620878678473E-2</v>
      </c>
    </row>
    <row r="200" spans="1:8" x14ac:dyDescent="0.35">
      <c r="A200" t="s">
        <v>76</v>
      </c>
      <c r="B200" t="s">
        <v>58</v>
      </c>
      <c r="C200" t="s">
        <v>40</v>
      </c>
      <c r="D200">
        <v>2021</v>
      </c>
      <c r="E200">
        <v>4.963640025345617</v>
      </c>
      <c r="F200">
        <v>6.0197643563294596</v>
      </c>
      <c r="G200">
        <f t="shared" si="3"/>
        <v>1.0561243309838426</v>
      </c>
      <c r="H200">
        <v>4.2229620878678473E-2</v>
      </c>
    </row>
    <row r="201" spans="1:8" x14ac:dyDescent="0.35">
      <c r="A201" t="s">
        <v>76</v>
      </c>
      <c r="B201" t="s">
        <v>60</v>
      </c>
      <c r="C201" t="s">
        <v>40</v>
      </c>
      <c r="D201">
        <v>2021</v>
      </c>
      <c r="E201">
        <v>2.3382369164345769</v>
      </c>
      <c r="F201">
        <v>6.0197643563294596</v>
      </c>
      <c r="G201">
        <f t="shared" si="3"/>
        <v>3.6815274398948827</v>
      </c>
      <c r="H201">
        <v>4.2229620878678473E-2</v>
      </c>
    </row>
    <row r="202" spans="1:8" x14ac:dyDescent="0.35">
      <c r="A202" t="s">
        <v>76</v>
      </c>
      <c r="B202" t="s">
        <v>59</v>
      </c>
      <c r="C202" t="s">
        <v>38</v>
      </c>
      <c r="D202">
        <v>2022</v>
      </c>
      <c r="E202">
        <v>3.3489770835561039</v>
      </c>
      <c r="F202">
        <v>4.8892912104023152</v>
      </c>
      <c r="G202">
        <f t="shared" si="3"/>
        <v>1.5403141268462113</v>
      </c>
      <c r="H202">
        <v>3.9751937262975177E-2</v>
      </c>
    </row>
    <row r="203" spans="1:8" x14ac:dyDescent="0.35">
      <c r="A203" t="s">
        <v>76</v>
      </c>
      <c r="B203" t="s">
        <v>61</v>
      </c>
      <c r="C203" t="s">
        <v>38</v>
      </c>
      <c r="D203">
        <v>2022</v>
      </c>
      <c r="E203">
        <v>4.6490196630740721</v>
      </c>
      <c r="F203">
        <v>4.8892912104023152</v>
      </c>
      <c r="G203">
        <f t="shared" si="3"/>
        <v>0.24027154732824307</v>
      </c>
      <c r="H203">
        <v>3.9751937262975177E-2</v>
      </c>
    </row>
    <row r="204" spans="1:8" x14ac:dyDescent="0.35">
      <c r="A204" t="s">
        <v>76</v>
      </c>
      <c r="B204" t="s">
        <v>60</v>
      </c>
      <c r="C204" t="s">
        <v>40</v>
      </c>
      <c r="D204">
        <v>2022</v>
      </c>
      <c r="E204">
        <v>3.5790486712876879</v>
      </c>
      <c r="F204">
        <v>4.8892912104023152</v>
      </c>
      <c r="G204">
        <f t="shared" si="3"/>
        <v>1.3102425391146273</v>
      </c>
      <c r="H204">
        <v>3.9751937262975177E-2</v>
      </c>
    </row>
    <row r="205" spans="1:8" x14ac:dyDescent="0.35">
      <c r="A205" t="s">
        <v>76</v>
      </c>
      <c r="B205" t="s">
        <v>62</v>
      </c>
      <c r="C205" t="s">
        <v>40</v>
      </c>
      <c r="D205">
        <v>2022</v>
      </c>
      <c r="E205">
        <v>3.271330674458595</v>
      </c>
      <c r="F205">
        <v>4.8892912104023152</v>
      </c>
      <c r="G205">
        <f t="shared" si="3"/>
        <v>1.6179605359437201</v>
      </c>
      <c r="H205">
        <v>3.9751937262975177E-2</v>
      </c>
    </row>
    <row r="206" spans="1:8" x14ac:dyDescent="0.35">
      <c r="A206" t="s">
        <v>76</v>
      </c>
      <c r="B206" t="s">
        <v>61</v>
      </c>
      <c r="C206" t="s">
        <v>38</v>
      </c>
      <c r="D206">
        <v>2023</v>
      </c>
      <c r="E206">
        <v>0.64857323528075828</v>
      </c>
      <c r="F206">
        <v>-0.58469355622177965</v>
      </c>
      <c r="G206">
        <f t="shared" si="3"/>
        <v>-1.2332667915025379</v>
      </c>
      <c r="H206">
        <v>4.7209783201579453E-2</v>
      </c>
    </row>
    <row r="207" spans="1:8" x14ac:dyDescent="0.35">
      <c r="A207" t="s">
        <v>76</v>
      </c>
      <c r="B207" t="s">
        <v>63</v>
      </c>
      <c r="C207" t="s">
        <v>38</v>
      </c>
      <c r="D207">
        <v>2023</v>
      </c>
      <c r="E207">
        <v>0.5799247285826814</v>
      </c>
      <c r="F207">
        <v>-0.58469355622177965</v>
      </c>
      <c r="G207">
        <f t="shared" si="3"/>
        <v>-1.1646182848044611</v>
      </c>
      <c r="H207">
        <v>4.7209783201579453E-2</v>
      </c>
    </row>
    <row r="208" spans="1:8" x14ac:dyDescent="0.35">
      <c r="A208" t="s">
        <v>76</v>
      </c>
      <c r="B208" t="s">
        <v>62</v>
      </c>
      <c r="C208" t="s">
        <v>40</v>
      </c>
      <c r="D208">
        <v>2023</v>
      </c>
      <c r="E208">
        <v>1.5682500170195011</v>
      </c>
      <c r="F208">
        <v>-0.58469355622177965</v>
      </c>
      <c r="G208">
        <f t="shared" si="3"/>
        <v>-2.1529435732412807</v>
      </c>
      <c r="H208">
        <v>4.7209783201579453E-2</v>
      </c>
    </row>
    <row r="209" spans="1:8" x14ac:dyDescent="0.35">
      <c r="A209" t="s">
        <v>76</v>
      </c>
      <c r="B209" t="s">
        <v>64</v>
      </c>
      <c r="C209" t="s">
        <v>40</v>
      </c>
      <c r="D209">
        <v>2023</v>
      </c>
      <c r="E209">
        <v>1.8009941751683021</v>
      </c>
      <c r="F209">
        <v>-0.58469355622177965</v>
      </c>
      <c r="G209">
        <f t="shared" si="3"/>
        <v>-2.3856877313900817</v>
      </c>
      <c r="H209">
        <v>4.7209783201579453E-2</v>
      </c>
    </row>
    <row r="210" spans="1:8" x14ac:dyDescent="0.35">
      <c r="A210" t="s">
        <v>76</v>
      </c>
      <c r="B210" t="s">
        <v>63</v>
      </c>
      <c r="C210" t="s">
        <v>38</v>
      </c>
      <c r="D210">
        <v>2024</v>
      </c>
      <c r="E210">
        <v>1.090974188365412</v>
      </c>
      <c r="F210">
        <v>1.058640812818894</v>
      </c>
      <c r="G210">
        <f t="shared" si="3"/>
        <v>-3.2333375546518051E-2</v>
      </c>
      <c r="H210">
        <v>5.4550377494533613E-2</v>
      </c>
    </row>
    <row r="211" spans="1:8" x14ac:dyDescent="0.35">
      <c r="A211" t="s">
        <v>76</v>
      </c>
      <c r="B211" t="s">
        <v>65</v>
      </c>
      <c r="C211" t="s">
        <v>38</v>
      </c>
      <c r="D211">
        <v>2024</v>
      </c>
      <c r="E211">
        <v>0.84134331866276835</v>
      </c>
      <c r="F211">
        <v>1.058640812818894</v>
      </c>
      <c r="G211">
        <f t="shared" si="3"/>
        <v>0.21729749415612565</v>
      </c>
      <c r="H211">
        <v>5.4550377494533613E-2</v>
      </c>
    </row>
    <row r="212" spans="1:8" x14ac:dyDescent="0.35">
      <c r="A212" t="s">
        <v>76</v>
      </c>
      <c r="B212" t="s">
        <v>64</v>
      </c>
      <c r="C212" t="s">
        <v>40</v>
      </c>
      <c r="D212">
        <v>2024</v>
      </c>
      <c r="E212">
        <v>1.181076174566176</v>
      </c>
      <c r="F212">
        <v>1.058640812818894</v>
      </c>
      <c r="G212">
        <f t="shared" si="3"/>
        <v>-0.12243536174728198</v>
      </c>
      <c r="H212">
        <v>5.4550377494533613E-2</v>
      </c>
    </row>
    <row r="213" spans="1:8" x14ac:dyDescent="0.35">
      <c r="A213" t="s">
        <v>76</v>
      </c>
      <c r="B213" t="s">
        <v>66</v>
      </c>
      <c r="C213" t="s">
        <v>40</v>
      </c>
      <c r="D213">
        <v>2024</v>
      </c>
      <c r="E213">
        <v>0.76042118074215459</v>
      </c>
      <c r="F213">
        <v>1.058640812818894</v>
      </c>
      <c r="G213">
        <f t="shared" si="3"/>
        <v>0.2982196320767394</v>
      </c>
      <c r="H213">
        <v>5.4550377494533613E-2</v>
      </c>
    </row>
    <row r="214" spans="1:8" x14ac:dyDescent="0.35">
      <c r="A214" t="s">
        <v>76</v>
      </c>
      <c r="B214" t="s">
        <v>65</v>
      </c>
      <c r="C214" t="s">
        <v>38</v>
      </c>
      <c r="D214">
        <v>2025</v>
      </c>
      <c r="E214">
        <v>1.551316113361789</v>
      </c>
      <c r="F214">
        <v>1.5629801711020599</v>
      </c>
      <c r="G214">
        <f t="shared" si="3"/>
        <v>1.1664057740270906E-2</v>
      </c>
      <c r="H214">
        <v>5.4550377494533613E-2</v>
      </c>
    </row>
    <row r="215" spans="1:8" x14ac:dyDescent="0.35">
      <c r="A215" t="s">
        <v>76</v>
      </c>
      <c r="B215" t="s">
        <v>71</v>
      </c>
      <c r="C215" t="s">
        <v>38</v>
      </c>
      <c r="D215">
        <v>2025</v>
      </c>
      <c r="E215">
        <v>1.6966708374271939</v>
      </c>
      <c r="F215">
        <v>1.5629801711020599</v>
      </c>
      <c r="G215">
        <f t="shared" si="3"/>
        <v>-0.13369066632513404</v>
      </c>
      <c r="H215">
        <v>5.4550377494533613E-2</v>
      </c>
    </row>
    <row r="216" spans="1:8" x14ac:dyDescent="0.35">
      <c r="A216" t="s">
        <v>76</v>
      </c>
      <c r="B216" t="s">
        <v>66</v>
      </c>
      <c r="C216" t="s">
        <v>40</v>
      </c>
      <c r="D216">
        <v>2025</v>
      </c>
      <c r="E216">
        <v>1.4664182247055459</v>
      </c>
      <c r="F216">
        <v>1.5629801711020599</v>
      </c>
      <c r="G216">
        <f t="shared" si="3"/>
        <v>9.6561946396513942E-2</v>
      </c>
      <c r="H216">
        <v>5.4550377494533613E-2</v>
      </c>
    </row>
    <row r="217" spans="1:8" x14ac:dyDescent="0.35">
      <c r="A217" t="s">
        <v>76</v>
      </c>
      <c r="B217" t="s">
        <v>72</v>
      </c>
      <c r="C217" t="s">
        <v>40</v>
      </c>
      <c r="D217">
        <v>2025</v>
      </c>
      <c r="E217">
        <v>1.282511180567347</v>
      </c>
      <c r="F217">
        <v>1.5629801711020599</v>
      </c>
      <c r="G217">
        <f t="shared" si="3"/>
        <v>0.28046899053471286</v>
      </c>
      <c r="H217">
        <v>5.4550377494533613E-2</v>
      </c>
    </row>
    <row r="218" spans="1:8" x14ac:dyDescent="0.35">
      <c r="A218" t="s">
        <v>77</v>
      </c>
      <c r="B218" t="s">
        <v>55</v>
      </c>
      <c r="C218" t="s">
        <v>38</v>
      </c>
      <c r="D218">
        <v>2020</v>
      </c>
      <c r="E218">
        <v>1.699885517193356</v>
      </c>
      <c r="F218">
        <v>-8.5609032033360464</v>
      </c>
      <c r="G218">
        <f t="shared" si="3"/>
        <v>-10.260788720529403</v>
      </c>
      <c r="H218">
        <v>1.1314571143666431E-3</v>
      </c>
    </row>
    <row r="219" spans="1:8" x14ac:dyDescent="0.35">
      <c r="A219" t="s">
        <v>77</v>
      </c>
      <c r="B219" t="s">
        <v>57</v>
      </c>
      <c r="C219" t="s">
        <v>38</v>
      </c>
      <c r="D219">
        <v>2020</v>
      </c>
      <c r="E219">
        <v>-9.2905567939445373</v>
      </c>
      <c r="F219">
        <v>-8.5609032033360464</v>
      </c>
      <c r="G219">
        <f t="shared" si="3"/>
        <v>0.72965359060849089</v>
      </c>
      <c r="H219">
        <v>1.1314571143666431E-3</v>
      </c>
    </row>
    <row r="220" spans="1:8" x14ac:dyDescent="0.35">
      <c r="A220" t="s">
        <v>77</v>
      </c>
      <c r="B220" t="s">
        <v>56</v>
      </c>
      <c r="C220" t="s">
        <v>40</v>
      </c>
      <c r="D220">
        <v>2020</v>
      </c>
      <c r="E220">
        <v>1.7153996309464681</v>
      </c>
      <c r="F220">
        <v>-8.5609032033360464</v>
      </c>
      <c r="G220">
        <f t="shared" si="3"/>
        <v>-10.276302834282514</v>
      </c>
      <c r="H220">
        <v>1.1314571143666431E-3</v>
      </c>
    </row>
    <row r="221" spans="1:8" x14ac:dyDescent="0.35">
      <c r="A221" t="s">
        <v>77</v>
      </c>
      <c r="B221" t="s">
        <v>58</v>
      </c>
      <c r="C221" t="s">
        <v>40</v>
      </c>
      <c r="D221">
        <v>2020</v>
      </c>
      <c r="E221">
        <v>-6.7651809613411107</v>
      </c>
      <c r="F221">
        <v>-8.5609032033360464</v>
      </c>
      <c r="G221">
        <f t="shared" si="3"/>
        <v>-1.7957222419949357</v>
      </c>
      <c r="H221">
        <v>1.1314571143666431E-3</v>
      </c>
    </row>
    <row r="222" spans="1:8" x14ac:dyDescent="0.35">
      <c r="A222" t="s">
        <v>77</v>
      </c>
      <c r="B222" t="s">
        <v>57</v>
      </c>
      <c r="C222" t="s">
        <v>38</v>
      </c>
      <c r="D222">
        <v>2021</v>
      </c>
      <c r="E222">
        <v>5.3606609364002189</v>
      </c>
      <c r="F222">
        <v>5.4098373027499997</v>
      </c>
      <c r="G222">
        <f t="shared" si="3"/>
        <v>4.9176366349780842E-2</v>
      </c>
      <c r="H222">
        <v>1.543056079090352E-3</v>
      </c>
    </row>
    <row r="223" spans="1:8" x14ac:dyDescent="0.35">
      <c r="A223" t="s">
        <v>77</v>
      </c>
      <c r="B223" t="s">
        <v>59</v>
      </c>
      <c r="C223" t="s">
        <v>38</v>
      </c>
      <c r="D223">
        <v>2021</v>
      </c>
      <c r="E223">
        <v>4.5428064601391371</v>
      </c>
      <c r="F223">
        <v>5.4098373027499997</v>
      </c>
      <c r="G223">
        <f t="shared" si="3"/>
        <v>0.86703084261086261</v>
      </c>
      <c r="H223">
        <v>1.543056079090352E-3</v>
      </c>
    </row>
    <row r="224" spans="1:8" x14ac:dyDescent="0.35">
      <c r="A224" t="s">
        <v>77</v>
      </c>
      <c r="B224" t="s">
        <v>58</v>
      </c>
      <c r="C224" t="s">
        <v>40</v>
      </c>
      <c r="D224">
        <v>2021</v>
      </c>
      <c r="E224">
        <v>5.8179091621113344</v>
      </c>
      <c r="F224">
        <v>5.4098373027499997</v>
      </c>
      <c r="G224">
        <f t="shared" si="3"/>
        <v>-0.40807185936133461</v>
      </c>
      <c r="H224">
        <v>1.543056079090352E-3</v>
      </c>
    </row>
    <row r="225" spans="1:8" x14ac:dyDescent="0.35">
      <c r="A225" t="s">
        <v>77</v>
      </c>
      <c r="B225" t="s">
        <v>60</v>
      </c>
      <c r="C225" t="s">
        <v>40</v>
      </c>
      <c r="D225">
        <v>2021</v>
      </c>
      <c r="E225">
        <v>3.9441078773994498</v>
      </c>
      <c r="F225">
        <v>5.4098373027499997</v>
      </c>
      <c r="G225">
        <f t="shared" si="3"/>
        <v>1.46572942535055</v>
      </c>
      <c r="H225">
        <v>1.543056079090352E-3</v>
      </c>
    </row>
    <row r="226" spans="1:8" x14ac:dyDescent="0.35">
      <c r="A226" t="s">
        <v>77</v>
      </c>
      <c r="B226" t="s">
        <v>59</v>
      </c>
      <c r="C226" t="s">
        <v>38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1.0726805330251909E-3</v>
      </c>
    </row>
    <row r="227" spans="1:8" x14ac:dyDescent="0.35">
      <c r="A227" t="s">
        <v>77</v>
      </c>
      <c r="B227" t="s">
        <v>61</v>
      </c>
      <c r="C227" t="s">
        <v>38</v>
      </c>
      <c r="D227">
        <v>2022</v>
      </c>
      <c r="E227">
        <v>6.5861251608809734</v>
      </c>
      <c r="F227">
        <v>6.7526124502433778</v>
      </c>
      <c r="G227">
        <f t="shared" si="3"/>
        <v>0.16648728936240431</v>
      </c>
      <c r="H227">
        <v>1.0726805330251909E-3</v>
      </c>
    </row>
    <row r="228" spans="1:8" x14ac:dyDescent="0.35">
      <c r="A228" t="s">
        <v>77</v>
      </c>
      <c r="B228" t="s">
        <v>60</v>
      </c>
      <c r="C228" t="s">
        <v>40</v>
      </c>
      <c r="D228">
        <v>2022</v>
      </c>
      <c r="E228">
        <v>5.0988792351265078</v>
      </c>
      <c r="F228">
        <v>6.7526124502433778</v>
      </c>
      <c r="G228">
        <f t="shared" si="3"/>
        <v>1.65373321511687</v>
      </c>
      <c r="H228">
        <v>1.0726805330251909E-3</v>
      </c>
    </row>
    <row r="229" spans="1:8" x14ac:dyDescent="0.35">
      <c r="A229" t="s">
        <v>77</v>
      </c>
      <c r="B229" t="s">
        <v>62</v>
      </c>
      <c r="C229" t="s">
        <v>40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1.0726805330251909E-3</v>
      </c>
    </row>
    <row r="230" spans="1:8" x14ac:dyDescent="0.35">
      <c r="A230" t="s">
        <v>77</v>
      </c>
      <c r="B230" t="s">
        <v>61</v>
      </c>
      <c r="C230" t="s">
        <v>38</v>
      </c>
      <c r="D230">
        <v>2023</v>
      </c>
      <c r="E230">
        <v>0.71696140778811923</v>
      </c>
      <c r="F230">
        <v>3.0529202104847739</v>
      </c>
      <c r="G230">
        <f t="shared" si="3"/>
        <v>2.3359588026966547</v>
      </c>
      <c r="H230">
        <v>9.9804011718640203E-4</v>
      </c>
    </row>
    <row r="231" spans="1:8" x14ac:dyDescent="0.35">
      <c r="A231" t="s">
        <v>77</v>
      </c>
      <c r="B231" t="s">
        <v>63</v>
      </c>
      <c r="C231" t="s">
        <v>38</v>
      </c>
      <c r="D231">
        <v>2023</v>
      </c>
      <c r="E231">
        <v>2.226883105497079</v>
      </c>
      <c r="F231">
        <v>3.0529202104847739</v>
      </c>
      <c r="G231">
        <f t="shared" si="3"/>
        <v>0.82603710498769489</v>
      </c>
      <c r="H231">
        <v>9.9804011718640203E-4</v>
      </c>
    </row>
    <row r="232" spans="1:8" x14ac:dyDescent="0.35">
      <c r="A232" t="s">
        <v>77</v>
      </c>
      <c r="B232" t="s">
        <v>62</v>
      </c>
      <c r="C232" t="s">
        <v>40</v>
      </c>
      <c r="D232">
        <v>2023</v>
      </c>
      <c r="E232">
        <v>2.6604918870074319</v>
      </c>
      <c r="F232">
        <v>3.0529202104847739</v>
      </c>
      <c r="G232">
        <f t="shared" si="3"/>
        <v>0.39242832347734202</v>
      </c>
      <c r="H232">
        <v>9.9804011718640203E-4</v>
      </c>
    </row>
    <row r="233" spans="1:8" x14ac:dyDescent="0.35">
      <c r="A233" t="s">
        <v>77</v>
      </c>
      <c r="B233" t="s">
        <v>64</v>
      </c>
      <c r="C233" t="s">
        <v>40</v>
      </c>
      <c r="D233">
        <v>2023</v>
      </c>
      <c r="E233">
        <v>2.4387614512581202</v>
      </c>
      <c r="F233">
        <v>3.0529202104847739</v>
      </c>
      <c r="G233">
        <f t="shared" si="3"/>
        <v>0.61415875922665375</v>
      </c>
      <c r="H233">
        <v>9.9804011718640203E-4</v>
      </c>
    </row>
    <row r="234" spans="1:8" x14ac:dyDescent="0.35">
      <c r="A234" t="s">
        <v>77</v>
      </c>
      <c r="B234" t="s">
        <v>63</v>
      </c>
      <c r="C234" t="s">
        <v>38</v>
      </c>
      <c r="D234">
        <v>2024</v>
      </c>
      <c r="E234">
        <v>1.3133477904788251</v>
      </c>
      <c r="F234">
        <v>2.1904072780361381</v>
      </c>
      <c r="G234">
        <f t="shared" si="3"/>
        <v>0.877059487557313</v>
      </c>
      <c r="H234">
        <v>9.9939188696901698E-4</v>
      </c>
    </row>
    <row r="235" spans="1:8" x14ac:dyDescent="0.35">
      <c r="A235" t="s">
        <v>77</v>
      </c>
      <c r="B235" t="s">
        <v>65</v>
      </c>
      <c r="C235" t="s">
        <v>38</v>
      </c>
      <c r="D235">
        <v>2024</v>
      </c>
      <c r="E235">
        <v>1.6514732694230541</v>
      </c>
      <c r="F235">
        <v>2.1904072780361381</v>
      </c>
      <c r="G235">
        <f t="shared" si="3"/>
        <v>0.53893400861308405</v>
      </c>
      <c r="H235">
        <v>9.9939188696901698E-4</v>
      </c>
    </row>
    <row r="236" spans="1:8" x14ac:dyDescent="0.35">
      <c r="A236" t="s">
        <v>77</v>
      </c>
      <c r="B236" t="s">
        <v>64</v>
      </c>
      <c r="C236" t="s">
        <v>40</v>
      </c>
      <c r="D236">
        <v>2024</v>
      </c>
      <c r="E236">
        <v>1.7569161258840891</v>
      </c>
      <c r="F236">
        <v>2.1904072780361381</v>
      </c>
      <c r="G236">
        <f t="shared" si="3"/>
        <v>0.43349115215204903</v>
      </c>
      <c r="H236">
        <v>9.9939188696901698E-4</v>
      </c>
    </row>
    <row r="237" spans="1:8" x14ac:dyDescent="0.35">
      <c r="A237" t="s">
        <v>77</v>
      </c>
      <c r="B237" t="s">
        <v>66</v>
      </c>
      <c r="C237" t="s">
        <v>40</v>
      </c>
      <c r="D237">
        <v>2024</v>
      </c>
      <c r="E237">
        <v>1.734179743438991</v>
      </c>
      <c r="F237">
        <v>2.1904072780361381</v>
      </c>
      <c r="G237">
        <f t="shared" si="3"/>
        <v>0.45622753459714716</v>
      </c>
      <c r="H237">
        <v>9.9939188696901698E-4</v>
      </c>
    </row>
    <row r="238" spans="1:8" x14ac:dyDescent="0.35">
      <c r="A238" t="s">
        <v>77</v>
      </c>
      <c r="B238" t="s">
        <v>65</v>
      </c>
      <c r="C238" t="s">
        <v>38</v>
      </c>
      <c r="D238">
        <v>2025</v>
      </c>
      <c r="E238">
        <v>1.851074416505627</v>
      </c>
      <c r="F238">
        <v>1.8442000090405599</v>
      </c>
      <c r="G238">
        <f t="shared" si="3"/>
        <v>-6.8744074650670672E-3</v>
      </c>
      <c r="H238">
        <v>9.9939188696901698E-4</v>
      </c>
    </row>
    <row r="239" spans="1:8" x14ac:dyDescent="0.35">
      <c r="A239" t="s">
        <v>77</v>
      </c>
      <c r="B239" t="s">
        <v>71</v>
      </c>
      <c r="C239" t="s">
        <v>38</v>
      </c>
      <c r="D239">
        <v>2025</v>
      </c>
      <c r="E239">
        <v>1.898720252436026</v>
      </c>
      <c r="F239">
        <v>1.8442000090405599</v>
      </c>
      <c r="G239">
        <f t="shared" si="3"/>
        <v>-5.4520243395466128E-2</v>
      </c>
      <c r="H239">
        <v>9.9939188696901698E-4</v>
      </c>
    </row>
    <row r="240" spans="1:8" x14ac:dyDescent="0.35">
      <c r="A240" t="s">
        <v>77</v>
      </c>
      <c r="B240" t="s">
        <v>66</v>
      </c>
      <c r="C240" t="s">
        <v>40</v>
      </c>
      <c r="D240">
        <v>2025</v>
      </c>
      <c r="E240">
        <v>1.87529344869708</v>
      </c>
      <c r="F240">
        <v>1.8442000090405599</v>
      </c>
      <c r="G240">
        <f t="shared" si="3"/>
        <v>-3.1093439656520117E-2</v>
      </c>
      <c r="H240">
        <v>9.9939188696901698E-4</v>
      </c>
    </row>
    <row r="241" spans="1:8" x14ac:dyDescent="0.35">
      <c r="A241" t="s">
        <v>77</v>
      </c>
      <c r="B241" t="s">
        <v>72</v>
      </c>
      <c r="C241" t="s">
        <v>40</v>
      </c>
      <c r="D241">
        <v>2025</v>
      </c>
      <c r="E241">
        <v>1.7505876843593839</v>
      </c>
      <c r="F241">
        <v>1.8442000090405599</v>
      </c>
      <c r="G241">
        <f t="shared" si="3"/>
        <v>9.3612324681175973E-2</v>
      </c>
      <c r="H241">
        <v>9.9939188696901698E-4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H3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6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6.0810296667168041E-3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6.0810296667168041E-3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5.1501038457717457E-3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5.1501038457717457E-3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5.1501038457717457E-3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5.1501038457717457E-3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4.9104806969426009E-3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4.9104806969426009E-3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4.9104806969426009E-3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4.9104806969426009E-3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5.2414028038574598E-3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5.2414028038574598E-3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5.2414028038574598E-3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5.2414028038574598E-3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5.6174915482511594E-3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5.6174915482511594E-3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5.6174915482511594E-3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5.6174915482511594E-3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5.5009113707549639E-3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5.5009113707549639E-3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5.5009113707549639E-3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5.5009113707549639E-3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5.3416232953854264E-3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5.3416232953854264E-3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5.3416232953854264E-3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5.3416232953854264E-3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6.1210722167909584E-3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6.1210722167909584E-3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6.1210722167909584E-3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6.1210722167909584E-3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6.350496657154401E-3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6.350496657154401E-3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6.350496657154401E-3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6.350496657154401E-3</v>
      </c>
    </row>
    <row r="36" spans="1:8" x14ac:dyDescent="0.35">
      <c r="A36" t="s">
        <v>67</v>
      </c>
      <c r="B36" t="s">
        <v>37</v>
      </c>
      <c r="C36" t="s">
        <v>38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1.785334474075977E-3</v>
      </c>
    </row>
    <row r="37" spans="1:8" x14ac:dyDescent="0.35">
      <c r="A37" t="s">
        <v>67</v>
      </c>
      <c r="B37" t="s">
        <v>39</v>
      </c>
      <c r="C37" t="s">
        <v>40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1.785334474075977E-3</v>
      </c>
    </row>
    <row r="38" spans="1:8" x14ac:dyDescent="0.35">
      <c r="A38" t="s">
        <v>67</v>
      </c>
      <c r="B38" t="s">
        <v>37</v>
      </c>
      <c r="C38" t="s">
        <v>38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1.5063974111351539E-3</v>
      </c>
    </row>
    <row r="39" spans="1:8" x14ac:dyDescent="0.35">
      <c r="A39" t="s">
        <v>67</v>
      </c>
      <c r="B39" t="s">
        <v>41</v>
      </c>
      <c r="C39" t="s">
        <v>38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1.5063974111351539E-3</v>
      </c>
    </row>
    <row r="40" spans="1:8" x14ac:dyDescent="0.35">
      <c r="A40" t="s">
        <v>67</v>
      </c>
      <c r="B40" t="s">
        <v>39</v>
      </c>
      <c r="C40" t="s">
        <v>40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1.5063974111351539E-3</v>
      </c>
    </row>
    <row r="41" spans="1:8" x14ac:dyDescent="0.35">
      <c r="A41" t="s">
        <v>67</v>
      </c>
      <c r="B41" t="s">
        <v>42</v>
      </c>
      <c r="C41" t="s">
        <v>40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1.5063974111351539E-3</v>
      </c>
    </row>
    <row r="42" spans="1:8" x14ac:dyDescent="0.35">
      <c r="A42" t="s">
        <v>67</v>
      </c>
      <c r="B42" t="s">
        <v>41</v>
      </c>
      <c r="C42" t="s">
        <v>38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1.586033074688545E-3</v>
      </c>
    </row>
    <row r="43" spans="1:8" x14ac:dyDescent="0.35">
      <c r="A43" t="s">
        <v>67</v>
      </c>
      <c r="B43" t="s">
        <v>43</v>
      </c>
      <c r="C43" t="s">
        <v>38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1.586033074688545E-3</v>
      </c>
    </row>
    <row r="44" spans="1:8" x14ac:dyDescent="0.35">
      <c r="A44" t="s">
        <v>67</v>
      </c>
      <c r="B44" t="s">
        <v>42</v>
      </c>
      <c r="C44" t="s">
        <v>40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1.586033074688545E-3</v>
      </c>
    </row>
    <row r="45" spans="1:8" x14ac:dyDescent="0.35">
      <c r="A45" t="s">
        <v>67</v>
      </c>
      <c r="B45" t="s">
        <v>44</v>
      </c>
      <c r="C45" t="s">
        <v>40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1.586033074688545E-3</v>
      </c>
    </row>
    <row r="46" spans="1:8" x14ac:dyDescent="0.35">
      <c r="A46" t="s">
        <v>67</v>
      </c>
      <c r="B46" t="s">
        <v>43</v>
      </c>
      <c r="C46" t="s">
        <v>38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1.832777504202993E-3</v>
      </c>
    </row>
    <row r="47" spans="1:8" x14ac:dyDescent="0.35">
      <c r="A47" t="s">
        <v>67</v>
      </c>
      <c r="B47" t="s">
        <v>45</v>
      </c>
      <c r="C47" t="s">
        <v>38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1.832777504202993E-3</v>
      </c>
    </row>
    <row r="48" spans="1:8" x14ac:dyDescent="0.35">
      <c r="A48" t="s">
        <v>67</v>
      </c>
      <c r="B48" t="s">
        <v>44</v>
      </c>
      <c r="C48" t="s">
        <v>40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1.832777504202993E-3</v>
      </c>
    </row>
    <row r="49" spans="1:8" x14ac:dyDescent="0.35">
      <c r="A49" t="s">
        <v>67</v>
      </c>
      <c r="B49" t="s">
        <v>46</v>
      </c>
      <c r="C49" t="s">
        <v>40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1.832777504202993E-3</v>
      </c>
    </row>
    <row r="50" spans="1:8" x14ac:dyDescent="0.35">
      <c r="A50" t="s">
        <v>67</v>
      </c>
      <c r="B50" t="s">
        <v>45</v>
      </c>
      <c r="C50" t="s">
        <v>38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2.3021800043303512E-3</v>
      </c>
    </row>
    <row r="51" spans="1:8" x14ac:dyDescent="0.35">
      <c r="A51" t="s">
        <v>67</v>
      </c>
      <c r="B51" t="s">
        <v>47</v>
      </c>
      <c r="C51" t="s">
        <v>38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2.3021800043303512E-3</v>
      </c>
    </row>
    <row r="52" spans="1:8" x14ac:dyDescent="0.35">
      <c r="A52" t="s">
        <v>67</v>
      </c>
      <c r="B52" t="s">
        <v>46</v>
      </c>
      <c r="C52" t="s">
        <v>40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2.3021800043303512E-3</v>
      </c>
    </row>
    <row r="53" spans="1:8" x14ac:dyDescent="0.35">
      <c r="A53" t="s">
        <v>67</v>
      </c>
      <c r="B53" t="s">
        <v>48</v>
      </c>
      <c r="C53" t="s">
        <v>40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2.3021800043303512E-3</v>
      </c>
    </row>
    <row r="54" spans="1:8" x14ac:dyDescent="0.35">
      <c r="A54" t="s">
        <v>67</v>
      </c>
      <c r="B54" t="s">
        <v>47</v>
      </c>
      <c r="C54" t="s">
        <v>38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2.496557133405468E-3</v>
      </c>
    </row>
    <row r="55" spans="1:8" x14ac:dyDescent="0.35">
      <c r="A55" t="s">
        <v>67</v>
      </c>
      <c r="B55" t="s">
        <v>49</v>
      </c>
      <c r="C55" t="s">
        <v>38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2.496557133405468E-3</v>
      </c>
    </row>
    <row r="56" spans="1:8" x14ac:dyDescent="0.35">
      <c r="A56" t="s">
        <v>67</v>
      </c>
      <c r="B56" t="s">
        <v>48</v>
      </c>
      <c r="C56" t="s">
        <v>40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2.496557133405468E-3</v>
      </c>
    </row>
    <row r="57" spans="1:8" x14ac:dyDescent="0.35">
      <c r="A57" t="s">
        <v>67</v>
      </c>
      <c r="B57" t="s">
        <v>50</v>
      </c>
      <c r="C57" t="s">
        <v>40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2.496557133405468E-3</v>
      </c>
    </row>
    <row r="58" spans="1:8" x14ac:dyDescent="0.35">
      <c r="A58" t="s">
        <v>67</v>
      </c>
      <c r="B58" t="s">
        <v>49</v>
      </c>
      <c r="C58" t="s">
        <v>38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2.8564511679683561E-3</v>
      </c>
    </row>
    <row r="59" spans="1:8" x14ac:dyDescent="0.35">
      <c r="A59" t="s">
        <v>67</v>
      </c>
      <c r="B59" t="s">
        <v>51</v>
      </c>
      <c r="C59" t="s">
        <v>38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2.8564511679683561E-3</v>
      </c>
    </row>
    <row r="60" spans="1:8" x14ac:dyDescent="0.35">
      <c r="A60" t="s">
        <v>67</v>
      </c>
      <c r="B60" t="s">
        <v>50</v>
      </c>
      <c r="C60" t="s">
        <v>40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2.8564511679683561E-3</v>
      </c>
    </row>
    <row r="61" spans="1:8" x14ac:dyDescent="0.35">
      <c r="A61" t="s">
        <v>67</v>
      </c>
      <c r="B61" t="s">
        <v>52</v>
      </c>
      <c r="C61" t="s">
        <v>40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2.8564511679683561E-3</v>
      </c>
    </row>
    <row r="62" spans="1:8" x14ac:dyDescent="0.35">
      <c r="A62" t="s">
        <v>67</v>
      </c>
      <c r="B62" t="s">
        <v>51</v>
      </c>
      <c r="C62" t="s">
        <v>38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1.907211497318204E-3</v>
      </c>
    </row>
    <row r="63" spans="1:8" x14ac:dyDescent="0.35">
      <c r="A63" t="s">
        <v>67</v>
      </c>
      <c r="B63" t="s">
        <v>53</v>
      </c>
      <c r="C63" t="s">
        <v>38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1.907211497318204E-3</v>
      </c>
    </row>
    <row r="64" spans="1:8" x14ac:dyDescent="0.35">
      <c r="A64" t="s">
        <v>67</v>
      </c>
      <c r="B64" t="s">
        <v>52</v>
      </c>
      <c r="C64" t="s">
        <v>40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1.907211497318204E-3</v>
      </c>
    </row>
    <row r="65" spans="1:8" x14ac:dyDescent="0.35">
      <c r="A65" t="s">
        <v>67</v>
      </c>
      <c r="B65" t="s">
        <v>54</v>
      </c>
      <c r="C65" t="s">
        <v>40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1.907211497318204E-3</v>
      </c>
    </row>
    <row r="66" spans="1:8" x14ac:dyDescent="0.35">
      <c r="A66" t="s">
        <v>67</v>
      </c>
      <c r="B66" t="s">
        <v>53</v>
      </c>
      <c r="C66" t="s">
        <v>38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1.483770068217442E-3</v>
      </c>
    </row>
    <row r="67" spans="1:8" x14ac:dyDescent="0.35">
      <c r="A67" t="s">
        <v>67</v>
      </c>
      <c r="B67" t="s">
        <v>55</v>
      </c>
      <c r="C67" t="s">
        <v>38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1.483770068217442E-3</v>
      </c>
    </row>
    <row r="68" spans="1:8" x14ac:dyDescent="0.35">
      <c r="A68" t="s">
        <v>67</v>
      </c>
      <c r="B68" t="s">
        <v>54</v>
      </c>
      <c r="C68" t="s">
        <v>40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1.483770068217442E-3</v>
      </c>
    </row>
    <row r="69" spans="1:8" x14ac:dyDescent="0.35">
      <c r="A69" t="s">
        <v>67</v>
      </c>
      <c r="B69" t="s">
        <v>56</v>
      </c>
      <c r="C69" t="s">
        <v>40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1.483770068217442E-3</v>
      </c>
    </row>
    <row r="70" spans="1:8" x14ac:dyDescent="0.35">
      <c r="A70" t="s">
        <v>68</v>
      </c>
      <c r="B70" t="s">
        <v>37</v>
      </c>
      <c r="C70" t="s">
        <v>38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6.6895895733449784E-3</v>
      </c>
    </row>
    <row r="71" spans="1:8" x14ac:dyDescent="0.35">
      <c r="A71" t="s">
        <v>68</v>
      </c>
      <c r="B71" t="s">
        <v>39</v>
      </c>
      <c r="C71" t="s">
        <v>40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6.6895895733449784E-3</v>
      </c>
    </row>
    <row r="72" spans="1:8" x14ac:dyDescent="0.35">
      <c r="A72" t="s">
        <v>68</v>
      </c>
      <c r="B72" t="s">
        <v>37</v>
      </c>
      <c r="C72" t="s">
        <v>38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4.8249554887439478E-3</v>
      </c>
    </row>
    <row r="73" spans="1:8" x14ac:dyDescent="0.35">
      <c r="A73" t="s">
        <v>68</v>
      </c>
      <c r="B73" t="s">
        <v>41</v>
      </c>
      <c r="C73" t="s">
        <v>38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4.8249554887439478E-3</v>
      </c>
    </row>
    <row r="74" spans="1:8" x14ac:dyDescent="0.35">
      <c r="A74" t="s">
        <v>68</v>
      </c>
      <c r="B74" t="s">
        <v>39</v>
      </c>
      <c r="C74" t="s">
        <v>40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4.8249554887439478E-3</v>
      </c>
    </row>
    <row r="75" spans="1:8" x14ac:dyDescent="0.35">
      <c r="A75" t="s">
        <v>68</v>
      </c>
      <c r="B75" t="s">
        <v>42</v>
      </c>
      <c r="C75" t="s">
        <v>40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4.8249554887439478E-3</v>
      </c>
    </row>
    <row r="76" spans="1:8" x14ac:dyDescent="0.35">
      <c r="A76" t="s">
        <v>68</v>
      </c>
      <c r="B76" t="s">
        <v>41</v>
      </c>
      <c r="C76" t="s">
        <v>38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4.7224478417125654E-3</v>
      </c>
    </row>
    <row r="77" spans="1:8" x14ac:dyDescent="0.35">
      <c r="A77" t="s">
        <v>68</v>
      </c>
      <c r="B77" t="s">
        <v>43</v>
      </c>
      <c r="C77" t="s">
        <v>38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4.7224478417125654E-3</v>
      </c>
    </row>
    <row r="78" spans="1:8" x14ac:dyDescent="0.35">
      <c r="A78" t="s">
        <v>68</v>
      </c>
      <c r="B78" t="s">
        <v>42</v>
      </c>
      <c r="C78" t="s">
        <v>40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4.7224478417125654E-3</v>
      </c>
    </row>
    <row r="79" spans="1:8" x14ac:dyDescent="0.35">
      <c r="A79" t="s">
        <v>68</v>
      </c>
      <c r="B79" t="s">
        <v>44</v>
      </c>
      <c r="C79" t="s">
        <v>40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4.7224478417125654E-3</v>
      </c>
    </row>
    <row r="80" spans="1:8" x14ac:dyDescent="0.35">
      <c r="A80" t="s">
        <v>68</v>
      </c>
      <c r="B80" t="s">
        <v>43</v>
      </c>
      <c r="C80" t="s">
        <v>38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5.3357040941452126E-3</v>
      </c>
    </row>
    <row r="81" spans="1:8" x14ac:dyDescent="0.35">
      <c r="A81" t="s">
        <v>68</v>
      </c>
      <c r="B81" t="s">
        <v>45</v>
      </c>
      <c r="C81" t="s">
        <v>38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5.3357040941452126E-3</v>
      </c>
    </row>
    <row r="82" spans="1:8" x14ac:dyDescent="0.35">
      <c r="A82" t="s">
        <v>68</v>
      </c>
      <c r="B82" t="s">
        <v>44</v>
      </c>
      <c r="C82" t="s">
        <v>40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5.3357040941452126E-3</v>
      </c>
    </row>
    <row r="83" spans="1:8" x14ac:dyDescent="0.35">
      <c r="A83" t="s">
        <v>68</v>
      </c>
      <c r="B83" t="s">
        <v>46</v>
      </c>
      <c r="C83" t="s">
        <v>40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5.3357040941452126E-3</v>
      </c>
    </row>
    <row r="84" spans="1:8" x14ac:dyDescent="0.35">
      <c r="A84" t="s">
        <v>68</v>
      </c>
      <c r="B84" t="s">
        <v>45</v>
      </c>
      <c r="C84" t="s">
        <v>38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5.4147439174576876E-3</v>
      </c>
    </row>
    <row r="85" spans="1:8" x14ac:dyDescent="0.35">
      <c r="A85" t="s">
        <v>68</v>
      </c>
      <c r="B85" t="s">
        <v>47</v>
      </c>
      <c r="C85" t="s">
        <v>38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5.4147439174576876E-3</v>
      </c>
    </row>
    <row r="86" spans="1:8" x14ac:dyDescent="0.35">
      <c r="A86" t="s">
        <v>68</v>
      </c>
      <c r="B86" t="s">
        <v>46</v>
      </c>
      <c r="C86" t="s">
        <v>40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5.4147439174576876E-3</v>
      </c>
    </row>
    <row r="87" spans="1:8" x14ac:dyDescent="0.35">
      <c r="A87" t="s">
        <v>68</v>
      </c>
      <c r="B87" t="s">
        <v>48</v>
      </c>
      <c r="C87" t="s">
        <v>40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5.4147439174576876E-3</v>
      </c>
    </row>
    <row r="88" spans="1:8" x14ac:dyDescent="0.35">
      <c r="A88" t="s">
        <v>68</v>
      </c>
      <c r="B88" t="s">
        <v>47</v>
      </c>
      <c r="C88" t="s">
        <v>38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5.3806800427406544E-3</v>
      </c>
    </row>
    <row r="89" spans="1:8" x14ac:dyDescent="0.35">
      <c r="A89" t="s">
        <v>68</v>
      </c>
      <c r="B89" t="s">
        <v>49</v>
      </c>
      <c r="C89" t="s">
        <v>38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5.3806800427406544E-3</v>
      </c>
    </row>
    <row r="90" spans="1:8" x14ac:dyDescent="0.35">
      <c r="A90" t="s">
        <v>68</v>
      </c>
      <c r="B90" t="s">
        <v>48</v>
      </c>
      <c r="C90" t="s">
        <v>40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5.3806800427406544E-3</v>
      </c>
    </row>
    <row r="91" spans="1:8" x14ac:dyDescent="0.35">
      <c r="A91" t="s">
        <v>68</v>
      </c>
      <c r="B91" t="s">
        <v>50</v>
      </c>
      <c r="C91" t="s">
        <v>40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5.3806800427406544E-3</v>
      </c>
    </row>
    <row r="92" spans="1:8" x14ac:dyDescent="0.35">
      <c r="A92" t="s">
        <v>68</v>
      </c>
      <c r="B92" t="s">
        <v>49</v>
      </c>
      <c r="C92" t="s">
        <v>38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6.2433576307011837E-3</v>
      </c>
    </row>
    <row r="93" spans="1:8" x14ac:dyDescent="0.35">
      <c r="A93" t="s">
        <v>68</v>
      </c>
      <c r="B93" t="s">
        <v>51</v>
      </c>
      <c r="C93" t="s">
        <v>38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6.2433576307011837E-3</v>
      </c>
    </row>
    <row r="94" spans="1:8" x14ac:dyDescent="0.35">
      <c r="A94" t="s">
        <v>68</v>
      </c>
      <c r="B94" t="s">
        <v>50</v>
      </c>
      <c r="C94" t="s">
        <v>40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6.2433576307011837E-3</v>
      </c>
    </row>
    <row r="95" spans="1:8" x14ac:dyDescent="0.35">
      <c r="A95" t="s">
        <v>68</v>
      </c>
      <c r="B95" t="s">
        <v>52</v>
      </c>
      <c r="C95" t="s">
        <v>40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6.2433576307011837E-3</v>
      </c>
    </row>
    <row r="96" spans="1:8" x14ac:dyDescent="0.35">
      <c r="A96" t="s">
        <v>68</v>
      </c>
      <c r="B96" t="s">
        <v>51</v>
      </c>
      <c r="C96" t="s">
        <v>38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6.8209627085312934E-3</v>
      </c>
    </row>
    <row r="97" spans="1:8" x14ac:dyDescent="0.35">
      <c r="A97" t="s">
        <v>68</v>
      </c>
      <c r="B97" t="s">
        <v>53</v>
      </c>
      <c r="C97" t="s">
        <v>38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6.8209627085312934E-3</v>
      </c>
    </row>
    <row r="98" spans="1:8" x14ac:dyDescent="0.35">
      <c r="A98" t="s">
        <v>68</v>
      </c>
      <c r="B98" t="s">
        <v>52</v>
      </c>
      <c r="C98" t="s">
        <v>40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6.8209627085312934E-3</v>
      </c>
    </row>
    <row r="99" spans="1:8" x14ac:dyDescent="0.35">
      <c r="A99" t="s">
        <v>68</v>
      </c>
      <c r="B99" t="s">
        <v>54</v>
      </c>
      <c r="C99" t="s">
        <v>40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6.8209627085312934E-3</v>
      </c>
    </row>
    <row r="100" spans="1:8" x14ac:dyDescent="0.35">
      <c r="A100" t="s">
        <v>68</v>
      </c>
      <c r="B100" t="s">
        <v>53</v>
      </c>
      <c r="C100" t="s">
        <v>38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7.0803682370956548E-3</v>
      </c>
    </row>
    <row r="101" spans="1:8" x14ac:dyDescent="0.35">
      <c r="A101" t="s">
        <v>68</v>
      </c>
      <c r="B101" t="s">
        <v>55</v>
      </c>
      <c r="C101" t="s">
        <v>38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7.0803682370956548E-3</v>
      </c>
    </row>
    <row r="102" spans="1:8" x14ac:dyDescent="0.35">
      <c r="A102" t="s">
        <v>68</v>
      </c>
      <c r="B102" t="s">
        <v>54</v>
      </c>
      <c r="C102" t="s">
        <v>40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7.0803682370956548E-3</v>
      </c>
    </row>
    <row r="103" spans="1:8" x14ac:dyDescent="0.35">
      <c r="A103" t="s">
        <v>68</v>
      </c>
      <c r="B103" t="s">
        <v>56</v>
      </c>
      <c r="C103" t="s">
        <v>40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7.0803682370956548E-3</v>
      </c>
    </row>
    <row r="104" spans="1:8" x14ac:dyDescent="0.35">
      <c r="A104" t="s">
        <v>69</v>
      </c>
      <c r="B104" t="s">
        <v>37</v>
      </c>
      <c r="C104" t="s">
        <v>38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9.8602791112884273E-4</v>
      </c>
    </row>
    <row r="105" spans="1:8" x14ac:dyDescent="0.35">
      <c r="A105" t="s">
        <v>69</v>
      </c>
      <c r="B105" t="s">
        <v>39</v>
      </c>
      <c r="C105" t="s">
        <v>40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9.8602791112884273E-4</v>
      </c>
    </row>
    <row r="106" spans="1:8" x14ac:dyDescent="0.35">
      <c r="A106" t="s">
        <v>69</v>
      </c>
      <c r="B106" t="s">
        <v>37</v>
      </c>
      <c r="C106" t="s">
        <v>38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8.5916088536536466E-4</v>
      </c>
    </row>
    <row r="107" spans="1:8" x14ac:dyDescent="0.35">
      <c r="A107" t="s">
        <v>69</v>
      </c>
      <c r="B107" t="s">
        <v>41</v>
      </c>
      <c r="C107" t="s">
        <v>38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8.5916088536536466E-4</v>
      </c>
    </row>
    <row r="108" spans="1:8" x14ac:dyDescent="0.35">
      <c r="A108" t="s">
        <v>69</v>
      </c>
      <c r="B108" t="s">
        <v>39</v>
      </c>
      <c r="C108" t="s">
        <v>40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8.5916088536536466E-4</v>
      </c>
    </row>
    <row r="109" spans="1:8" x14ac:dyDescent="0.35">
      <c r="A109" t="s">
        <v>69</v>
      </c>
      <c r="B109" t="s">
        <v>42</v>
      </c>
      <c r="C109" t="s">
        <v>40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8.5916088536536466E-4</v>
      </c>
    </row>
    <row r="110" spans="1:8" x14ac:dyDescent="0.35">
      <c r="A110" t="s">
        <v>69</v>
      </c>
      <c r="B110" t="s">
        <v>41</v>
      </c>
      <c r="C110" t="s">
        <v>38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9.4029754192236721E-4</v>
      </c>
    </row>
    <row r="111" spans="1:8" x14ac:dyDescent="0.35">
      <c r="A111" t="s">
        <v>69</v>
      </c>
      <c r="B111" t="s">
        <v>43</v>
      </c>
      <c r="C111" t="s">
        <v>38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9.4029754192236721E-4</v>
      </c>
    </row>
    <row r="112" spans="1:8" x14ac:dyDescent="0.35">
      <c r="A112" t="s">
        <v>69</v>
      </c>
      <c r="B112" t="s">
        <v>42</v>
      </c>
      <c r="C112" t="s">
        <v>40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9.4029754192236721E-4</v>
      </c>
    </row>
    <row r="113" spans="1:8" x14ac:dyDescent="0.35">
      <c r="A113" t="s">
        <v>69</v>
      </c>
      <c r="B113" t="s">
        <v>44</v>
      </c>
      <c r="C113" t="s">
        <v>40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9.4029754192236721E-4</v>
      </c>
    </row>
    <row r="114" spans="1:8" x14ac:dyDescent="0.35">
      <c r="A114" t="s">
        <v>69</v>
      </c>
      <c r="B114" t="s">
        <v>43</v>
      </c>
      <c r="C114" t="s">
        <v>38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9.163700818761272E-4</v>
      </c>
    </row>
    <row r="115" spans="1:8" x14ac:dyDescent="0.35">
      <c r="A115" t="s">
        <v>69</v>
      </c>
      <c r="B115" t="s">
        <v>45</v>
      </c>
      <c r="C115" t="s">
        <v>38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9.163700818761272E-4</v>
      </c>
    </row>
    <row r="116" spans="1:8" x14ac:dyDescent="0.35">
      <c r="A116" t="s">
        <v>69</v>
      </c>
      <c r="B116" t="s">
        <v>44</v>
      </c>
      <c r="C116" t="s">
        <v>40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9.163700818761272E-4</v>
      </c>
    </row>
    <row r="117" spans="1:8" x14ac:dyDescent="0.35">
      <c r="A117" t="s">
        <v>69</v>
      </c>
      <c r="B117" t="s">
        <v>46</v>
      </c>
      <c r="C117" t="s">
        <v>40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9.163700818761272E-4</v>
      </c>
    </row>
    <row r="118" spans="1:8" x14ac:dyDescent="0.35">
      <c r="A118" t="s">
        <v>69</v>
      </c>
      <c r="B118" t="s">
        <v>45</v>
      </c>
      <c r="C118" t="s">
        <v>38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9.2679802456791676E-4</v>
      </c>
    </row>
    <row r="119" spans="1:8" x14ac:dyDescent="0.35">
      <c r="A119" t="s">
        <v>69</v>
      </c>
      <c r="B119" t="s">
        <v>47</v>
      </c>
      <c r="C119" t="s">
        <v>38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9.2679802456791676E-4</v>
      </c>
    </row>
    <row r="120" spans="1:8" x14ac:dyDescent="0.35">
      <c r="A120" t="s">
        <v>69</v>
      </c>
      <c r="B120" t="s">
        <v>46</v>
      </c>
      <c r="C120" t="s">
        <v>40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9.2679802456791676E-4</v>
      </c>
    </row>
    <row r="121" spans="1:8" x14ac:dyDescent="0.35">
      <c r="A121" t="s">
        <v>69</v>
      </c>
      <c r="B121" t="s">
        <v>48</v>
      </c>
      <c r="C121" t="s">
        <v>40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9.2679802456791676E-4</v>
      </c>
    </row>
    <row r="122" spans="1:8" x14ac:dyDescent="0.35">
      <c r="A122" t="s">
        <v>69</v>
      </c>
      <c r="B122" t="s">
        <v>47</v>
      </c>
      <c r="C122" t="s">
        <v>38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8.8495785408932489E-4</v>
      </c>
    </row>
    <row r="123" spans="1:8" x14ac:dyDescent="0.35">
      <c r="A123" t="s">
        <v>69</v>
      </c>
      <c r="B123" t="s">
        <v>49</v>
      </c>
      <c r="C123" t="s">
        <v>38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8.8495785408932489E-4</v>
      </c>
    </row>
    <row r="124" spans="1:8" x14ac:dyDescent="0.35">
      <c r="A124" t="s">
        <v>69</v>
      </c>
      <c r="B124" t="s">
        <v>48</v>
      </c>
      <c r="C124" t="s">
        <v>40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8.8495785408932489E-4</v>
      </c>
    </row>
    <row r="125" spans="1:8" x14ac:dyDescent="0.35">
      <c r="A125" t="s">
        <v>69</v>
      </c>
      <c r="B125" t="s">
        <v>50</v>
      </c>
      <c r="C125" t="s">
        <v>40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8.8495785408932489E-4</v>
      </c>
    </row>
    <row r="126" spans="1:8" x14ac:dyDescent="0.35">
      <c r="A126" t="s">
        <v>69</v>
      </c>
      <c r="B126" t="s">
        <v>49</v>
      </c>
      <c r="C126" t="s">
        <v>38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1.055465061505679E-3</v>
      </c>
    </row>
    <row r="127" spans="1:8" x14ac:dyDescent="0.35">
      <c r="A127" t="s">
        <v>69</v>
      </c>
      <c r="B127" t="s">
        <v>51</v>
      </c>
      <c r="C127" t="s">
        <v>38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1.055465061505679E-3</v>
      </c>
    </row>
    <row r="128" spans="1:8" x14ac:dyDescent="0.35">
      <c r="A128" t="s">
        <v>69</v>
      </c>
      <c r="B128" t="s">
        <v>50</v>
      </c>
      <c r="C128" t="s">
        <v>40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1.055465061505679E-3</v>
      </c>
    </row>
    <row r="129" spans="1:8" x14ac:dyDescent="0.35">
      <c r="A129" t="s">
        <v>69</v>
      </c>
      <c r="B129" t="s">
        <v>52</v>
      </c>
      <c r="C129" t="s">
        <v>40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1.055465061505679E-3</v>
      </c>
    </row>
    <row r="130" spans="1:8" x14ac:dyDescent="0.35">
      <c r="A130" t="s">
        <v>69</v>
      </c>
      <c r="B130" t="s">
        <v>51</v>
      </c>
      <c r="C130" t="s">
        <v>38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1.0194633256850379E-3</v>
      </c>
    </row>
    <row r="131" spans="1:8" x14ac:dyDescent="0.35">
      <c r="A131" t="s">
        <v>69</v>
      </c>
      <c r="B131" t="s">
        <v>53</v>
      </c>
      <c r="C131" t="s">
        <v>38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1.0194633256850379E-3</v>
      </c>
    </row>
    <row r="132" spans="1:8" x14ac:dyDescent="0.35">
      <c r="A132" t="s">
        <v>69</v>
      </c>
      <c r="B132" t="s">
        <v>52</v>
      </c>
      <c r="C132" t="s">
        <v>40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1.0194633256850379E-3</v>
      </c>
    </row>
    <row r="133" spans="1:8" x14ac:dyDescent="0.35">
      <c r="A133" t="s">
        <v>69</v>
      </c>
      <c r="B133" t="s">
        <v>54</v>
      </c>
      <c r="C133" t="s">
        <v>40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1.0194633256850379E-3</v>
      </c>
    </row>
    <row r="134" spans="1:8" x14ac:dyDescent="0.35">
      <c r="A134" t="s">
        <v>69</v>
      </c>
      <c r="B134" t="s">
        <v>53</v>
      </c>
      <c r="C134" t="s">
        <v>38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1.030961216508944E-3</v>
      </c>
    </row>
    <row r="135" spans="1:8" x14ac:dyDescent="0.35">
      <c r="A135" t="s">
        <v>69</v>
      </c>
      <c r="B135" t="s">
        <v>55</v>
      </c>
      <c r="C135" t="s">
        <v>38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1.030961216508944E-3</v>
      </c>
    </row>
    <row r="136" spans="1:8" x14ac:dyDescent="0.35">
      <c r="A136" t="s">
        <v>69</v>
      </c>
      <c r="B136" t="s">
        <v>54</v>
      </c>
      <c r="C136" t="s">
        <v>40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1.030961216508944E-3</v>
      </c>
    </row>
    <row r="137" spans="1:8" x14ac:dyDescent="0.35">
      <c r="A137" t="s">
        <v>69</v>
      </c>
      <c r="B137" t="s">
        <v>56</v>
      </c>
      <c r="C137" t="s">
        <v>40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1.030961216508944E-3</v>
      </c>
    </row>
    <row r="138" spans="1:8" x14ac:dyDescent="0.35">
      <c r="A138" t="s">
        <v>70</v>
      </c>
      <c r="B138" t="s">
        <v>37</v>
      </c>
      <c r="C138" t="s">
        <v>38</v>
      </c>
      <c r="D138">
        <v>2011</v>
      </c>
      <c r="E138">
        <v>3.0836871961199548</v>
      </c>
      <c r="F138">
        <v>2.3627089602501679</v>
      </c>
      <c r="G138">
        <f t="shared" si="2"/>
        <v>-0.72097823586978693</v>
      </c>
      <c r="H138">
        <v>2.246638775038663E-3</v>
      </c>
    </row>
    <row r="139" spans="1:8" x14ac:dyDescent="0.35">
      <c r="A139" t="s">
        <v>70</v>
      </c>
      <c r="B139" t="s">
        <v>39</v>
      </c>
      <c r="C139" t="s">
        <v>40</v>
      </c>
      <c r="D139">
        <v>2011</v>
      </c>
      <c r="E139">
        <v>3.7117323527364081</v>
      </c>
      <c r="F139">
        <v>2.3627089602501679</v>
      </c>
      <c r="G139">
        <f t="shared" si="2"/>
        <v>-1.3490233924862403</v>
      </c>
      <c r="H139">
        <v>2.246638775038663E-3</v>
      </c>
    </row>
    <row r="140" spans="1:8" x14ac:dyDescent="0.35">
      <c r="A140" t="s">
        <v>70</v>
      </c>
      <c r="B140" t="s">
        <v>37</v>
      </c>
      <c r="C140" t="s">
        <v>38</v>
      </c>
      <c r="D140">
        <v>2012</v>
      </c>
      <c r="E140">
        <v>1.3616175851251631</v>
      </c>
      <c r="F140">
        <v>-1.535091308900344</v>
      </c>
      <c r="G140">
        <f t="shared" si="2"/>
        <v>-2.8967088940255072</v>
      </c>
      <c r="H140">
        <v>2.221772318620354E-3</v>
      </c>
    </row>
    <row r="141" spans="1:8" x14ac:dyDescent="0.35">
      <c r="A141" t="s">
        <v>70</v>
      </c>
      <c r="B141" t="s">
        <v>41</v>
      </c>
      <c r="C141" t="s">
        <v>38</v>
      </c>
      <c r="D141">
        <v>2012</v>
      </c>
      <c r="E141">
        <v>8.5468057722093427E-2</v>
      </c>
      <c r="F141">
        <v>-1.535091308900344</v>
      </c>
      <c r="G141">
        <f t="shared" si="2"/>
        <v>-1.6205593666224374</v>
      </c>
      <c r="H141">
        <v>2.221772318620354E-3</v>
      </c>
    </row>
    <row r="142" spans="1:8" x14ac:dyDescent="0.35">
      <c r="A142" t="s">
        <v>70</v>
      </c>
      <c r="B142" t="s">
        <v>39</v>
      </c>
      <c r="C142" t="s">
        <v>40</v>
      </c>
      <c r="D142">
        <v>2012</v>
      </c>
      <c r="E142">
        <v>2.5703100446408111</v>
      </c>
      <c r="F142">
        <v>-1.535091308900344</v>
      </c>
      <c r="G142">
        <f t="shared" si="2"/>
        <v>-4.1054013535411551</v>
      </c>
      <c r="H142">
        <v>2.221772318620354E-3</v>
      </c>
    </row>
    <row r="143" spans="1:8" x14ac:dyDescent="0.35">
      <c r="A143" t="s">
        <v>70</v>
      </c>
      <c r="B143" t="s">
        <v>42</v>
      </c>
      <c r="C143" t="s">
        <v>40</v>
      </c>
      <c r="D143">
        <v>2012</v>
      </c>
      <c r="E143">
        <v>0.75750436999100224</v>
      </c>
      <c r="F143">
        <v>-1.535091308900344</v>
      </c>
      <c r="G143">
        <f t="shared" si="2"/>
        <v>-2.2925956788913462</v>
      </c>
      <c r="H143">
        <v>2.221772318620354E-3</v>
      </c>
    </row>
    <row r="144" spans="1:8" x14ac:dyDescent="0.35">
      <c r="A144" t="s">
        <v>70</v>
      </c>
      <c r="B144" t="s">
        <v>41</v>
      </c>
      <c r="C144" t="s">
        <v>38</v>
      </c>
      <c r="D144">
        <v>2013</v>
      </c>
      <c r="E144">
        <v>0.81963861469160904</v>
      </c>
      <c r="F144">
        <v>-0.98304238782565612</v>
      </c>
      <c r="G144">
        <f t="shared" si="2"/>
        <v>-1.8026810025172653</v>
      </c>
      <c r="H144">
        <v>2.2729743091563109E-3</v>
      </c>
    </row>
    <row r="145" spans="1:8" x14ac:dyDescent="0.35">
      <c r="A145" t="s">
        <v>70</v>
      </c>
      <c r="B145" t="s">
        <v>43</v>
      </c>
      <c r="C145" t="s">
        <v>38</v>
      </c>
      <c r="D145">
        <v>2013</v>
      </c>
      <c r="E145">
        <v>-0.64479636656290529</v>
      </c>
      <c r="F145">
        <v>-0.98304238782565612</v>
      </c>
      <c r="G145">
        <f t="shared" si="2"/>
        <v>-0.33824602126275083</v>
      </c>
      <c r="H145">
        <v>2.2729743091563109E-3</v>
      </c>
    </row>
    <row r="146" spans="1:8" x14ac:dyDescent="0.35">
      <c r="A146" t="s">
        <v>70</v>
      </c>
      <c r="B146" t="s">
        <v>42</v>
      </c>
      <c r="C146" t="s">
        <v>40</v>
      </c>
      <c r="D146">
        <v>2013</v>
      </c>
      <c r="E146">
        <v>1.5995384631571461</v>
      </c>
      <c r="F146">
        <v>-0.98304238782565612</v>
      </c>
      <c r="G146">
        <f t="shared" si="2"/>
        <v>-2.5825808509828021</v>
      </c>
      <c r="H146">
        <v>2.2729743091563109E-3</v>
      </c>
    </row>
    <row r="147" spans="1:8" x14ac:dyDescent="0.35">
      <c r="A147" t="s">
        <v>70</v>
      </c>
      <c r="B147" t="s">
        <v>44</v>
      </c>
      <c r="C147" t="s">
        <v>40</v>
      </c>
      <c r="D147">
        <v>2013</v>
      </c>
      <c r="E147">
        <v>0.28709236983106567</v>
      </c>
      <c r="F147">
        <v>-0.98304238782565612</v>
      </c>
      <c r="G147">
        <f t="shared" si="2"/>
        <v>-1.2701347576567219</v>
      </c>
      <c r="H147">
        <v>2.2729743091563109E-3</v>
      </c>
    </row>
    <row r="148" spans="1:8" x14ac:dyDescent="0.35">
      <c r="A148" t="s">
        <v>70</v>
      </c>
      <c r="B148" t="s">
        <v>43</v>
      </c>
      <c r="C148" t="s">
        <v>38</v>
      </c>
      <c r="D148">
        <v>2014</v>
      </c>
      <c r="E148">
        <v>0.58013506796126268</v>
      </c>
      <c r="F148">
        <v>-0.47970961562021558</v>
      </c>
      <c r="G148">
        <f t="shared" si="2"/>
        <v>-1.0598446835814783</v>
      </c>
      <c r="H148">
        <v>2.2995608675575492E-3</v>
      </c>
    </row>
    <row r="149" spans="1:8" x14ac:dyDescent="0.35">
      <c r="A149" t="s">
        <v>70</v>
      </c>
      <c r="B149" t="s">
        <v>45</v>
      </c>
      <c r="C149" t="s">
        <v>38</v>
      </c>
      <c r="D149">
        <v>2014</v>
      </c>
      <c r="E149">
        <v>-0.44253897907734491</v>
      </c>
      <c r="F149">
        <v>-0.47970961562021558</v>
      </c>
      <c r="G149">
        <f t="shared" si="2"/>
        <v>-3.7170636542870672E-2</v>
      </c>
      <c r="H149">
        <v>2.2995608675575492E-3</v>
      </c>
    </row>
    <row r="150" spans="1:8" x14ac:dyDescent="0.35">
      <c r="A150" t="s">
        <v>70</v>
      </c>
      <c r="B150" t="s">
        <v>44</v>
      </c>
      <c r="C150" t="s">
        <v>40</v>
      </c>
      <c r="D150">
        <v>2014</v>
      </c>
      <c r="E150">
        <v>1.00425732590641</v>
      </c>
      <c r="F150">
        <v>-0.47970961562021558</v>
      </c>
      <c r="G150">
        <f t="shared" si="2"/>
        <v>-1.4839669415266257</v>
      </c>
      <c r="H150">
        <v>2.2995608675575492E-3</v>
      </c>
    </row>
    <row r="151" spans="1:8" x14ac:dyDescent="0.35">
      <c r="A151" t="s">
        <v>70</v>
      </c>
      <c r="B151" t="s">
        <v>46</v>
      </c>
      <c r="C151" t="s">
        <v>40</v>
      </c>
      <c r="D151">
        <v>2014</v>
      </c>
      <c r="E151">
        <v>0.1752479290949793</v>
      </c>
      <c r="F151">
        <v>-0.47970961562021558</v>
      </c>
      <c r="G151">
        <f t="shared" si="2"/>
        <v>-0.65495754471519485</v>
      </c>
      <c r="H151">
        <v>2.2995608675575492E-3</v>
      </c>
    </row>
    <row r="152" spans="1:8" x14ac:dyDescent="0.35">
      <c r="A152" t="s">
        <v>70</v>
      </c>
      <c r="B152" t="s">
        <v>45</v>
      </c>
      <c r="C152" t="s">
        <v>38</v>
      </c>
      <c r="D152">
        <v>2015</v>
      </c>
      <c r="E152">
        <v>0.6115453306968277</v>
      </c>
      <c r="F152">
        <v>0.46533578746174248</v>
      </c>
      <c r="G152">
        <f t="shared" si="2"/>
        <v>-0.14620954323508523</v>
      </c>
      <c r="H152">
        <v>2.3842383404991431E-3</v>
      </c>
    </row>
    <row r="153" spans="1:8" x14ac:dyDescent="0.35">
      <c r="A153" t="s">
        <v>70</v>
      </c>
      <c r="B153" t="s">
        <v>47</v>
      </c>
      <c r="C153" t="s">
        <v>38</v>
      </c>
      <c r="D153">
        <v>2015</v>
      </c>
      <c r="E153">
        <v>0.33999838965084178</v>
      </c>
      <c r="F153">
        <v>0.46533578746174248</v>
      </c>
      <c r="G153">
        <f t="shared" si="2"/>
        <v>0.1253373978109007</v>
      </c>
      <c r="H153">
        <v>2.3842383404991431E-3</v>
      </c>
    </row>
    <row r="154" spans="1:8" x14ac:dyDescent="0.35">
      <c r="A154" t="s">
        <v>70</v>
      </c>
      <c r="B154" t="s">
        <v>46</v>
      </c>
      <c r="C154" t="s">
        <v>40</v>
      </c>
      <c r="D154">
        <v>2015</v>
      </c>
      <c r="E154">
        <v>1.03813878882193</v>
      </c>
      <c r="F154">
        <v>0.46533578746174248</v>
      </c>
      <c r="G154">
        <f t="shared" si="2"/>
        <v>-0.57280300136018747</v>
      </c>
      <c r="H154">
        <v>2.3842383404991431E-3</v>
      </c>
    </row>
    <row r="155" spans="1:8" x14ac:dyDescent="0.35">
      <c r="A155" t="s">
        <v>70</v>
      </c>
      <c r="B155" t="s">
        <v>48</v>
      </c>
      <c r="C155" t="s">
        <v>40</v>
      </c>
      <c r="D155">
        <v>2015</v>
      </c>
      <c r="E155">
        <v>0.34221817011690359</v>
      </c>
      <c r="F155">
        <v>0.46533578746174248</v>
      </c>
      <c r="G155">
        <f t="shared" si="2"/>
        <v>0.12311761734483889</v>
      </c>
      <c r="H155">
        <v>2.3842383404991431E-3</v>
      </c>
    </row>
    <row r="156" spans="1:8" x14ac:dyDescent="0.35">
      <c r="A156" t="s">
        <v>70</v>
      </c>
      <c r="B156" t="s">
        <v>47</v>
      </c>
      <c r="C156" t="s">
        <v>38</v>
      </c>
      <c r="D156">
        <v>2016</v>
      </c>
      <c r="E156">
        <v>0.66078776686688823</v>
      </c>
      <c r="F156">
        <v>2.5394630680659041</v>
      </c>
      <c r="G156">
        <f t="shared" si="2"/>
        <v>1.8786753011990158</v>
      </c>
      <c r="H156">
        <v>2.119508085382079E-3</v>
      </c>
    </row>
    <row r="157" spans="1:8" x14ac:dyDescent="0.35">
      <c r="A157" t="s">
        <v>70</v>
      </c>
      <c r="B157" t="s">
        <v>49</v>
      </c>
      <c r="C157" t="s">
        <v>38</v>
      </c>
      <c r="D157">
        <v>2016</v>
      </c>
      <c r="E157">
        <v>0.8211412144474739</v>
      </c>
      <c r="F157">
        <v>2.5394630680659041</v>
      </c>
      <c r="G157">
        <f t="shared" si="2"/>
        <v>1.7183218536184302</v>
      </c>
      <c r="H157">
        <v>2.119508085382079E-3</v>
      </c>
    </row>
    <row r="158" spans="1:8" x14ac:dyDescent="0.35">
      <c r="A158" t="s">
        <v>70</v>
      </c>
      <c r="B158" t="s">
        <v>48</v>
      </c>
      <c r="C158" t="s">
        <v>40</v>
      </c>
      <c r="D158">
        <v>2016</v>
      </c>
      <c r="E158">
        <v>1.029139259030432</v>
      </c>
      <c r="F158">
        <v>2.5394630680659041</v>
      </c>
      <c r="G158">
        <f t="shared" si="2"/>
        <v>1.510323809035472</v>
      </c>
      <c r="H158">
        <v>2.119508085382079E-3</v>
      </c>
    </row>
    <row r="159" spans="1:8" x14ac:dyDescent="0.35">
      <c r="A159" t="s">
        <v>70</v>
      </c>
      <c r="B159" t="s">
        <v>50</v>
      </c>
      <c r="C159" t="s">
        <v>40</v>
      </c>
      <c r="D159">
        <v>2016</v>
      </c>
      <c r="E159">
        <v>0.68041183214515577</v>
      </c>
      <c r="F159">
        <v>2.5394630680659041</v>
      </c>
      <c r="G159">
        <f t="shared" si="2"/>
        <v>1.8590512359207483</v>
      </c>
      <c r="H159">
        <v>2.119508085382079E-3</v>
      </c>
    </row>
    <row r="160" spans="1:8" x14ac:dyDescent="0.35">
      <c r="A160" t="s">
        <v>70</v>
      </c>
      <c r="B160" t="s">
        <v>49</v>
      </c>
      <c r="C160" t="s">
        <v>38</v>
      </c>
      <c r="D160">
        <v>2017</v>
      </c>
      <c r="E160">
        <v>0.7788253796826794</v>
      </c>
      <c r="F160">
        <v>3.2509193804219478</v>
      </c>
      <c r="G160">
        <f t="shared" si="2"/>
        <v>2.4720940007392684</v>
      </c>
      <c r="H160">
        <v>2.32800040837888E-3</v>
      </c>
    </row>
    <row r="161" spans="1:8" x14ac:dyDescent="0.35">
      <c r="A161" t="s">
        <v>70</v>
      </c>
      <c r="B161" t="s">
        <v>51</v>
      </c>
      <c r="C161" t="s">
        <v>38</v>
      </c>
      <c r="D161">
        <v>2017</v>
      </c>
      <c r="E161">
        <v>3.2999705467780189</v>
      </c>
      <c r="F161">
        <v>3.2509193804219478</v>
      </c>
      <c r="G161">
        <f t="shared" si="2"/>
        <v>-4.9051166356071096E-2</v>
      </c>
      <c r="H161">
        <v>2.32800040837888E-3</v>
      </c>
    </row>
    <row r="162" spans="1:8" x14ac:dyDescent="0.35">
      <c r="A162" t="s">
        <v>70</v>
      </c>
      <c r="B162" t="s">
        <v>50</v>
      </c>
      <c r="C162" t="s">
        <v>40</v>
      </c>
      <c r="D162">
        <v>2017</v>
      </c>
      <c r="E162">
        <v>0.72652337554917068</v>
      </c>
      <c r="F162">
        <v>3.2509193804219478</v>
      </c>
      <c r="G162">
        <f t="shared" si="2"/>
        <v>2.5243960048727772</v>
      </c>
      <c r="H162">
        <v>2.32800040837888E-3</v>
      </c>
    </row>
    <row r="163" spans="1:8" x14ac:dyDescent="0.35">
      <c r="A163" t="s">
        <v>70</v>
      </c>
      <c r="B163" t="s">
        <v>52</v>
      </c>
      <c r="C163" t="s">
        <v>40</v>
      </c>
      <c r="D163">
        <v>2017</v>
      </c>
      <c r="E163">
        <v>1.2981877046543739</v>
      </c>
      <c r="F163">
        <v>3.2509193804219478</v>
      </c>
      <c r="G163">
        <f t="shared" si="2"/>
        <v>1.9527316757675739</v>
      </c>
      <c r="H163">
        <v>2.32800040837888E-3</v>
      </c>
    </row>
    <row r="164" spans="1:8" x14ac:dyDescent="0.35">
      <c r="A164" t="s">
        <v>70</v>
      </c>
      <c r="B164" t="s">
        <v>51</v>
      </c>
      <c r="C164" t="s">
        <v>38</v>
      </c>
      <c r="D164">
        <v>2018</v>
      </c>
      <c r="E164">
        <v>2.6543445907794232</v>
      </c>
      <c r="F164">
        <v>1.1858569030435471</v>
      </c>
      <c r="G164">
        <f t="shared" si="2"/>
        <v>-1.4684876877358761</v>
      </c>
      <c r="H164">
        <v>2.5051102543123412E-3</v>
      </c>
    </row>
    <row r="165" spans="1:8" x14ac:dyDescent="0.35">
      <c r="A165" t="s">
        <v>70</v>
      </c>
      <c r="B165" t="s">
        <v>53</v>
      </c>
      <c r="C165" t="s">
        <v>38</v>
      </c>
      <c r="D165">
        <v>2018</v>
      </c>
      <c r="E165">
        <v>2.8893530093298199</v>
      </c>
      <c r="F165">
        <v>1.1858569030435471</v>
      </c>
      <c r="G165">
        <f t="shared" si="2"/>
        <v>-1.7034961062862728</v>
      </c>
      <c r="H165">
        <v>2.5051102543123412E-3</v>
      </c>
    </row>
    <row r="166" spans="1:8" x14ac:dyDescent="0.35">
      <c r="A166" t="s">
        <v>70</v>
      </c>
      <c r="B166" t="s">
        <v>52</v>
      </c>
      <c r="C166" t="s">
        <v>40</v>
      </c>
      <c r="D166">
        <v>2018</v>
      </c>
      <c r="E166">
        <v>1.745345139008192</v>
      </c>
      <c r="F166">
        <v>1.1858569030435471</v>
      </c>
      <c r="G166">
        <f t="shared" si="2"/>
        <v>-0.55948823596464492</v>
      </c>
      <c r="H166">
        <v>2.5051102543123412E-3</v>
      </c>
    </row>
    <row r="167" spans="1:8" x14ac:dyDescent="0.35">
      <c r="A167" t="s">
        <v>70</v>
      </c>
      <c r="B167" t="s">
        <v>54</v>
      </c>
      <c r="C167" t="s">
        <v>40</v>
      </c>
      <c r="D167">
        <v>2018</v>
      </c>
      <c r="E167">
        <v>2.519865182310288</v>
      </c>
      <c r="F167">
        <v>1.1858569030435471</v>
      </c>
      <c r="G167">
        <f t="shared" si="2"/>
        <v>-1.3340082792667409</v>
      </c>
      <c r="H167">
        <v>2.5051102543123412E-3</v>
      </c>
    </row>
    <row r="168" spans="1:8" x14ac:dyDescent="0.35">
      <c r="A168" t="s">
        <v>70</v>
      </c>
      <c r="B168" t="s">
        <v>53</v>
      </c>
      <c r="C168" t="s">
        <v>38</v>
      </c>
      <c r="D168">
        <v>2019</v>
      </c>
      <c r="E168">
        <v>2.1742555460234851</v>
      </c>
      <c r="F168">
        <v>1.3406806953806429</v>
      </c>
      <c r="G168">
        <f t="shared" si="2"/>
        <v>-0.8335748506428422</v>
      </c>
      <c r="H168">
        <v>2.3865214906629842E-3</v>
      </c>
    </row>
    <row r="169" spans="1:8" x14ac:dyDescent="0.35">
      <c r="A169" t="s">
        <v>70</v>
      </c>
      <c r="B169" t="s">
        <v>55</v>
      </c>
      <c r="C169" t="s">
        <v>38</v>
      </c>
      <c r="D169">
        <v>2019</v>
      </c>
      <c r="E169">
        <v>1.354791564440649</v>
      </c>
      <c r="F169">
        <v>1.3406806953806429</v>
      </c>
      <c r="G169">
        <f t="shared" si="2"/>
        <v>-1.4110869060006026E-2</v>
      </c>
      <c r="H169">
        <v>2.3865214906629842E-3</v>
      </c>
    </row>
    <row r="170" spans="1:8" x14ac:dyDescent="0.35">
      <c r="A170" t="s">
        <v>70</v>
      </c>
      <c r="B170" t="s">
        <v>54</v>
      </c>
      <c r="C170" t="s">
        <v>40</v>
      </c>
      <c r="D170">
        <v>2019</v>
      </c>
      <c r="E170">
        <v>2.2702366672909808</v>
      </c>
      <c r="F170">
        <v>1.3406806953806429</v>
      </c>
      <c r="G170">
        <f t="shared" si="2"/>
        <v>-0.9295559719103379</v>
      </c>
      <c r="H170">
        <v>2.3865214906629842E-3</v>
      </c>
    </row>
    <row r="171" spans="1:8" x14ac:dyDescent="0.35">
      <c r="A171" t="s">
        <v>70</v>
      </c>
      <c r="B171" t="s">
        <v>56</v>
      </c>
      <c r="C171" t="s">
        <v>40</v>
      </c>
      <c r="D171">
        <v>2019</v>
      </c>
      <c r="E171">
        <v>1.638521358484613</v>
      </c>
      <c r="F171">
        <v>1.3406806953806429</v>
      </c>
      <c r="G171">
        <f t="shared" si="2"/>
        <v>-0.29784066310397006</v>
      </c>
      <c r="H171">
        <v>2.3865214906629842E-3</v>
      </c>
    </row>
    <row r="172" spans="1:8" x14ac:dyDescent="0.35">
      <c r="A172" t="s">
        <v>73</v>
      </c>
      <c r="B172" t="s">
        <v>37</v>
      </c>
      <c r="C172" t="s">
        <v>38</v>
      </c>
      <c r="D172">
        <v>2011</v>
      </c>
      <c r="E172">
        <v>1.6159410538217229</v>
      </c>
      <c r="F172">
        <v>2.4520659404670382</v>
      </c>
      <c r="G172">
        <f t="shared" si="2"/>
        <v>0.83612488664531526</v>
      </c>
      <c r="H172">
        <v>4.1600953365570287E-3</v>
      </c>
    </row>
    <row r="173" spans="1:8" x14ac:dyDescent="0.35">
      <c r="A173" t="s">
        <v>73</v>
      </c>
      <c r="B173" t="s">
        <v>39</v>
      </c>
      <c r="C173" t="s">
        <v>40</v>
      </c>
      <c r="D173">
        <v>2011</v>
      </c>
      <c r="E173">
        <v>1.7720935903862369</v>
      </c>
      <c r="F173">
        <v>2.4520659404670382</v>
      </c>
      <c r="G173">
        <f t="shared" si="2"/>
        <v>0.67997235008080126</v>
      </c>
      <c r="H173">
        <v>4.1600953365570287E-3</v>
      </c>
    </row>
    <row r="174" spans="1:8" x14ac:dyDescent="0.35">
      <c r="A174" t="s">
        <v>73</v>
      </c>
      <c r="B174" t="s">
        <v>37</v>
      </c>
      <c r="C174" t="s">
        <v>38</v>
      </c>
      <c r="D174">
        <v>2012</v>
      </c>
      <c r="E174">
        <v>0.55167308327404019</v>
      </c>
      <c r="F174">
        <v>0.226946609537066</v>
      </c>
      <c r="G174">
        <f t="shared" si="2"/>
        <v>-0.32472647373697416</v>
      </c>
      <c r="H174">
        <v>3.0575260075342962E-3</v>
      </c>
    </row>
    <row r="175" spans="1:8" x14ac:dyDescent="0.35">
      <c r="A175" t="s">
        <v>73</v>
      </c>
      <c r="B175" t="s">
        <v>41</v>
      </c>
      <c r="C175" t="s">
        <v>38</v>
      </c>
      <c r="D175">
        <v>2012</v>
      </c>
      <c r="E175">
        <v>0.191602674222735</v>
      </c>
      <c r="F175">
        <v>0.226946609537066</v>
      </c>
      <c r="G175">
        <f t="shared" si="2"/>
        <v>3.5343935314330999E-2</v>
      </c>
      <c r="H175">
        <v>3.0575260075342962E-3</v>
      </c>
    </row>
    <row r="176" spans="1:8" x14ac:dyDescent="0.35">
      <c r="A176" t="s">
        <v>73</v>
      </c>
      <c r="B176" t="s">
        <v>39</v>
      </c>
      <c r="C176" t="s">
        <v>40</v>
      </c>
      <c r="D176">
        <v>2012</v>
      </c>
      <c r="E176">
        <v>2.040883011076966</v>
      </c>
      <c r="F176">
        <v>0.226946609537066</v>
      </c>
      <c r="G176">
        <f t="shared" si="2"/>
        <v>-1.8139364015399</v>
      </c>
      <c r="H176">
        <v>3.0575260075342962E-3</v>
      </c>
    </row>
    <row r="177" spans="1:8" x14ac:dyDescent="0.35">
      <c r="A177" t="s">
        <v>73</v>
      </c>
      <c r="B177" t="s">
        <v>42</v>
      </c>
      <c r="C177" t="s">
        <v>40</v>
      </c>
      <c r="D177">
        <v>2012</v>
      </c>
      <c r="E177">
        <v>0.47308017111291623</v>
      </c>
      <c r="F177">
        <v>0.226946609537066</v>
      </c>
      <c r="G177">
        <f t="shared" si="2"/>
        <v>-0.24613356157585023</v>
      </c>
      <c r="H177">
        <v>3.0575260075342962E-3</v>
      </c>
    </row>
    <row r="178" spans="1:8" x14ac:dyDescent="0.35">
      <c r="A178" t="s">
        <v>73</v>
      </c>
      <c r="B178" t="s">
        <v>41</v>
      </c>
      <c r="C178" t="s">
        <v>38</v>
      </c>
      <c r="D178">
        <v>2013</v>
      </c>
      <c r="E178">
        <v>0.38047816820923058</v>
      </c>
      <c r="F178">
        <v>0.92634815984379837</v>
      </c>
      <c r="G178">
        <f t="shared" si="2"/>
        <v>0.54586999163456773</v>
      </c>
      <c r="H178">
        <v>2.824804133814965E-3</v>
      </c>
    </row>
    <row r="179" spans="1:8" x14ac:dyDescent="0.35">
      <c r="A179" t="s">
        <v>73</v>
      </c>
      <c r="B179" t="s">
        <v>43</v>
      </c>
      <c r="C179" t="s">
        <v>38</v>
      </c>
      <c r="D179">
        <v>2013</v>
      </c>
      <c r="E179">
        <v>0.21992165083872811</v>
      </c>
      <c r="F179">
        <v>0.92634815984379837</v>
      </c>
      <c r="G179">
        <f t="shared" si="2"/>
        <v>0.70642650900507031</v>
      </c>
      <c r="H179">
        <v>2.824804133814965E-3</v>
      </c>
    </row>
    <row r="180" spans="1:8" x14ac:dyDescent="0.35">
      <c r="A180" t="s">
        <v>73</v>
      </c>
      <c r="B180" t="s">
        <v>42</v>
      </c>
      <c r="C180" t="s">
        <v>40</v>
      </c>
      <c r="D180">
        <v>2013</v>
      </c>
      <c r="E180">
        <v>1.3369944796204569</v>
      </c>
      <c r="F180">
        <v>0.92634815984379837</v>
      </c>
      <c r="G180">
        <f t="shared" si="2"/>
        <v>-0.41064631977665855</v>
      </c>
      <c r="H180">
        <v>2.824804133814965E-3</v>
      </c>
    </row>
    <row r="181" spans="1:8" x14ac:dyDescent="0.35">
      <c r="A181" t="s">
        <v>73</v>
      </c>
      <c r="B181" t="s">
        <v>44</v>
      </c>
      <c r="C181" t="s">
        <v>40</v>
      </c>
      <c r="D181">
        <v>2013</v>
      </c>
      <c r="E181">
        <v>-9.6293692429949562E-2</v>
      </c>
      <c r="F181">
        <v>0.92634815984379837</v>
      </c>
      <c r="G181">
        <f t="shared" si="2"/>
        <v>1.0226418522737479</v>
      </c>
      <c r="H181">
        <v>2.824804133814965E-3</v>
      </c>
    </row>
    <row r="182" spans="1:8" x14ac:dyDescent="0.35">
      <c r="A182" t="s">
        <v>73</v>
      </c>
      <c r="B182" t="s">
        <v>43</v>
      </c>
      <c r="C182" t="s">
        <v>38</v>
      </c>
      <c r="D182">
        <v>2014</v>
      </c>
      <c r="E182">
        <v>0.91019216638974498</v>
      </c>
      <c r="F182">
        <v>0.99281792910282507</v>
      </c>
      <c r="G182">
        <f t="shared" si="2"/>
        <v>8.2625762713080086E-2</v>
      </c>
      <c r="H182">
        <v>2.676056613142241E-3</v>
      </c>
    </row>
    <row r="183" spans="1:8" x14ac:dyDescent="0.35">
      <c r="A183" t="s">
        <v>73</v>
      </c>
      <c r="B183" t="s">
        <v>45</v>
      </c>
      <c r="C183" t="s">
        <v>38</v>
      </c>
      <c r="D183">
        <v>2014</v>
      </c>
      <c r="E183">
        <v>0.31811884101464738</v>
      </c>
      <c r="F183">
        <v>0.99281792910282507</v>
      </c>
      <c r="G183">
        <f t="shared" si="2"/>
        <v>0.67469908808817769</v>
      </c>
      <c r="H183">
        <v>2.676056613142241E-3</v>
      </c>
    </row>
    <row r="184" spans="1:8" x14ac:dyDescent="0.35">
      <c r="A184" t="s">
        <v>73</v>
      </c>
      <c r="B184" t="s">
        <v>44</v>
      </c>
      <c r="C184" t="s">
        <v>40</v>
      </c>
      <c r="D184">
        <v>2014</v>
      </c>
      <c r="E184">
        <v>1.095437649770115</v>
      </c>
      <c r="F184">
        <v>0.99281792910282507</v>
      </c>
      <c r="G184">
        <f t="shared" si="2"/>
        <v>-0.10261972066728997</v>
      </c>
      <c r="H184">
        <v>2.676056613142241E-3</v>
      </c>
    </row>
    <row r="185" spans="1:8" x14ac:dyDescent="0.35">
      <c r="A185" t="s">
        <v>73</v>
      </c>
      <c r="B185" t="s">
        <v>46</v>
      </c>
      <c r="C185" t="s">
        <v>40</v>
      </c>
      <c r="D185">
        <v>2014</v>
      </c>
      <c r="E185">
        <v>0.97562348050159731</v>
      </c>
      <c r="F185">
        <v>0.99281792910282507</v>
      </c>
      <c r="G185">
        <f t="shared" si="2"/>
        <v>1.7194448601227763E-2</v>
      </c>
      <c r="H185">
        <v>2.676056613142241E-3</v>
      </c>
    </row>
    <row r="186" spans="1:8" x14ac:dyDescent="0.35">
      <c r="A186" t="s">
        <v>73</v>
      </c>
      <c r="B186" t="s">
        <v>45</v>
      </c>
      <c r="C186" t="s">
        <v>38</v>
      </c>
      <c r="D186">
        <v>2015</v>
      </c>
      <c r="E186">
        <v>0.69497120757255892</v>
      </c>
      <c r="F186">
        <v>0.99352475042418931</v>
      </c>
      <c r="G186">
        <f t="shared" si="2"/>
        <v>0.29855354285163038</v>
      </c>
      <c r="H186">
        <v>2.8317362322561861E-3</v>
      </c>
    </row>
    <row r="187" spans="1:8" x14ac:dyDescent="0.35">
      <c r="A187" t="s">
        <v>73</v>
      </c>
      <c r="B187" t="s">
        <v>47</v>
      </c>
      <c r="C187" t="s">
        <v>38</v>
      </c>
      <c r="D187">
        <v>2015</v>
      </c>
      <c r="E187">
        <v>1.0829396488476919</v>
      </c>
      <c r="F187">
        <v>0.99352475042418931</v>
      </c>
      <c r="G187">
        <f t="shared" si="2"/>
        <v>-8.9414898423502587E-2</v>
      </c>
      <c r="H187">
        <v>2.8317362322561861E-3</v>
      </c>
    </row>
    <row r="188" spans="1:8" x14ac:dyDescent="0.35">
      <c r="A188" t="s">
        <v>73</v>
      </c>
      <c r="B188" t="s">
        <v>46</v>
      </c>
      <c r="C188" t="s">
        <v>40</v>
      </c>
      <c r="D188">
        <v>2015</v>
      </c>
      <c r="E188">
        <v>1.4732524317461191</v>
      </c>
      <c r="F188">
        <v>0.99352475042418931</v>
      </c>
      <c r="G188">
        <f t="shared" si="2"/>
        <v>-0.47972768132192978</v>
      </c>
      <c r="H188">
        <v>2.8317362322561861E-3</v>
      </c>
    </row>
    <row r="189" spans="1:8" x14ac:dyDescent="0.35">
      <c r="A189" t="s">
        <v>73</v>
      </c>
      <c r="B189" t="s">
        <v>48</v>
      </c>
      <c r="C189" t="s">
        <v>40</v>
      </c>
      <c r="D189">
        <v>2015</v>
      </c>
      <c r="E189">
        <v>1.081963871443703</v>
      </c>
      <c r="F189">
        <v>0.99352475042418931</v>
      </c>
      <c r="G189">
        <f t="shared" si="2"/>
        <v>-8.8439121019513678E-2</v>
      </c>
      <c r="H189">
        <v>2.8317362322561861E-3</v>
      </c>
    </row>
    <row r="190" spans="1:8" x14ac:dyDescent="0.35">
      <c r="A190" t="s">
        <v>73</v>
      </c>
      <c r="B190" t="s">
        <v>47</v>
      </c>
      <c r="C190" t="s">
        <v>38</v>
      </c>
      <c r="D190">
        <v>2016</v>
      </c>
      <c r="E190">
        <v>1.4293943423307589</v>
      </c>
      <c r="F190">
        <v>0.7341997048160207</v>
      </c>
      <c r="G190">
        <f t="shared" si="2"/>
        <v>-0.6951946375147382</v>
      </c>
      <c r="H190">
        <v>2.7643537690768671E-3</v>
      </c>
    </row>
    <row r="191" spans="1:8" x14ac:dyDescent="0.35">
      <c r="A191" t="s">
        <v>73</v>
      </c>
      <c r="B191" t="s">
        <v>49</v>
      </c>
      <c r="C191" t="s">
        <v>38</v>
      </c>
      <c r="D191">
        <v>2016</v>
      </c>
      <c r="E191">
        <v>1.254473785454957</v>
      </c>
      <c r="F191">
        <v>0.7341997048160207</v>
      </c>
      <c r="G191">
        <f t="shared" si="2"/>
        <v>-0.52027408063893632</v>
      </c>
      <c r="H191">
        <v>2.7643537690768671E-3</v>
      </c>
    </row>
    <row r="192" spans="1:8" x14ac:dyDescent="0.35">
      <c r="A192" t="s">
        <v>73</v>
      </c>
      <c r="B192" t="s">
        <v>48</v>
      </c>
      <c r="C192" t="s">
        <v>40</v>
      </c>
      <c r="D192">
        <v>2016</v>
      </c>
      <c r="E192">
        <v>1.6816047146198001</v>
      </c>
      <c r="F192">
        <v>0.7341997048160207</v>
      </c>
      <c r="G192">
        <f t="shared" si="2"/>
        <v>-0.9474050098037794</v>
      </c>
      <c r="H192">
        <v>2.7643537690768671E-3</v>
      </c>
    </row>
    <row r="193" spans="1:8" x14ac:dyDescent="0.35">
      <c r="A193" t="s">
        <v>73</v>
      </c>
      <c r="B193" t="s">
        <v>50</v>
      </c>
      <c r="C193" t="s">
        <v>40</v>
      </c>
      <c r="D193">
        <v>2016</v>
      </c>
      <c r="E193">
        <v>1.331417785335498</v>
      </c>
      <c r="F193">
        <v>0.7341997048160207</v>
      </c>
      <c r="G193">
        <f t="shared" si="2"/>
        <v>-0.59721808051947733</v>
      </c>
      <c r="H193">
        <v>2.7643537690768671E-3</v>
      </c>
    </row>
    <row r="194" spans="1:8" x14ac:dyDescent="0.35">
      <c r="A194" t="s">
        <v>73</v>
      </c>
      <c r="B194" t="s">
        <v>49</v>
      </c>
      <c r="C194" t="s">
        <v>38</v>
      </c>
      <c r="D194">
        <v>2017</v>
      </c>
      <c r="E194">
        <v>1.3568331696729889</v>
      </c>
      <c r="F194">
        <v>2.2441414587468929</v>
      </c>
      <c r="G194">
        <f t="shared" ref="G194:G257" si="3">IF(OR(F194="",E194=""),"",F194-E194)</f>
        <v>0.88730828907390391</v>
      </c>
      <c r="H194">
        <v>2.9273748927723382E-3</v>
      </c>
    </row>
    <row r="195" spans="1:8" x14ac:dyDescent="0.35">
      <c r="A195" t="s">
        <v>73</v>
      </c>
      <c r="B195" t="s">
        <v>51</v>
      </c>
      <c r="C195" t="s">
        <v>38</v>
      </c>
      <c r="D195">
        <v>2017</v>
      </c>
      <c r="E195">
        <v>1.6108305416448809</v>
      </c>
      <c r="F195">
        <v>2.2441414587468929</v>
      </c>
      <c r="G195">
        <f t="shared" si="3"/>
        <v>0.63331091710201193</v>
      </c>
      <c r="H195">
        <v>2.9273748927723382E-3</v>
      </c>
    </row>
    <row r="196" spans="1:8" x14ac:dyDescent="0.35">
      <c r="A196" t="s">
        <v>73</v>
      </c>
      <c r="B196" t="s">
        <v>50</v>
      </c>
      <c r="C196" t="s">
        <v>40</v>
      </c>
      <c r="D196">
        <v>2017</v>
      </c>
      <c r="E196">
        <v>1.686145619472357</v>
      </c>
      <c r="F196">
        <v>2.2441414587468929</v>
      </c>
      <c r="G196">
        <f t="shared" si="3"/>
        <v>0.55799583927453589</v>
      </c>
      <c r="H196">
        <v>2.9273748927723382E-3</v>
      </c>
    </row>
    <row r="197" spans="1:8" x14ac:dyDescent="0.35">
      <c r="A197" t="s">
        <v>73</v>
      </c>
      <c r="B197" t="s">
        <v>52</v>
      </c>
      <c r="C197" t="s">
        <v>40</v>
      </c>
      <c r="D197">
        <v>2017</v>
      </c>
      <c r="E197">
        <v>1.353609964652547</v>
      </c>
      <c r="F197">
        <v>2.2441414587468929</v>
      </c>
      <c r="G197">
        <f t="shared" si="3"/>
        <v>0.89053149409434584</v>
      </c>
      <c r="H197">
        <v>2.9273748927723382E-3</v>
      </c>
    </row>
    <row r="198" spans="1:8" x14ac:dyDescent="0.35">
      <c r="A198" t="s">
        <v>73</v>
      </c>
      <c r="B198" t="s">
        <v>51</v>
      </c>
      <c r="C198" t="s">
        <v>38</v>
      </c>
      <c r="D198">
        <v>2018</v>
      </c>
      <c r="E198">
        <v>1.745757461080699</v>
      </c>
      <c r="F198">
        <v>1.5720137685547519</v>
      </c>
      <c r="G198">
        <f t="shared" si="3"/>
        <v>-0.17374369252594701</v>
      </c>
      <c r="H198">
        <v>3.2495723826400568E-3</v>
      </c>
    </row>
    <row r="199" spans="1:8" x14ac:dyDescent="0.35">
      <c r="A199" t="s">
        <v>73</v>
      </c>
      <c r="B199" t="s">
        <v>53</v>
      </c>
      <c r="C199" t="s">
        <v>38</v>
      </c>
      <c r="D199">
        <v>2018</v>
      </c>
      <c r="E199">
        <v>1.6664324661772369</v>
      </c>
      <c r="F199">
        <v>1.5720137685547519</v>
      </c>
      <c r="G199">
        <f t="shared" si="3"/>
        <v>-9.4418697622485004E-2</v>
      </c>
      <c r="H199">
        <v>3.2495723826400568E-3</v>
      </c>
    </row>
    <row r="200" spans="1:8" x14ac:dyDescent="0.35">
      <c r="A200" t="s">
        <v>73</v>
      </c>
      <c r="B200" t="s">
        <v>52</v>
      </c>
      <c r="C200" t="s">
        <v>40</v>
      </c>
      <c r="D200">
        <v>2018</v>
      </c>
      <c r="E200">
        <v>1.72584962487905</v>
      </c>
      <c r="F200">
        <v>1.5720137685547519</v>
      </c>
      <c r="G200">
        <f t="shared" si="3"/>
        <v>-0.15383585632429808</v>
      </c>
      <c r="H200">
        <v>3.2495723826400568E-3</v>
      </c>
    </row>
    <row r="201" spans="1:8" x14ac:dyDescent="0.35">
      <c r="A201" t="s">
        <v>73</v>
      </c>
      <c r="B201" t="s">
        <v>54</v>
      </c>
      <c r="C201" t="s">
        <v>40</v>
      </c>
      <c r="D201">
        <v>2018</v>
      </c>
      <c r="E201">
        <v>1.989603282667241</v>
      </c>
      <c r="F201">
        <v>1.5720137685547519</v>
      </c>
      <c r="G201">
        <f t="shared" si="3"/>
        <v>-0.41758951411248901</v>
      </c>
      <c r="H201">
        <v>3.2495723826400568E-3</v>
      </c>
    </row>
    <row r="202" spans="1:8" x14ac:dyDescent="0.35">
      <c r="A202" t="s">
        <v>73</v>
      </c>
      <c r="B202" t="s">
        <v>53</v>
      </c>
      <c r="C202" t="s">
        <v>38</v>
      </c>
      <c r="D202">
        <v>2019</v>
      </c>
      <c r="E202">
        <v>1.641202261320762</v>
      </c>
      <c r="F202">
        <v>2.0796189403330492</v>
      </c>
      <c r="G202">
        <f t="shared" si="3"/>
        <v>0.4384166790122872</v>
      </c>
      <c r="H202">
        <v>2.742059689911831E-3</v>
      </c>
    </row>
    <row r="203" spans="1:8" x14ac:dyDescent="0.35">
      <c r="A203" t="s">
        <v>73</v>
      </c>
      <c r="B203" t="s">
        <v>55</v>
      </c>
      <c r="C203" t="s">
        <v>38</v>
      </c>
      <c r="D203">
        <v>2019</v>
      </c>
      <c r="E203">
        <v>1.2870082454169649</v>
      </c>
      <c r="F203">
        <v>2.0796189403330492</v>
      </c>
      <c r="G203">
        <f t="shared" si="3"/>
        <v>0.79261069491608427</v>
      </c>
      <c r="H203">
        <v>2.742059689911831E-3</v>
      </c>
    </row>
    <row r="204" spans="1:8" x14ac:dyDescent="0.35">
      <c r="A204" t="s">
        <v>73</v>
      </c>
      <c r="B204" t="s">
        <v>54</v>
      </c>
      <c r="C204" t="s">
        <v>40</v>
      </c>
      <c r="D204">
        <v>2019</v>
      </c>
      <c r="E204">
        <v>1.837933157898797</v>
      </c>
      <c r="F204">
        <v>2.0796189403330492</v>
      </c>
      <c r="G204">
        <f t="shared" si="3"/>
        <v>0.24168578243425221</v>
      </c>
      <c r="H204">
        <v>2.742059689911831E-3</v>
      </c>
    </row>
    <row r="205" spans="1:8" x14ac:dyDescent="0.35">
      <c r="A205" t="s">
        <v>73</v>
      </c>
      <c r="B205" t="s">
        <v>56</v>
      </c>
      <c r="C205" t="s">
        <v>40</v>
      </c>
      <c r="D205">
        <v>2019</v>
      </c>
      <c r="E205">
        <v>1.333589129915191</v>
      </c>
      <c r="F205">
        <v>2.0796189403330492</v>
      </c>
      <c r="G205">
        <f t="shared" si="3"/>
        <v>0.74602981041785821</v>
      </c>
      <c r="H205">
        <v>2.742059689911831E-3</v>
      </c>
    </row>
    <row r="206" spans="1:8" x14ac:dyDescent="0.35">
      <c r="A206" t="s">
        <v>74</v>
      </c>
      <c r="B206" t="s">
        <v>37</v>
      </c>
      <c r="C206" t="s">
        <v>38</v>
      </c>
      <c r="D206">
        <v>2011</v>
      </c>
      <c r="E206">
        <v>1.085473342594079</v>
      </c>
      <c r="F206">
        <v>1.585963389687955</v>
      </c>
      <c r="G206">
        <f t="shared" si="3"/>
        <v>0.50049004709387601</v>
      </c>
      <c r="H206">
        <v>1.532593479956511E-2</v>
      </c>
    </row>
    <row r="207" spans="1:8" x14ac:dyDescent="0.35">
      <c r="A207" t="s">
        <v>74</v>
      </c>
      <c r="B207" t="s">
        <v>39</v>
      </c>
      <c r="C207" t="s">
        <v>40</v>
      </c>
      <c r="D207">
        <v>2011</v>
      </c>
      <c r="E207">
        <v>0.64463752068673053</v>
      </c>
      <c r="F207">
        <v>1.585963389687955</v>
      </c>
      <c r="G207">
        <f t="shared" si="3"/>
        <v>0.9413258690012245</v>
      </c>
      <c r="H207">
        <v>1.532593479956511E-2</v>
      </c>
    </row>
    <row r="208" spans="1:8" x14ac:dyDescent="0.35">
      <c r="A208" t="s">
        <v>74</v>
      </c>
      <c r="B208" t="s">
        <v>37</v>
      </c>
      <c r="C208" t="s">
        <v>38</v>
      </c>
      <c r="D208">
        <v>2012</v>
      </c>
      <c r="E208">
        <v>1.0901130974096951</v>
      </c>
      <c r="F208">
        <v>-0.53795048916406796</v>
      </c>
      <c r="G208">
        <f t="shared" si="3"/>
        <v>-1.6280635865737629</v>
      </c>
      <c r="H208">
        <v>1.2458618885918409E-2</v>
      </c>
    </row>
    <row r="209" spans="1:8" x14ac:dyDescent="0.35">
      <c r="A209" t="s">
        <v>74</v>
      </c>
      <c r="B209" t="s">
        <v>41</v>
      </c>
      <c r="C209" t="s">
        <v>38</v>
      </c>
      <c r="D209">
        <v>2012</v>
      </c>
      <c r="E209">
        <v>0.43127476645701268</v>
      </c>
      <c r="F209">
        <v>-0.53795048916406796</v>
      </c>
      <c r="G209">
        <f t="shared" si="3"/>
        <v>-0.96922525562108064</v>
      </c>
      <c r="H209">
        <v>1.2458618885918409E-2</v>
      </c>
    </row>
    <row r="210" spans="1:8" x14ac:dyDescent="0.35">
      <c r="A210" t="s">
        <v>74</v>
      </c>
      <c r="B210" t="s">
        <v>39</v>
      </c>
      <c r="C210" t="s">
        <v>40</v>
      </c>
      <c r="D210">
        <v>2012</v>
      </c>
      <c r="E210">
        <v>1.915684733449208</v>
      </c>
      <c r="F210">
        <v>-0.53795048916406796</v>
      </c>
      <c r="G210">
        <f t="shared" si="3"/>
        <v>-2.453635222613276</v>
      </c>
      <c r="H210">
        <v>1.2458618885918409E-2</v>
      </c>
    </row>
    <row r="211" spans="1:8" x14ac:dyDescent="0.35">
      <c r="A211" t="s">
        <v>74</v>
      </c>
      <c r="B211" t="s">
        <v>42</v>
      </c>
      <c r="C211" t="s">
        <v>40</v>
      </c>
      <c r="D211">
        <v>2012</v>
      </c>
      <c r="E211">
        <v>0.53448290594637626</v>
      </c>
      <c r="F211">
        <v>-0.53795048916406796</v>
      </c>
      <c r="G211">
        <f t="shared" si="3"/>
        <v>-1.0724333951104441</v>
      </c>
      <c r="H211">
        <v>1.2458618885918409E-2</v>
      </c>
    </row>
    <row r="212" spans="1:8" x14ac:dyDescent="0.35">
      <c r="A212" t="s">
        <v>74</v>
      </c>
      <c r="B212" t="s">
        <v>41</v>
      </c>
      <c r="C212" t="s">
        <v>38</v>
      </c>
      <c r="D212">
        <v>2013</v>
      </c>
      <c r="E212">
        <v>1.055742969234341</v>
      </c>
      <c r="F212">
        <v>2.260800070139938</v>
      </c>
      <c r="G212">
        <f t="shared" si="3"/>
        <v>1.205057100905597</v>
      </c>
      <c r="H212">
        <v>1.455907609421961E-2</v>
      </c>
    </row>
    <row r="213" spans="1:8" x14ac:dyDescent="0.35">
      <c r="A213" t="s">
        <v>74</v>
      </c>
      <c r="B213" t="s">
        <v>43</v>
      </c>
      <c r="C213" t="s">
        <v>38</v>
      </c>
      <c r="D213">
        <v>2013</v>
      </c>
      <c r="E213">
        <v>0.30402131855349351</v>
      </c>
      <c r="F213">
        <v>2.260800070139938</v>
      </c>
      <c r="G213">
        <f t="shared" si="3"/>
        <v>1.9567787515864445</v>
      </c>
      <c r="H213">
        <v>1.455907609421961E-2</v>
      </c>
    </row>
    <row r="214" spans="1:8" x14ac:dyDescent="0.35">
      <c r="A214" t="s">
        <v>74</v>
      </c>
      <c r="B214" t="s">
        <v>42</v>
      </c>
      <c r="C214" t="s">
        <v>40</v>
      </c>
      <c r="D214">
        <v>2013</v>
      </c>
      <c r="E214">
        <v>1.9060651556646271</v>
      </c>
      <c r="F214">
        <v>2.260800070139938</v>
      </c>
      <c r="G214">
        <f t="shared" si="3"/>
        <v>0.35473491447531091</v>
      </c>
      <c r="H214">
        <v>1.455907609421961E-2</v>
      </c>
    </row>
    <row r="215" spans="1:8" x14ac:dyDescent="0.35">
      <c r="A215" t="s">
        <v>74</v>
      </c>
      <c r="B215" t="s">
        <v>44</v>
      </c>
      <c r="C215" t="s">
        <v>40</v>
      </c>
      <c r="D215">
        <v>2013</v>
      </c>
      <c r="E215">
        <v>1.069987927348115</v>
      </c>
      <c r="F215">
        <v>2.260800070139938</v>
      </c>
      <c r="G215">
        <f t="shared" si="3"/>
        <v>1.190812142791823</v>
      </c>
      <c r="H215">
        <v>1.455907609421961E-2</v>
      </c>
    </row>
    <row r="216" spans="1:8" x14ac:dyDescent="0.35">
      <c r="A216" t="s">
        <v>74</v>
      </c>
      <c r="B216" t="s">
        <v>43</v>
      </c>
      <c r="C216" t="s">
        <v>38</v>
      </c>
      <c r="D216">
        <v>2014</v>
      </c>
      <c r="E216">
        <v>1.703044407164489</v>
      </c>
      <c r="F216">
        <v>9.0504209935939262</v>
      </c>
      <c r="G216">
        <f t="shared" si="3"/>
        <v>7.3473765864294371</v>
      </c>
      <c r="H216">
        <v>1.379857452669039E-2</v>
      </c>
    </row>
    <row r="217" spans="1:8" x14ac:dyDescent="0.35">
      <c r="A217" t="s">
        <v>74</v>
      </c>
      <c r="B217" t="s">
        <v>45</v>
      </c>
      <c r="C217" t="s">
        <v>38</v>
      </c>
      <c r="D217">
        <v>2014</v>
      </c>
      <c r="E217">
        <v>4.6151910205822766</v>
      </c>
      <c r="F217">
        <v>9.0504209935939262</v>
      </c>
      <c r="G217">
        <f t="shared" si="3"/>
        <v>4.4352299730116496</v>
      </c>
      <c r="H217">
        <v>1.379857452669039E-2</v>
      </c>
    </row>
    <row r="218" spans="1:8" x14ac:dyDescent="0.35">
      <c r="A218" t="s">
        <v>74</v>
      </c>
      <c r="B218" t="s">
        <v>44</v>
      </c>
      <c r="C218" t="s">
        <v>40</v>
      </c>
      <c r="D218">
        <v>2014</v>
      </c>
      <c r="E218">
        <v>2.1762610607392712</v>
      </c>
      <c r="F218">
        <v>9.0504209935939262</v>
      </c>
      <c r="G218">
        <f t="shared" si="3"/>
        <v>6.8741599328546545</v>
      </c>
      <c r="H218">
        <v>1.379857452669039E-2</v>
      </c>
    </row>
    <row r="219" spans="1:8" x14ac:dyDescent="0.35">
      <c r="A219" t="s">
        <v>74</v>
      </c>
      <c r="B219" t="s">
        <v>46</v>
      </c>
      <c r="C219" t="s">
        <v>40</v>
      </c>
      <c r="D219">
        <v>2014</v>
      </c>
      <c r="E219">
        <v>1.740487538042057</v>
      </c>
      <c r="F219">
        <v>9.0504209935939262</v>
      </c>
      <c r="G219">
        <f t="shared" si="3"/>
        <v>7.3099334555518691</v>
      </c>
      <c r="H219">
        <v>1.379857452669039E-2</v>
      </c>
    </row>
    <row r="220" spans="1:8" x14ac:dyDescent="0.35">
      <c r="A220" t="s">
        <v>74</v>
      </c>
      <c r="B220" t="s">
        <v>45</v>
      </c>
      <c r="C220" t="s">
        <v>38</v>
      </c>
      <c r="D220">
        <v>2015</v>
      </c>
      <c r="E220">
        <v>3.6221665910883831</v>
      </c>
      <c r="F220">
        <v>21.950744654507421</v>
      </c>
      <c r="G220">
        <f t="shared" si="3"/>
        <v>18.328578063419037</v>
      </c>
      <c r="H220">
        <v>1.2536821512101341E-2</v>
      </c>
    </row>
    <row r="221" spans="1:8" x14ac:dyDescent="0.35">
      <c r="A221" t="s">
        <v>74</v>
      </c>
      <c r="B221" t="s">
        <v>47</v>
      </c>
      <c r="C221" t="s">
        <v>38</v>
      </c>
      <c r="D221">
        <v>2015</v>
      </c>
      <c r="E221">
        <v>6.0449344943167782</v>
      </c>
      <c r="F221">
        <v>21.950744654507421</v>
      </c>
      <c r="G221">
        <f t="shared" si="3"/>
        <v>15.905810160190644</v>
      </c>
      <c r="H221">
        <v>1.2536821512101341E-2</v>
      </c>
    </row>
    <row r="222" spans="1:8" x14ac:dyDescent="0.35">
      <c r="A222" t="s">
        <v>74</v>
      </c>
      <c r="B222" t="s">
        <v>46</v>
      </c>
      <c r="C222" t="s">
        <v>40</v>
      </c>
      <c r="D222">
        <v>2015</v>
      </c>
      <c r="E222">
        <v>2.99572233370986</v>
      </c>
      <c r="F222">
        <v>21.950744654507421</v>
      </c>
      <c r="G222">
        <f t="shared" si="3"/>
        <v>18.955022320797561</v>
      </c>
      <c r="H222">
        <v>1.2536821512101341E-2</v>
      </c>
    </row>
    <row r="223" spans="1:8" x14ac:dyDescent="0.35">
      <c r="A223" t="s">
        <v>74</v>
      </c>
      <c r="B223" t="s">
        <v>48</v>
      </c>
      <c r="C223" t="s">
        <v>40</v>
      </c>
      <c r="D223">
        <v>2015</v>
      </c>
      <c r="E223">
        <v>3.6070418929936339</v>
      </c>
      <c r="F223">
        <v>21.950744654507421</v>
      </c>
      <c r="G223">
        <f t="shared" si="3"/>
        <v>18.343702761513786</v>
      </c>
      <c r="H223">
        <v>1.2536821512101341E-2</v>
      </c>
    </row>
    <row r="224" spans="1:8" x14ac:dyDescent="0.35">
      <c r="A224" t="s">
        <v>74</v>
      </c>
      <c r="B224" t="s">
        <v>47</v>
      </c>
      <c r="C224" t="s">
        <v>38</v>
      </c>
      <c r="D224">
        <v>2016</v>
      </c>
      <c r="E224">
        <v>4.4841243342324866</v>
      </c>
      <c r="F224">
        <v>1.1725462785856491</v>
      </c>
      <c r="G224">
        <f t="shared" si="3"/>
        <v>-3.3115780556468373</v>
      </c>
      <c r="H224">
        <v>1.039757696796211E-2</v>
      </c>
    </row>
    <row r="225" spans="1:8" x14ac:dyDescent="0.35">
      <c r="A225" t="s">
        <v>74</v>
      </c>
      <c r="B225" t="s">
        <v>49</v>
      </c>
      <c r="C225" t="s">
        <v>38</v>
      </c>
      <c r="D225">
        <v>2016</v>
      </c>
      <c r="E225">
        <v>4.0884411162628984</v>
      </c>
      <c r="F225">
        <v>1.1725462785856491</v>
      </c>
      <c r="G225">
        <f t="shared" si="3"/>
        <v>-2.9158948376772491</v>
      </c>
      <c r="H225">
        <v>1.039757696796211E-2</v>
      </c>
    </row>
    <row r="226" spans="1:8" x14ac:dyDescent="0.35">
      <c r="A226" t="s">
        <v>74</v>
      </c>
      <c r="B226" t="s">
        <v>48</v>
      </c>
      <c r="C226" t="s">
        <v>40</v>
      </c>
      <c r="D226">
        <v>2016</v>
      </c>
      <c r="E226">
        <v>3.4764574668220138</v>
      </c>
      <c r="F226">
        <v>1.1725462785856491</v>
      </c>
      <c r="G226">
        <f t="shared" si="3"/>
        <v>-2.3039111882363645</v>
      </c>
      <c r="H226">
        <v>1.039757696796211E-2</v>
      </c>
    </row>
    <row r="227" spans="1:8" x14ac:dyDescent="0.35">
      <c r="A227" t="s">
        <v>74</v>
      </c>
      <c r="B227" t="s">
        <v>50</v>
      </c>
      <c r="C227" t="s">
        <v>40</v>
      </c>
      <c r="D227">
        <v>2016</v>
      </c>
      <c r="E227">
        <v>4.8687098071762858</v>
      </c>
      <c r="F227">
        <v>1.1725462785856491</v>
      </c>
      <c r="G227">
        <f t="shared" si="3"/>
        <v>-3.6961635285906365</v>
      </c>
      <c r="H227">
        <v>1.039757696796211E-2</v>
      </c>
    </row>
    <row r="228" spans="1:8" x14ac:dyDescent="0.35">
      <c r="A228" t="s">
        <v>74</v>
      </c>
      <c r="B228" t="s">
        <v>49</v>
      </c>
      <c r="C228" t="s">
        <v>38</v>
      </c>
      <c r="D228">
        <v>2017</v>
      </c>
      <c r="E228">
        <v>3.6014209648164601</v>
      </c>
      <c r="F228">
        <v>9.6242949957613337</v>
      </c>
      <c r="G228">
        <f t="shared" si="3"/>
        <v>6.0228740309448732</v>
      </c>
      <c r="H228">
        <v>9.9008587730576251E-3</v>
      </c>
    </row>
    <row r="229" spans="1:8" x14ac:dyDescent="0.35">
      <c r="A229" t="s">
        <v>74</v>
      </c>
      <c r="B229" t="s">
        <v>51</v>
      </c>
      <c r="C229" t="s">
        <v>38</v>
      </c>
      <c r="D229">
        <v>2017</v>
      </c>
      <c r="E229">
        <v>4.8263025218790556</v>
      </c>
      <c r="F229">
        <v>9.6242949957613337</v>
      </c>
      <c r="G229">
        <f t="shared" si="3"/>
        <v>4.7979924738822781</v>
      </c>
      <c r="H229">
        <v>9.9008587730576251E-3</v>
      </c>
    </row>
    <row r="230" spans="1:8" x14ac:dyDescent="0.35">
      <c r="A230" t="s">
        <v>74</v>
      </c>
      <c r="B230" t="s">
        <v>50</v>
      </c>
      <c r="C230" t="s">
        <v>40</v>
      </c>
      <c r="D230">
        <v>2017</v>
      </c>
      <c r="E230">
        <v>3.6717987560630938</v>
      </c>
      <c r="F230">
        <v>9.6242949957613337</v>
      </c>
      <c r="G230">
        <f t="shared" si="3"/>
        <v>5.9524962396982399</v>
      </c>
      <c r="H230">
        <v>9.9008587730576251E-3</v>
      </c>
    </row>
    <row r="231" spans="1:8" x14ac:dyDescent="0.35">
      <c r="A231" t="s">
        <v>74</v>
      </c>
      <c r="B231" t="s">
        <v>52</v>
      </c>
      <c r="C231" t="s">
        <v>40</v>
      </c>
      <c r="D231">
        <v>2017</v>
      </c>
      <c r="E231">
        <v>3.9509452446526701</v>
      </c>
      <c r="F231">
        <v>9.6242949957613337</v>
      </c>
      <c r="G231">
        <f t="shared" si="3"/>
        <v>5.6733497511086632</v>
      </c>
      <c r="H231">
        <v>9.9008587730576251E-3</v>
      </c>
    </row>
    <row r="232" spans="1:8" x14ac:dyDescent="0.35">
      <c r="A232" t="s">
        <v>74</v>
      </c>
      <c r="B232" t="s">
        <v>51</v>
      </c>
      <c r="C232" t="s">
        <v>38</v>
      </c>
      <c r="D232">
        <v>2018</v>
      </c>
      <c r="E232">
        <v>3.9055452515839528</v>
      </c>
      <c r="F232">
        <v>7.4446874521163222</v>
      </c>
      <c r="G232">
        <f t="shared" si="3"/>
        <v>3.5391422005323694</v>
      </c>
      <c r="H232">
        <v>1.0654359951493971E-2</v>
      </c>
    </row>
    <row r="233" spans="1:8" x14ac:dyDescent="0.35">
      <c r="A233" t="s">
        <v>74</v>
      </c>
      <c r="B233" t="s">
        <v>53</v>
      </c>
      <c r="C233" t="s">
        <v>38</v>
      </c>
      <c r="D233">
        <v>2018</v>
      </c>
      <c r="E233">
        <v>7.8117760082768486</v>
      </c>
      <c r="F233">
        <v>7.4446874521163222</v>
      </c>
      <c r="G233">
        <f t="shared" si="3"/>
        <v>-0.36708855616052638</v>
      </c>
      <c r="H233">
        <v>1.0654359951493971E-2</v>
      </c>
    </row>
    <row r="234" spans="1:8" x14ac:dyDescent="0.35">
      <c r="A234" t="s">
        <v>74</v>
      </c>
      <c r="B234" t="s">
        <v>52</v>
      </c>
      <c r="C234" t="s">
        <v>40</v>
      </c>
      <c r="D234">
        <v>2018</v>
      </c>
      <c r="E234">
        <v>3.6432271266646499</v>
      </c>
      <c r="F234">
        <v>7.4446874521163222</v>
      </c>
      <c r="G234">
        <f t="shared" si="3"/>
        <v>3.8014603254516723</v>
      </c>
      <c r="H234">
        <v>1.0654359951493971E-2</v>
      </c>
    </row>
    <row r="235" spans="1:8" x14ac:dyDescent="0.35">
      <c r="A235" t="s">
        <v>74</v>
      </c>
      <c r="B235" t="s">
        <v>54</v>
      </c>
      <c r="C235" t="s">
        <v>40</v>
      </c>
      <c r="D235">
        <v>2018</v>
      </c>
      <c r="E235">
        <v>5.6808928025538163</v>
      </c>
      <c r="F235">
        <v>7.4446874521163222</v>
      </c>
      <c r="G235">
        <f t="shared" si="3"/>
        <v>1.7637946495625059</v>
      </c>
      <c r="H235">
        <v>1.0654359951493971E-2</v>
      </c>
    </row>
    <row r="236" spans="1:8" x14ac:dyDescent="0.35">
      <c r="A236" t="s">
        <v>74</v>
      </c>
      <c r="B236" t="s">
        <v>53</v>
      </c>
      <c r="C236" t="s">
        <v>38</v>
      </c>
      <c r="D236">
        <v>2019</v>
      </c>
      <c r="E236">
        <v>4.5299756937161373</v>
      </c>
      <c r="F236">
        <v>4.8237638263446936</v>
      </c>
      <c r="G236">
        <f t="shared" si="3"/>
        <v>0.2937881326285563</v>
      </c>
      <c r="H236">
        <v>1.1273356968778309E-2</v>
      </c>
    </row>
    <row r="237" spans="1:8" x14ac:dyDescent="0.35">
      <c r="A237" t="s">
        <v>74</v>
      </c>
      <c r="B237" t="s">
        <v>55</v>
      </c>
      <c r="C237" t="s">
        <v>38</v>
      </c>
      <c r="D237">
        <v>2019</v>
      </c>
      <c r="E237">
        <v>5.6355935792373302</v>
      </c>
      <c r="F237">
        <v>4.8237638263446936</v>
      </c>
      <c r="G237">
        <f t="shared" si="3"/>
        <v>-0.81182975289263659</v>
      </c>
      <c r="H237">
        <v>1.1273356968778309E-2</v>
      </c>
    </row>
    <row r="238" spans="1:8" x14ac:dyDescent="0.35">
      <c r="A238" t="s">
        <v>74</v>
      </c>
      <c r="B238" t="s">
        <v>54</v>
      </c>
      <c r="C238" t="s">
        <v>40</v>
      </c>
      <c r="D238">
        <v>2019</v>
      </c>
      <c r="E238">
        <v>4.058674421459818</v>
      </c>
      <c r="F238">
        <v>4.8237638263446936</v>
      </c>
      <c r="G238">
        <f t="shared" si="3"/>
        <v>0.76508940488487553</v>
      </c>
      <c r="H238">
        <v>1.1273356968778309E-2</v>
      </c>
    </row>
    <row r="239" spans="1:8" x14ac:dyDescent="0.35">
      <c r="A239" t="s">
        <v>74</v>
      </c>
      <c r="B239" t="s">
        <v>56</v>
      </c>
      <c r="C239" t="s">
        <v>40</v>
      </c>
      <c r="D239">
        <v>2019</v>
      </c>
      <c r="E239">
        <v>3.759569376747196</v>
      </c>
      <c r="F239">
        <v>4.8237638263446936</v>
      </c>
      <c r="G239">
        <f t="shared" si="3"/>
        <v>1.0641944495974975</v>
      </c>
      <c r="H239">
        <v>1.1273356968778309E-2</v>
      </c>
    </row>
    <row r="240" spans="1:8" x14ac:dyDescent="0.35">
      <c r="A240" t="s">
        <v>75</v>
      </c>
      <c r="B240" t="s">
        <v>37</v>
      </c>
      <c r="C240" t="s">
        <v>38</v>
      </c>
      <c r="D240">
        <v>2011</v>
      </c>
      <c r="E240">
        <v>0.53999066387708794</v>
      </c>
      <c r="F240">
        <v>0.85331162783846093</v>
      </c>
      <c r="G240">
        <f t="shared" si="3"/>
        <v>0.31332096396137299</v>
      </c>
      <c r="H240">
        <v>3.1268873181164339E-3</v>
      </c>
    </row>
    <row r="241" spans="1:8" x14ac:dyDescent="0.35">
      <c r="A241" t="s">
        <v>75</v>
      </c>
      <c r="B241" t="s">
        <v>39</v>
      </c>
      <c r="C241" t="s">
        <v>40</v>
      </c>
      <c r="D241">
        <v>2011</v>
      </c>
      <c r="E241">
        <v>0.95974398092302238</v>
      </c>
      <c r="F241">
        <v>0.85331162783846093</v>
      </c>
      <c r="G241">
        <f t="shared" si="3"/>
        <v>-0.10643235308456145</v>
      </c>
      <c r="H241">
        <v>3.1268873181164339E-3</v>
      </c>
    </row>
    <row r="242" spans="1:8" x14ac:dyDescent="0.35">
      <c r="A242" t="s">
        <v>75</v>
      </c>
      <c r="B242" t="s">
        <v>37</v>
      </c>
      <c r="C242" t="s">
        <v>38</v>
      </c>
      <c r="D242">
        <v>2012</v>
      </c>
      <c r="E242">
        <v>5.7128352794499897E-2</v>
      </c>
      <c r="F242">
        <v>-3.2265545234223771</v>
      </c>
      <c r="G242">
        <f t="shared" si="3"/>
        <v>-3.283682876216877</v>
      </c>
      <c r="H242">
        <v>1.2453556099924551E-3</v>
      </c>
    </row>
    <row r="243" spans="1:8" x14ac:dyDescent="0.35">
      <c r="A243" t="s">
        <v>75</v>
      </c>
      <c r="B243" t="s">
        <v>41</v>
      </c>
      <c r="C243" t="s">
        <v>38</v>
      </c>
      <c r="D243">
        <v>2012</v>
      </c>
      <c r="E243">
        <v>-2.2867991965167418</v>
      </c>
      <c r="F243">
        <v>-3.2265545234223771</v>
      </c>
      <c r="G243">
        <f t="shared" si="3"/>
        <v>-0.93975532690563535</v>
      </c>
      <c r="H243">
        <v>1.2453556099924551E-3</v>
      </c>
    </row>
    <row r="244" spans="1:8" x14ac:dyDescent="0.35">
      <c r="A244" t="s">
        <v>75</v>
      </c>
      <c r="B244" t="s">
        <v>39</v>
      </c>
      <c r="C244" t="s">
        <v>40</v>
      </c>
      <c r="D244">
        <v>2012</v>
      </c>
      <c r="E244">
        <v>1.314970893331791</v>
      </c>
      <c r="F244">
        <v>-3.2265545234223771</v>
      </c>
      <c r="G244">
        <f t="shared" si="3"/>
        <v>-4.5415254167541681</v>
      </c>
      <c r="H244">
        <v>1.2453556099924551E-3</v>
      </c>
    </row>
    <row r="245" spans="1:8" x14ac:dyDescent="0.35">
      <c r="A245" t="s">
        <v>75</v>
      </c>
      <c r="B245" t="s">
        <v>42</v>
      </c>
      <c r="C245" t="s">
        <v>40</v>
      </c>
      <c r="D245">
        <v>2012</v>
      </c>
      <c r="E245">
        <v>-1.4066091621440899</v>
      </c>
      <c r="F245">
        <v>-3.2265545234223771</v>
      </c>
      <c r="G245">
        <f t="shared" si="3"/>
        <v>-1.8199453612782872</v>
      </c>
      <c r="H245">
        <v>1.2453556099924551E-3</v>
      </c>
    </row>
    <row r="246" spans="1:8" x14ac:dyDescent="0.35">
      <c r="A246" t="s">
        <v>75</v>
      </c>
      <c r="B246" t="s">
        <v>41</v>
      </c>
      <c r="C246" t="s">
        <v>38</v>
      </c>
      <c r="D246">
        <v>2013</v>
      </c>
      <c r="E246">
        <v>-0.54027205249544963</v>
      </c>
      <c r="F246">
        <v>-1.843520911707673</v>
      </c>
      <c r="G246">
        <f t="shared" si="3"/>
        <v>-1.3032488592122233</v>
      </c>
      <c r="H246">
        <v>1.258842609190792E-3</v>
      </c>
    </row>
    <row r="247" spans="1:8" x14ac:dyDescent="0.35">
      <c r="A247" t="s">
        <v>75</v>
      </c>
      <c r="B247" t="s">
        <v>43</v>
      </c>
      <c r="C247" t="s">
        <v>38</v>
      </c>
      <c r="D247">
        <v>2013</v>
      </c>
      <c r="E247">
        <v>-1.8298929550776939</v>
      </c>
      <c r="F247">
        <v>-1.843520911707673</v>
      </c>
      <c r="G247">
        <f t="shared" si="3"/>
        <v>-1.3627956629979066E-2</v>
      </c>
      <c r="H247">
        <v>1.258842609190792E-3</v>
      </c>
    </row>
    <row r="248" spans="1:8" x14ac:dyDescent="0.35">
      <c r="A248" t="s">
        <v>75</v>
      </c>
      <c r="B248" t="s">
        <v>42</v>
      </c>
      <c r="C248" t="s">
        <v>40</v>
      </c>
      <c r="D248">
        <v>2013</v>
      </c>
      <c r="E248">
        <v>0.44387559815419753</v>
      </c>
      <c r="F248">
        <v>-1.843520911707673</v>
      </c>
      <c r="G248">
        <f t="shared" si="3"/>
        <v>-2.2873965098618703</v>
      </c>
      <c r="H248">
        <v>1.258842609190792E-3</v>
      </c>
    </row>
    <row r="249" spans="1:8" x14ac:dyDescent="0.35">
      <c r="A249" t="s">
        <v>75</v>
      </c>
      <c r="B249" t="s">
        <v>44</v>
      </c>
      <c r="C249" t="s">
        <v>40</v>
      </c>
      <c r="D249">
        <v>2013</v>
      </c>
      <c r="E249">
        <v>-1.3409854181595351</v>
      </c>
      <c r="F249">
        <v>-1.843520911707673</v>
      </c>
      <c r="G249">
        <f t="shared" si="3"/>
        <v>-0.50253549354813787</v>
      </c>
      <c r="H249">
        <v>1.258842609190792E-3</v>
      </c>
    </row>
    <row r="250" spans="1:8" x14ac:dyDescent="0.35">
      <c r="A250" t="s">
        <v>75</v>
      </c>
      <c r="B250" t="s">
        <v>43</v>
      </c>
      <c r="C250" t="s">
        <v>38</v>
      </c>
      <c r="D250">
        <v>2014</v>
      </c>
      <c r="E250">
        <v>0.71082592354936303</v>
      </c>
      <c r="F250">
        <v>7.5233947391528819E-2</v>
      </c>
      <c r="G250">
        <f t="shared" si="3"/>
        <v>-0.63559197615783425</v>
      </c>
      <c r="H250">
        <v>1.1676188031476179E-3</v>
      </c>
    </row>
    <row r="251" spans="1:8" x14ac:dyDescent="0.35">
      <c r="A251" t="s">
        <v>75</v>
      </c>
      <c r="B251" t="s">
        <v>45</v>
      </c>
      <c r="C251" t="s">
        <v>38</v>
      </c>
      <c r="D251">
        <v>2014</v>
      </c>
      <c r="E251">
        <v>-0.39461096681301377</v>
      </c>
      <c r="F251">
        <v>7.5233947391528819E-2</v>
      </c>
      <c r="G251">
        <f t="shared" si="3"/>
        <v>0.46984491420454261</v>
      </c>
      <c r="H251">
        <v>1.1676188031476179E-3</v>
      </c>
    </row>
    <row r="252" spans="1:8" x14ac:dyDescent="0.35">
      <c r="A252" t="s">
        <v>75</v>
      </c>
      <c r="B252" t="s">
        <v>44</v>
      </c>
      <c r="C252" t="s">
        <v>40</v>
      </c>
      <c r="D252">
        <v>2014</v>
      </c>
      <c r="E252">
        <v>0.71763548551055933</v>
      </c>
      <c r="F252">
        <v>7.5233947391528819E-2</v>
      </c>
      <c r="G252">
        <f t="shared" si="3"/>
        <v>-0.64240153811903056</v>
      </c>
      <c r="H252">
        <v>1.1676188031476179E-3</v>
      </c>
    </row>
    <row r="253" spans="1:8" x14ac:dyDescent="0.35">
      <c r="A253" t="s">
        <v>75</v>
      </c>
      <c r="B253" t="s">
        <v>46</v>
      </c>
      <c r="C253" t="s">
        <v>40</v>
      </c>
      <c r="D253">
        <v>2014</v>
      </c>
      <c r="E253">
        <v>0.57096731898795827</v>
      </c>
      <c r="F253">
        <v>7.5233947391528819E-2</v>
      </c>
      <c r="G253">
        <f t="shared" si="3"/>
        <v>-0.49573337159642944</v>
      </c>
      <c r="H253">
        <v>1.1676188031476179E-3</v>
      </c>
    </row>
    <row r="254" spans="1:8" x14ac:dyDescent="0.35">
      <c r="A254" t="s">
        <v>75</v>
      </c>
      <c r="B254" t="s">
        <v>45</v>
      </c>
      <c r="C254" t="s">
        <v>38</v>
      </c>
      <c r="D254">
        <v>2015</v>
      </c>
      <c r="E254">
        <v>0.62872973894907425</v>
      </c>
      <c r="F254">
        <v>0.74285153390220071</v>
      </c>
      <c r="G254">
        <f t="shared" si="3"/>
        <v>0.11412179495312647</v>
      </c>
      <c r="H254">
        <v>1.2071161543213071E-3</v>
      </c>
    </row>
    <row r="255" spans="1:8" x14ac:dyDescent="0.35">
      <c r="A255" t="s">
        <v>75</v>
      </c>
      <c r="B255" t="s">
        <v>47</v>
      </c>
      <c r="C255" t="s">
        <v>38</v>
      </c>
      <c r="D255">
        <v>2015</v>
      </c>
      <c r="E255">
        <v>0.86665350989461043</v>
      </c>
      <c r="F255">
        <v>0.74285153390220071</v>
      </c>
      <c r="G255">
        <f t="shared" si="3"/>
        <v>-0.12380197599240972</v>
      </c>
      <c r="H255">
        <v>1.2071161543213071E-3</v>
      </c>
    </row>
    <row r="256" spans="1:8" x14ac:dyDescent="0.35">
      <c r="A256" t="s">
        <v>75</v>
      </c>
      <c r="B256" t="s">
        <v>46</v>
      </c>
      <c r="C256" t="s">
        <v>40</v>
      </c>
      <c r="D256">
        <v>2015</v>
      </c>
      <c r="E256">
        <v>1.229987574853153</v>
      </c>
      <c r="F256">
        <v>0.74285153390220071</v>
      </c>
      <c r="G256">
        <f t="shared" si="3"/>
        <v>-0.48713604095095231</v>
      </c>
      <c r="H256">
        <v>1.2071161543213071E-3</v>
      </c>
    </row>
    <row r="257" spans="1:8" x14ac:dyDescent="0.35">
      <c r="A257" t="s">
        <v>75</v>
      </c>
      <c r="B257" t="s">
        <v>48</v>
      </c>
      <c r="C257" t="s">
        <v>40</v>
      </c>
      <c r="D257">
        <v>2015</v>
      </c>
      <c r="E257">
        <v>0.6068597463795955</v>
      </c>
      <c r="F257">
        <v>0.74285153390220071</v>
      </c>
      <c r="G257">
        <f t="shared" si="3"/>
        <v>0.13599178752260521</v>
      </c>
      <c r="H257">
        <v>1.2071161543213071E-3</v>
      </c>
    </row>
    <row r="258" spans="1:8" x14ac:dyDescent="0.35">
      <c r="A258" t="s">
        <v>75</v>
      </c>
      <c r="B258" t="s">
        <v>47</v>
      </c>
      <c r="C258" t="s">
        <v>38</v>
      </c>
      <c r="D258">
        <v>2016</v>
      </c>
      <c r="E258">
        <v>1.4512761867371271</v>
      </c>
      <c r="F258">
        <v>1.34543552139666</v>
      </c>
      <c r="G258">
        <f t="shared" ref="G258:G321" si="4">IF(OR(F258="",E258=""),"",F258-E258)</f>
        <v>-0.1058406653404671</v>
      </c>
      <c r="H258">
        <v>1.450426181018382E-3</v>
      </c>
    </row>
    <row r="259" spans="1:8" x14ac:dyDescent="0.35">
      <c r="A259" t="s">
        <v>75</v>
      </c>
      <c r="B259" t="s">
        <v>49</v>
      </c>
      <c r="C259" t="s">
        <v>38</v>
      </c>
      <c r="D259">
        <v>2016</v>
      </c>
      <c r="E259">
        <v>0.70784283945437565</v>
      </c>
      <c r="F259">
        <v>1.34543552139666</v>
      </c>
      <c r="G259">
        <f t="shared" si="4"/>
        <v>0.63759268194228436</v>
      </c>
      <c r="H259">
        <v>1.450426181018382E-3</v>
      </c>
    </row>
    <row r="260" spans="1:8" x14ac:dyDescent="0.35">
      <c r="A260" t="s">
        <v>75</v>
      </c>
      <c r="B260" t="s">
        <v>48</v>
      </c>
      <c r="C260" t="s">
        <v>40</v>
      </c>
      <c r="D260">
        <v>2016</v>
      </c>
      <c r="E260">
        <v>1.4109778499366681</v>
      </c>
      <c r="F260">
        <v>1.34543552139666</v>
      </c>
      <c r="G260">
        <f t="shared" si="4"/>
        <v>-6.5542328540008077E-2</v>
      </c>
      <c r="H260">
        <v>1.450426181018382E-3</v>
      </c>
    </row>
    <row r="261" spans="1:8" x14ac:dyDescent="0.35">
      <c r="A261" t="s">
        <v>75</v>
      </c>
      <c r="B261" t="s">
        <v>50</v>
      </c>
      <c r="C261" t="s">
        <v>40</v>
      </c>
      <c r="D261">
        <v>2016</v>
      </c>
      <c r="E261">
        <v>1.090462780977397</v>
      </c>
      <c r="F261">
        <v>1.34543552139666</v>
      </c>
      <c r="G261">
        <f t="shared" si="4"/>
        <v>0.25497274041926299</v>
      </c>
      <c r="H261">
        <v>1.450426181018382E-3</v>
      </c>
    </row>
    <row r="262" spans="1:8" x14ac:dyDescent="0.35">
      <c r="A262" t="s">
        <v>75</v>
      </c>
      <c r="B262" t="s">
        <v>49</v>
      </c>
      <c r="C262" t="s">
        <v>38</v>
      </c>
      <c r="D262">
        <v>2017</v>
      </c>
      <c r="E262">
        <v>0.90288361690229468</v>
      </c>
      <c r="F262">
        <v>1.6777714333363121</v>
      </c>
      <c r="G262">
        <f t="shared" si="4"/>
        <v>0.77488781643401738</v>
      </c>
      <c r="H262">
        <v>1.415613987051515E-3</v>
      </c>
    </row>
    <row r="263" spans="1:8" x14ac:dyDescent="0.35">
      <c r="A263" t="s">
        <v>75</v>
      </c>
      <c r="B263" t="s">
        <v>51</v>
      </c>
      <c r="C263" t="s">
        <v>38</v>
      </c>
      <c r="D263">
        <v>2017</v>
      </c>
      <c r="E263">
        <v>1.454734323287576</v>
      </c>
      <c r="F263">
        <v>1.6777714333363121</v>
      </c>
      <c r="G263">
        <f t="shared" si="4"/>
        <v>0.22303711004873605</v>
      </c>
      <c r="H263">
        <v>1.415613987051515E-3</v>
      </c>
    </row>
    <row r="264" spans="1:8" x14ac:dyDescent="0.35">
      <c r="A264" t="s">
        <v>75</v>
      </c>
      <c r="B264" t="s">
        <v>50</v>
      </c>
      <c r="C264" t="s">
        <v>40</v>
      </c>
      <c r="D264">
        <v>2017</v>
      </c>
      <c r="E264">
        <v>1.33546021526687</v>
      </c>
      <c r="F264">
        <v>1.6777714333363121</v>
      </c>
      <c r="G264">
        <f t="shared" si="4"/>
        <v>0.34231121806944209</v>
      </c>
      <c r="H264">
        <v>1.415613987051515E-3</v>
      </c>
    </row>
    <row r="265" spans="1:8" x14ac:dyDescent="0.35">
      <c r="A265" t="s">
        <v>75</v>
      </c>
      <c r="B265" t="s">
        <v>52</v>
      </c>
      <c r="C265" t="s">
        <v>40</v>
      </c>
      <c r="D265">
        <v>2017</v>
      </c>
      <c r="E265">
        <v>0.92886361941262319</v>
      </c>
      <c r="F265">
        <v>1.6777714333363121</v>
      </c>
      <c r="G265">
        <f t="shared" si="4"/>
        <v>0.74890781392368888</v>
      </c>
      <c r="H265">
        <v>1.415613987051515E-3</v>
      </c>
    </row>
    <row r="266" spans="1:8" x14ac:dyDescent="0.35">
      <c r="A266" t="s">
        <v>75</v>
      </c>
      <c r="B266" t="s">
        <v>51</v>
      </c>
      <c r="C266" t="s">
        <v>38</v>
      </c>
      <c r="D266">
        <v>2018</v>
      </c>
      <c r="E266">
        <v>1.301033595779133</v>
      </c>
      <c r="F266">
        <v>0.67915616097696463</v>
      </c>
      <c r="G266">
        <f t="shared" si="4"/>
        <v>-0.62187743480216839</v>
      </c>
      <c r="H266">
        <v>1.455735459670306E-3</v>
      </c>
    </row>
    <row r="267" spans="1:8" x14ac:dyDescent="0.35">
      <c r="A267" t="s">
        <v>75</v>
      </c>
      <c r="B267" t="s">
        <v>53</v>
      </c>
      <c r="C267" t="s">
        <v>38</v>
      </c>
      <c r="D267">
        <v>2018</v>
      </c>
      <c r="E267">
        <v>1.148974792689472</v>
      </c>
      <c r="F267">
        <v>0.67915616097696463</v>
      </c>
      <c r="G267">
        <f t="shared" si="4"/>
        <v>-0.46981863171250737</v>
      </c>
      <c r="H267">
        <v>1.455735459670306E-3</v>
      </c>
    </row>
    <row r="268" spans="1:8" x14ac:dyDescent="0.35">
      <c r="A268" t="s">
        <v>75</v>
      </c>
      <c r="B268" t="s">
        <v>52</v>
      </c>
      <c r="C268" t="s">
        <v>40</v>
      </c>
      <c r="D268">
        <v>2018</v>
      </c>
      <c r="E268">
        <v>1.1322194305175119</v>
      </c>
      <c r="F268">
        <v>0.67915616097696463</v>
      </c>
      <c r="G268">
        <f t="shared" si="4"/>
        <v>-0.45306326954054732</v>
      </c>
      <c r="H268">
        <v>1.455735459670306E-3</v>
      </c>
    </row>
    <row r="269" spans="1:8" x14ac:dyDescent="0.35">
      <c r="A269" t="s">
        <v>75</v>
      </c>
      <c r="B269" t="s">
        <v>54</v>
      </c>
      <c r="C269" t="s">
        <v>40</v>
      </c>
      <c r="D269">
        <v>2018</v>
      </c>
      <c r="E269">
        <v>1.453547985332837</v>
      </c>
      <c r="F269">
        <v>0.67915616097696463</v>
      </c>
      <c r="G269">
        <f t="shared" si="4"/>
        <v>-0.77439182435587239</v>
      </c>
      <c r="H269">
        <v>1.455735459670306E-3</v>
      </c>
    </row>
    <row r="270" spans="1:8" x14ac:dyDescent="0.35">
      <c r="A270" t="s">
        <v>75</v>
      </c>
      <c r="B270" t="s">
        <v>53</v>
      </c>
      <c r="C270" t="s">
        <v>38</v>
      </c>
      <c r="D270">
        <v>2019</v>
      </c>
      <c r="E270">
        <v>1.1508168253350211</v>
      </c>
      <c r="F270">
        <v>0.41751152968335331</v>
      </c>
      <c r="G270">
        <f t="shared" si="4"/>
        <v>-0.73330529565166769</v>
      </c>
      <c r="H270">
        <v>1.468206874459418E-3</v>
      </c>
    </row>
    <row r="271" spans="1:8" x14ac:dyDescent="0.35">
      <c r="A271" t="s">
        <v>75</v>
      </c>
      <c r="B271" t="s">
        <v>55</v>
      </c>
      <c r="C271" t="s">
        <v>38</v>
      </c>
      <c r="D271">
        <v>2019</v>
      </c>
      <c r="E271">
        <v>0.1046834039854172</v>
      </c>
      <c r="F271">
        <v>0.41751152968335331</v>
      </c>
      <c r="G271">
        <f t="shared" si="4"/>
        <v>0.31282812569793611</v>
      </c>
      <c r="H271">
        <v>1.468206874459418E-3</v>
      </c>
    </row>
    <row r="272" spans="1:8" x14ac:dyDescent="0.35">
      <c r="A272" t="s">
        <v>75</v>
      </c>
      <c r="B272" t="s">
        <v>54</v>
      </c>
      <c r="C272" t="s">
        <v>40</v>
      </c>
      <c r="D272">
        <v>2019</v>
      </c>
      <c r="E272">
        <v>1.208894526316961</v>
      </c>
      <c r="F272">
        <v>0.41751152968335331</v>
      </c>
      <c r="G272">
        <f t="shared" si="4"/>
        <v>-0.79138299663360767</v>
      </c>
      <c r="H272">
        <v>1.468206874459418E-3</v>
      </c>
    </row>
    <row r="273" spans="1:8" x14ac:dyDescent="0.35">
      <c r="A273" t="s">
        <v>75</v>
      </c>
      <c r="B273" t="s">
        <v>56</v>
      </c>
      <c r="C273" t="s">
        <v>40</v>
      </c>
      <c r="D273">
        <v>2019</v>
      </c>
      <c r="E273">
        <v>0.1006276066420453</v>
      </c>
      <c r="F273">
        <v>0.41751152968335331</v>
      </c>
      <c r="G273">
        <f t="shared" si="4"/>
        <v>0.31688392304130802</v>
      </c>
      <c r="H273">
        <v>1.468206874459418E-3</v>
      </c>
    </row>
    <row r="274" spans="1:8" x14ac:dyDescent="0.35">
      <c r="A274" t="s">
        <v>76</v>
      </c>
      <c r="B274" t="s">
        <v>37</v>
      </c>
      <c r="C274" t="s">
        <v>38</v>
      </c>
      <c r="D274">
        <v>2011</v>
      </c>
      <c r="E274">
        <v>1.8081352289394561</v>
      </c>
      <c r="F274">
        <v>1.763265804751377</v>
      </c>
      <c r="G274">
        <f t="shared" si="4"/>
        <v>-4.4869424188079154E-2</v>
      </c>
      <c r="H274">
        <v>3.5221808169296091E-2</v>
      </c>
    </row>
    <row r="275" spans="1:8" x14ac:dyDescent="0.35">
      <c r="A275" t="s">
        <v>76</v>
      </c>
      <c r="B275" t="s">
        <v>39</v>
      </c>
      <c r="C275" t="s">
        <v>40</v>
      </c>
      <c r="D275">
        <v>2011</v>
      </c>
      <c r="E275">
        <v>1.926005162138456</v>
      </c>
      <c r="F275">
        <v>1.763265804751377</v>
      </c>
      <c r="G275">
        <f t="shared" si="4"/>
        <v>-0.16273935738707901</v>
      </c>
      <c r="H275">
        <v>3.5221808169296091E-2</v>
      </c>
    </row>
    <row r="276" spans="1:8" x14ac:dyDescent="0.35">
      <c r="A276" t="s">
        <v>76</v>
      </c>
      <c r="B276" t="s">
        <v>37</v>
      </c>
      <c r="C276" t="s">
        <v>38</v>
      </c>
      <c r="D276">
        <v>2012</v>
      </c>
      <c r="E276">
        <v>0.49861923570131422</v>
      </c>
      <c r="F276">
        <v>-0.98761966818776048</v>
      </c>
      <c r="G276">
        <f t="shared" si="4"/>
        <v>-1.4862389038890746</v>
      </c>
      <c r="H276">
        <v>2.7962413886549891E-2</v>
      </c>
    </row>
    <row r="277" spans="1:8" x14ac:dyDescent="0.35">
      <c r="A277" t="s">
        <v>76</v>
      </c>
      <c r="B277" t="s">
        <v>41</v>
      </c>
      <c r="C277" t="s">
        <v>38</v>
      </c>
      <c r="D277">
        <v>2012</v>
      </c>
      <c r="E277">
        <v>-0.28000741980042099</v>
      </c>
      <c r="F277">
        <v>-0.98761966818776048</v>
      </c>
      <c r="G277">
        <f t="shared" si="4"/>
        <v>-0.70761224838733949</v>
      </c>
      <c r="H277">
        <v>2.7962413886549891E-2</v>
      </c>
    </row>
    <row r="278" spans="1:8" x14ac:dyDescent="0.35">
      <c r="A278" t="s">
        <v>76</v>
      </c>
      <c r="B278" t="s">
        <v>39</v>
      </c>
      <c r="C278" t="s">
        <v>40</v>
      </c>
      <c r="D278">
        <v>2012</v>
      </c>
      <c r="E278">
        <v>1.661047212655653</v>
      </c>
      <c r="F278">
        <v>-0.98761966818776048</v>
      </c>
      <c r="G278">
        <f t="shared" si="4"/>
        <v>-2.6486668808434137</v>
      </c>
      <c r="H278">
        <v>2.7962413886549891E-2</v>
      </c>
    </row>
    <row r="279" spans="1:8" x14ac:dyDescent="0.35">
      <c r="A279" t="s">
        <v>76</v>
      </c>
      <c r="B279" t="s">
        <v>42</v>
      </c>
      <c r="C279" t="s">
        <v>40</v>
      </c>
      <c r="D279">
        <v>2012</v>
      </c>
      <c r="E279">
        <v>-0.88737458554019044</v>
      </c>
      <c r="F279">
        <v>-0.98761966818776048</v>
      </c>
      <c r="G279">
        <f t="shared" si="4"/>
        <v>-0.10024508264757004</v>
      </c>
      <c r="H279">
        <v>2.7962413886549891E-2</v>
      </c>
    </row>
    <row r="280" spans="1:8" x14ac:dyDescent="0.35">
      <c r="A280" t="s">
        <v>76</v>
      </c>
      <c r="B280" t="s">
        <v>41</v>
      </c>
      <c r="C280" t="s">
        <v>38</v>
      </c>
      <c r="D280">
        <v>2013</v>
      </c>
      <c r="E280">
        <v>0.25101306409311958</v>
      </c>
      <c r="F280">
        <v>1.2707283722487859E-2</v>
      </c>
      <c r="G280">
        <f t="shared" si="4"/>
        <v>-0.23830578037063171</v>
      </c>
      <c r="H280">
        <v>2.9090525421548951E-2</v>
      </c>
    </row>
    <row r="281" spans="1:8" x14ac:dyDescent="0.35">
      <c r="A281" t="s">
        <v>76</v>
      </c>
      <c r="B281" t="s">
        <v>43</v>
      </c>
      <c r="C281" t="s">
        <v>38</v>
      </c>
      <c r="D281">
        <v>2013</v>
      </c>
      <c r="E281">
        <v>-0.9800045037945293</v>
      </c>
      <c r="F281">
        <v>1.2707283722487859E-2</v>
      </c>
      <c r="G281">
        <f t="shared" si="4"/>
        <v>0.99271178751701716</v>
      </c>
      <c r="H281">
        <v>2.9090525421548951E-2</v>
      </c>
    </row>
    <row r="282" spans="1:8" x14ac:dyDescent="0.35">
      <c r="A282" t="s">
        <v>76</v>
      </c>
      <c r="B282" t="s">
        <v>42</v>
      </c>
      <c r="C282" t="s">
        <v>40</v>
      </c>
      <c r="D282">
        <v>2013</v>
      </c>
      <c r="E282">
        <v>0.70707026821927865</v>
      </c>
      <c r="F282">
        <v>1.2707283722487859E-2</v>
      </c>
      <c r="G282">
        <f t="shared" si="4"/>
        <v>-0.69436298449679079</v>
      </c>
      <c r="H282">
        <v>2.9090525421548951E-2</v>
      </c>
    </row>
    <row r="283" spans="1:8" x14ac:dyDescent="0.35">
      <c r="A283" t="s">
        <v>76</v>
      </c>
      <c r="B283" t="s">
        <v>44</v>
      </c>
      <c r="C283" t="s">
        <v>40</v>
      </c>
      <c r="D283">
        <v>2013</v>
      </c>
      <c r="E283">
        <v>-0.79000434577850553</v>
      </c>
      <c r="F283">
        <v>1.2707283722487859E-2</v>
      </c>
      <c r="G283">
        <f t="shared" si="4"/>
        <v>0.8027116295009934</v>
      </c>
      <c r="H283">
        <v>2.9090525421548951E-2</v>
      </c>
    </row>
    <row r="284" spans="1:8" x14ac:dyDescent="0.35">
      <c r="A284" t="s">
        <v>76</v>
      </c>
      <c r="B284" t="s">
        <v>43</v>
      </c>
      <c r="C284" t="s">
        <v>38</v>
      </c>
      <c r="D284">
        <v>2014</v>
      </c>
      <c r="E284">
        <v>0.2460103096358246</v>
      </c>
      <c r="F284">
        <v>1.6013721912486829</v>
      </c>
      <c r="G284">
        <f t="shared" si="4"/>
        <v>1.3553618816128583</v>
      </c>
      <c r="H284">
        <v>3.2188351395378782E-2</v>
      </c>
    </row>
    <row r="285" spans="1:8" x14ac:dyDescent="0.35">
      <c r="A285" t="s">
        <v>76</v>
      </c>
      <c r="B285" t="s">
        <v>45</v>
      </c>
      <c r="C285" t="s">
        <v>38</v>
      </c>
      <c r="D285">
        <v>2014</v>
      </c>
      <c r="E285">
        <v>0.87813009513062479</v>
      </c>
      <c r="F285">
        <v>1.6013721912486829</v>
      </c>
      <c r="G285">
        <f t="shared" si="4"/>
        <v>0.72324209611805812</v>
      </c>
      <c r="H285">
        <v>3.2188351395378782E-2</v>
      </c>
    </row>
    <row r="286" spans="1:8" x14ac:dyDescent="0.35">
      <c r="A286" t="s">
        <v>76</v>
      </c>
      <c r="B286" t="s">
        <v>44</v>
      </c>
      <c r="C286" t="s">
        <v>40</v>
      </c>
      <c r="D286">
        <v>2014</v>
      </c>
      <c r="E286">
        <v>0.89594425952546075</v>
      </c>
      <c r="F286">
        <v>1.6013721912486829</v>
      </c>
      <c r="G286">
        <f t="shared" si="4"/>
        <v>0.70542793172322216</v>
      </c>
      <c r="H286">
        <v>3.2188351395378782E-2</v>
      </c>
    </row>
    <row r="287" spans="1:8" x14ac:dyDescent="0.35">
      <c r="A287" t="s">
        <v>76</v>
      </c>
      <c r="B287" t="s">
        <v>46</v>
      </c>
      <c r="C287" t="s">
        <v>40</v>
      </c>
      <c r="D287">
        <v>2014</v>
      </c>
      <c r="E287">
        <v>1.1634467886850299</v>
      </c>
      <c r="F287">
        <v>1.6013721912486829</v>
      </c>
      <c r="G287">
        <f t="shared" si="4"/>
        <v>0.43792540256365298</v>
      </c>
      <c r="H287">
        <v>3.2188351395378782E-2</v>
      </c>
    </row>
    <row r="288" spans="1:8" x14ac:dyDescent="0.35">
      <c r="A288" t="s">
        <v>76</v>
      </c>
      <c r="B288" t="s">
        <v>45</v>
      </c>
      <c r="C288" t="s">
        <v>38</v>
      </c>
      <c r="D288">
        <v>2015</v>
      </c>
      <c r="E288">
        <v>1.4152411951803721</v>
      </c>
      <c r="F288">
        <v>2.075992985655045</v>
      </c>
      <c r="G288">
        <f t="shared" si="4"/>
        <v>0.66075179047467292</v>
      </c>
      <c r="H288">
        <v>3.2685922756560681E-2</v>
      </c>
    </row>
    <row r="289" spans="1:8" x14ac:dyDescent="0.35">
      <c r="A289" t="s">
        <v>76</v>
      </c>
      <c r="B289" t="s">
        <v>47</v>
      </c>
      <c r="C289" t="s">
        <v>38</v>
      </c>
      <c r="D289">
        <v>2015</v>
      </c>
      <c r="E289">
        <v>2.048080115775686</v>
      </c>
      <c r="F289">
        <v>2.075992985655045</v>
      </c>
      <c r="G289">
        <f t="shared" si="4"/>
        <v>2.7912869879358926E-2</v>
      </c>
      <c r="H289">
        <v>3.2685922756560681E-2</v>
      </c>
    </row>
    <row r="290" spans="1:8" x14ac:dyDescent="0.35">
      <c r="A290" t="s">
        <v>76</v>
      </c>
      <c r="B290" t="s">
        <v>46</v>
      </c>
      <c r="C290" t="s">
        <v>40</v>
      </c>
      <c r="D290">
        <v>2015</v>
      </c>
      <c r="E290">
        <v>1.3587126188379759</v>
      </c>
      <c r="F290">
        <v>2.075992985655045</v>
      </c>
      <c r="G290">
        <f t="shared" si="4"/>
        <v>0.71728036681706908</v>
      </c>
      <c r="H290">
        <v>3.2685922756560681E-2</v>
      </c>
    </row>
    <row r="291" spans="1:8" x14ac:dyDescent="0.35">
      <c r="A291" t="s">
        <v>76</v>
      </c>
      <c r="B291" t="s">
        <v>48</v>
      </c>
      <c r="C291" t="s">
        <v>40</v>
      </c>
      <c r="D291">
        <v>2015</v>
      </c>
      <c r="E291">
        <v>1.634744403265187</v>
      </c>
      <c r="F291">
        <v>2.075992985655045</v>
      </c>
      <c r="G291">
        <f t="shared" si="4"/>
        <v>0.44124858238985798</v>
      </c>
      <c r="H291">
        <v>3.2685922756560681E-2</v>
      </c>
    </row>
    <row r="292" spans="1:8" x14ac:dyDescent="0.35">
      <c r="A292" t="s">
        <v>76</v>
      </c>
      <c r="B292" t="s">
        <v>47</v>
      </c>
      <c r="C292" t="s">
        <v>38</v>
      </c>
      <c r="D292">
        <v>2016</v>
      </c>
      <c r="E292">
        <v>2.1325986777734669</v>
      </c>
      <c r="F292">
        <v>2.3909782656438301</v>
      </c>
      <c r="G292">
        <f t="shared" si="4"/>
        <v>0.25837958787036319</v>
      </c>
      <c r="H292">
        <v>3.3329279039429373E-2</v>
      </c>
    </row>
    <row r="293" spans="1:8" x14ac:dyDescent="0.35">
      <c r="A293" t="s">
        <v>76</v>
      </c>
      <c r="B293" t="s">
        <v>49</v>
      </c>
      <c r="C293" t="s">
        <v>38</v>
      </c>
      <c r="D293">
        <v>2016</v>
      </c>
      <c r="E293">
        <v>1.6589744219452249</v>
      </c>
      <c r="F293">
        <v>2.3909782656438301</v>
      </c>
      <c r="G293">
        <f t="shared" si="4"/>
        <v>0.73200384369860516</v>
      </c>
      <c r="H293">
        <v>3.3329279039429373E-2</v>
      </c>
    </row>
    <row r="294" spans="1:8" x14ac:dyDescent="0.35">
      <c r="A294" t="s">
        <v>76</v>
      </c>
      <c r="B294" t="s">
        <v>48</v>
      </c>
      <c r="C294" t="s">
        <v>40</v>
      </c>
      <c r="D294">
        <v>2016</v>
      </c>
      <c r="E294">
        <v>1.7327119888610909</v>
      </c>
      <c r="F294">
        <v>2.3909782656438301</v>
      </c>
      <c r="G294">
        <f t="shared" si="4"/>
        <v>0.65826627678273919</v>
      </c>
      <c r="H294">
        <v>3.3329279039429373E-2</v>
      </c>
    </row>
    <row r="295" spans="1:8" x14ac:dyDescent="0.35">
      <c r="A295" t="s">
        <v>76</v>
      </c>
      <c r="B295" t="s">
        <v>50</v>
      </c>
      <c r="C295" t="s">
        <v>40</v>
      </c>
      <c r="D295">
        <v>2016</v>
      </c>
      <c r="E295">
        <v>1.6774792555238389</v>
      </c>
      <c r="F295">
        <v>2.3909782656438301</v>
      </c>
      <c r="G295">
        <f t="shared" si="4"/>
        <v>0.71349901011999117</v>
      </c>
      <c r="H295">
        <v>3.3329279039429373E-2</v>
      </c>
    </row>
    <row r="296" spans="1:8" x14ac:dyDescent="0.35">
      <c r="A296" t="s">
        <v>76</v>
      </c>
      <c r="B296" t="s">
        <v>49</v>
      </c>
      <c r="C296" t="s">
        <v>38</v>
      </c>
      <c r="D296">
        <v>2017</v>
      </c>
      <c r="E296">
        <v>1.6517530585588249</v>
      </c>
      <c r="F296">
        <v>2.7431906089065579</v>
      </c>
      <c r="G296">
        <f t="shared" si="4"/>
        <v>1.0914375503477329</v>
      </c>
      <c r="H296">
        <v>3.1898869597727753E-2</v>
      </c>
    </row>
    <row r="297" spans="1:8" x14ac:dyDescent="0.35">
      <c r="A297" t="s">
        <v>76</v>
      </c>
      <c r="B297" t="s">
        <v>51</v>
      </c>
      <c r="C297" t="s">
        <v>38</v>
      </c>
      <c r="D297">
        <v>2017</v>
      </c>
      <c r="E297">
        <v>3.2081591137887999</v>
      </c>
      <c r="F297">
        <v>2.7431906089065579</v>
      </c>
      <c r="G297">
        <f t="shared" si="4"/>
        <v>-0.46496850488224206</v>
      </c>
      <c r="H297">
        <v>3.1898869597727753E-2</v>
      </c>
    </row>
    <row r="298" spans="1:8" x14ac:dyDescent="0.35">
      <c r="A298" t="s">
        <v>76</v>
      </c>
      <c r="B298" t="s">
        <v>50</v>
      </c>
      <c r="C298" t="s">
        <v>40</v>
      </c>
      <c r="D298">
        <v>2017</v>
      </c>
      <c r="E298">
        <v>1.9694041267229729</v>
      </c>
      <c r="F298">
        <v>2.7431906089065579</v>
      </c>
      <c r="G298">
        <f t="shared" si="4"/>
        <v>0.77378648218358492</v>
      </c>
      <c r="H298">
        <v>3.1898869597727753E-2</v>
      </c>
    </row>
    <row r="299" spans="1:8" x14ac:dyDescent="0.35">
      <c r="A299" t="s">
        <v>76</v>
      </c>
      <c r="B299" t="s">
        <v>52</v>
      </c>
      <c r="C299" t="s">
        <v>40</v>
      </c>
      <c r="D299">
        <v>2017</v>
      </c>
      <c r="E299">
        <v>2.1108256212513781</v>
      </c>
      <c r="F299">
        <v>2.7431906089065579</v>
      </c>
      <c r="G299">
        <f t="shared" si="4"/>
        <v>0.63236498765517979</v>
      </c>
      <c r="H299">
        <v>3.1898869597727753E-2</v>
      </c>
    </row>
    <row r="300" spans="1:8" x14ac:dyDescent="0.35">
      <c r="A300" t="s">
        <v>76</v>
      </c>
      <c r="B300" t="s">
        <v>51</v>
      </c>
      <c r="C300" t="s">
        <v>38</v>
      </c>
      <c r="D300">
        <v>2018</v>
      </c>
      <c r="E300">
        <v>2.719855882122268</v>
      </c>
      <c r="F300">
        <v>2.2276489335745251</v>
      </c>
      <c r="G300">
        <f t="shared" si="4"/>
        <v>-0.49220694854774294</v>
      </c>
      <c r="H300">
        <v>3.6017884371874691E-2</v>
      </c>
    </row>
    <row r="301" spans="1:8" x14ac:dyDescent="0.35">
      <c r="A301" t="s">
        <v>76</v>
      </c>
      <c r="B301" t="s">
        <v>53</v>
      </c>
      <c r="C301" t="s">
        <v>38</v>
      </c>
      <c r="D301">
        <v>2018</v>
      </c>
      <c r="E301">
        <v>2.836804692292016</v>
      </c>
      <c r="F301">
        <v>2.2276489335745251</v>
      </c>
      <c r="G301">
        <f t="shared" si="4"/>
        <v>-0.60915575871749095</v>
      </c>
      <c r="H301">
        <v>3.6017884371874691E-2</v>
      </c>
    </row>
    <row r="302" spans="1:8" x14ac:dyDescent="0.35">
      <c r="A302" t="s">
        <v>76</v>
      </c>
      <c r="B302" t="s">
        <v>52</v>
      </c>
      <c r="C302" t="s">
        <v>40</v>
      </c>
      <c r="D302">
        <v>2018</v>
      </c>
      <c r="E302">
        <v>1.81696463155987</v>
      </c>
      <c r="F302">
        <v>2.2276489335745251</v>
      </c>
      <c r="G302">
        <f t="shared" si="4"/>
        <v>0.41068430201465511</v>
      </c>
      <c r="H302">
        <v>3.6017884371874691E-2</v>
      </c>
    </row>
    <row r="303" spans="1:8" x14ac:dyDescent="0.35">
      <c r="A303" t="s">
        <v>76</v>
      </c>
      <c r="B303" t="s">
        <v>54</v>
      </c>
      <c r="C303" t="s">
        <v>40</v>
      </c>
      <c r="D303">
        <v>2018</v>
      </c>
      <c r="E303">
        <v>2.9504045313044398</v>
      </c>
      <c r="F303">
        <v>2.2276489335745251</v>
      </c>
      <c r="G303">
        <f t="shared" si="4"/>
        <v>-0.72275559772991471</v>
      </c>
      <c r="H303">
        <v>3.6017884371874691E-2</v>
      </c>
    </row>
    <row r="304" spans="1:8" x14ac:dyDescent="0.35">
      <c r="A304" t="s">
        <v>76</v>
      </c>
      <c r="B304" t="s">
        <v>53</v>
      </c>
      <c r="C304" t="s">
        <v>38</v>
      </c>
      <c r="D304">
        <v>2019</v>
      </c>
      <c r="E304">
        <v>2.3973855170303038</v>
      </c>
      <c r="F304">
        <v>2.2687921571426761</v>
      </c>
      <c r="G304">
        <f t="shared" si="4"/>
        <v>-0.12859335988762766</v>
      </c>
      <c r="H304">
        <v>3.7054754499917721E-2</v>
      </c>
    </row>
    <row r="305" spans="1:8" x14ac:dyDescent="0.35">
      <c r="A305" t="s">
        <v>76</v>
      </c>
      <c r="B305" t="s">
        <v>55</v>
      </c>
      <c r="C305" t="s">
        <v>38</v>
      </c>
      <c r="D305">
        <v>2019</v>
      </c>
      <c r="E305">
        <v>1.699934171052897</v>
      </c>
      <c r="F305">
        <v>2.2687921571426761</v>
      </c>
      <c r="G305">
        <f t="shared" si="4"/>
        <v>0.56885798608977911</v>
      </c>
      <c r="H305">
        <v>3.7054754499917721E-2</v>
      </c>
    </row>
    <row r="306" spans="1:8" x14ac:dyDescent="0.35">
      <c r="A306" t="s">
        <v>76</v>
      </c>
      <c r="B306" t="s">
        <v>54</v>
      </c>
      <c r="C306" t="s">
        <v>40</v>
      </c>
      <c r="D306">
        <v>2019</v>
      </c>
      <c r="E306">
        <v>2.5903398154754731</v>
      </c>
      <c r="F306">
        <v>2.2687921571426761</v>
      </c>
      <c r="G306">
        <f t="shared" si="4"/>
        <v>-0.32154765833279697</v>
      </c>
      <c r="H306">
        <v>3.7054754499917721E-2</v>
      </c>
    </row>
    <row r="307" spans="1:8" x14ac:dyDescent="0.35">
      <c r="A307" t="s">
        <v>76</v>
      </c>
      <c r="B307" t="s">
        <v>56</v>
      </c>
      <c r="C307" t="s">
        <v>40</v>
      </c>
      <c r="D307">
        <v>2019</v>
      </c>
      <c r="E307">
        <v>1.627911133653104</v>
      </c>
      <c r="F307">
        <v>2.2687921571426761</v>
      </c>
      <c r="G307">
        <f t="shared" si="4"/>
        <v>0.6408810234895721</v>
      </c>
      <c r="H307">
        <v>3.7054754499917721E-2</v>
      </c>
    </row>
    <row r="308" spans="1:8" x14ac:dyDescent="0.35">
      <c r="A308" t="s">
        <v>77</v>
      </c>
      <c r="B308" t="s">
        <v>37</v>
      </c>
      <c r="C308" t="s">
        <v>38</v>
      </c>
      <c r="D308">
        <v>2011</v>
      </c>
      <c r="E308">
        <v>-1.8696006757531689</v>
      </c>
      <c r="F308">
        <v>-1.7283467654708611</v>
      </c>
      <c r="G308">
        <f t="shared" si="4"/>
        <v>0.14125391028230783</v>
      </c>
      <c r="H308">
        <v>6.8274633981906245E-4</v>
      </c>
    </row>
    <row r="309" spans="1:8" x14ac:dyDescent="0.35">
      <c r="A309" t="s">
        <v>77</v>
      </c>
      <c r="B309" t="s">
        <v>39</v>
      </c>
      <c r="C309" t="s">
        <v>40</v>
      </c>
      <c r="D309">
        <v>2011</v>
      </c>
      <c r="E309">
        <v>-2.2032240541474901</v>
      </c>
      <c r="F309">
        <v>-1.7283467654708611</v>
      </c>
      <c r="G309">
        <f t="shared" si="4"/>
        <v>0.47487728867662904</v>
      </c>
      <c r="H309">
        <v>6.8274633981906245E-4</v>
      </c>
    </row>
    <row r="310" spans="1:8" x14ac:dyDescent="0.35">
      <c r="A310" t="s">
        <v>77</v>
      </c>
      <c r="B310" t="s">
        <v>37</v>
      </c>
      <c r="C310" t="s">
        <v>38</v>
      </c>
      <c r="D310">
        <v>2012</v>
      </c>
      <c r="E310">
        <v>-3.035670582279193</v>
      </c>
      <c r="F310">
        <v>-4.1352247921585192</v>
      </c>
      <c r="G310">
        <f t="shared" si="4"/>
        <v>-1.0995542098793263</v>
      </c>
      <c r="H310">
        <v>7.2226219902314333E-4</v>
      </c>
    </row>
    <row r="311" spans="1:8" x14ac:dyDescent="0.35">
      <c r="A311" t="s">
        <v>77</v>
      </c>
      <c r="B311" t="s">
        <v>41</v>
      </c>
      <c r="C311" t="s">
        <v>38</v>
      </c>
      <c r="D311">
        <v>2012</v>
      </c>
      <c r="E311">
        <v>-2.9592221038484801</v>
      </c>
      <c r="F311">
        <v>-4.1352247921585192</v>
      </c>
      <c r="G311">
        <f t="shared" si="4"/>
        <v>-1.1760026883100392</v>
      </c>
      <c r="H311">
        <v>7.2226219902314333E-4</v>
      </c>
    </row>
    <row r="312" spans="1:8" x14ac:dyDescent="0.35">
      <c r="A312" t="s">
        <v>77</v>
      </c>
      <c r="B312" t="s">
        <v>39</v>
      </c>
      <c r="C312" t="s">
        <v>40</v>
      </c>
      <c r="D312">
        <v>2012</v>
      </c>
      <c r="E312">
        <v>-1.7542339094107959</v>
      </c>
      <c r="F312">
        <v>-4.1352247921585192</v>
      </c>
      <c r="G312">
        <f t="shared" si="4"/>
        <v>-2.3809908827477235</v>
      </c>
      <c r="H312">
        <v>7.2226219902314333E-4</v>
      </c>
    </row>
    <row r="313" spans="1:8" x14ac:dyDescent="0.35">
      <c r="A313" t="s">
        <v>77</v>
      </c>
      <c r="B313" t="s">
        <v>42</v>
      </c>
      <c r="C313" t="s">
        <v>40</v>
      </c>
      <c r="D313">
        <v>2012</v>
      </c>
      <c r="E313">
        <v>-3.2622256936120531</v>
      </c>
      <c r="F313">
        <v>-4.1352247921585192</v>
      </c>
      <c r="G313">
        <f t="shared" si="4"/>
        <v>-0.87299909854646618</v>
      </c>
      <c r="H313">
        <v>7.2226219902314333E-4</v>
      </c>
    </row>
    <row r="314" spans="1:8" x14ac:dyDescent="0.35">
      <c r="A314" t="s">
        <v>77</v>
      </c>
      <c r="B314" t="s">
        <v>41</v>
      </c>
      <c r="C314" t="s">
        <v>38</v>
      </c>
      <c r="D314">
        <v>2013</v>
      </c>
      <c r="E314">
        <v>-0.99451273527885187</v>
      </c>
      <c r="F314">
        <v>-0.98897197690870997</v>
      </c>
      <c r="G314">
        <f t="shared" si="4"/>
        <v>5.5407583701418961E-3</v>
      </c>
      <c r="H314">
        <v>6.1268765363656371E-4</v>
      </c>
    </row>
    <row r="315" spans="1:8" x14ac:dyDescent="0.35">
      <c r="A315" t="s">
        <v>77</v>
      </c>
      <c r="B315" t="s">
        <v>43</v>
      </c>
      <c r="C315" t="s">
        <v>38</v>
      </c>
      <c r="D315">
        <v>2013</v>
      </c>
      <c r="E315">
        <v>-1.7638843604673491</v>
      </c>
      <c r="F315">
        <v>-0.98897197690870997</v>
      </c>
      <c r="G315">
        <f t="shared" si="4"/>
        <v>0.77491238355863912</v>
      </c>
      <c r="H315">
        <v>6.1268765363656371E-4</v>
      </c>
    </row>
    <row r="316" spans="1:8" x14ac:dyDescent="0.35">
      <c r="A316" t="s">
        <v>77</v>
      </c>
      <c r="B316" t="s">
        <v>42</v>
      </c>
      <c r="C316" t="s">
        <v>40</v>
      </c>
      <c r="D316">
        <v>2013</v>
      </c>
      <c r="E316">
        <v>0.25474465246075878</v>
      </c>
      <c r="F316">
        <v>-0.98897197690870997</v>
      </c>
      <c r="G316">
        <f t="shared" si="4"/>
        <v>-1.2437166293694688</v>
      </c>
      <c r="H316">
        <v>6.1268765363656371E-4</v>
      </c>
    </row>
    <row r="317" spans="1:8" x14ac:dyDescent="0.35">
      <c r="A317" t="s">
        <v>77</v>
      </c>
      <c r="B317" t="s">
        <v>44</v>
      </c>
      <c r="C317" t="s">
        <v>40</v>
      </c>
      <c r="D317">
        <v>2013</v>
      </c>
      <c r="E317">
        <v>-2.3430661136081392</v>
      </c>
      <c r="F317">
        <v>-0.98897197690870997</v>
      </c>
      <c r="G317">
        <f t="shared" si="4"/>
        <v>1.3540941366994292</v>
      </c>
      <c r="H317">
        <v>6.1268765363656371E-4</v>
      </c>
    </row>
    <row r="318" spans="1:8" x14ac:dyDescent="0.35">
      <c r="A318" t="s">
        <v>77</v>
      </c>
      <c r="B318" t="s">
        <v>43</v>
      </c>
      <c r="C318" t="s">
        <v>38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6.6711717123574797E-4</v>
      </c>
    </row>
    <row r="319" spans="1:8" x14ac:dyDescent="0.35">
      <c r="A319" t="s">
        <v>77</v>
      </c>
      <c r="B319" t="s">
        <v>45</v>
      </c>
      <c r="C319" t="s">
        <v>38</v>
      </c>
      <c r="D319">
        <v>2014</v>
      </c>
      <c r="E319">
        <v>0.93766267530348557</v>
      </c>
      <c r="F319">
        <v>0.73862541356536338</v>
      </c>
      <c r="G319">
        <f t="shared" si="4"/>
        <v>-0.1990372617381222</v>
      </c>
      <c r="H319">
        <v>6.6711717123574797E-4</v>
      </c>
    </row>
    <row r="320" spans="1:8" x14ac:dyDescent="0.35">
      <c r="A320" t="s">
        <v>77</v>
      </c>
      <c r="B320" t="s">
        <v>44</v>
      </c>
      <c r="C320" t="s">
        <v>40</v>
      </c>
      <c r="D320">
        <v>2014</v>
      </c>
      <c r="E320">
        <v>0.55862666597106259</v>
      </c>
      <c r="F320">
        <v>0.73862541356536338</v>
      </c>
      <c r="G320">
        <f t="shared" si="4"/>
        <v>0.17999874759430079</v>
      </c>
      <c r="H320">
        <v>6.6711717123574797E-4</v>
      </c>
    </row>
    <row r="321" spans="1:8" x14ac:dyDescent="0.35">
      <c r="A321" t="s">
        <v>77</v>
      </c>
      <c r="B321" t="s">
        <v>46</v>
      </c>
      <c r="C321" t="s">
        <v>40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6.6711717123574797E-4</v>
      </c>
    </row>
    <row r="322" spans="1:8" x14ac:dyDescent="0.35">
      <c r="A322" t="s">
        <v>77</v>
      </c>
      <c r="B322" t="s">
        <v>45</v>
      </c>
      <c r="C322" t="s">
        <v>38</v>
      </c>
      <c r="D322">
        <v>2015</v>
      </c>
      <c r="E322">
        <v>1.29819266835165</v>
      </c>
      <c r="F322">
        <v>1.5772755552952269</v>
      </c>
      <c r="G322">
        <f t="shared" ref="G322:G341" si="5">IF(OR(F322="",E322=""),"",F322-E322)</f>
        <v>0.27908288694357686</v>
      </c>
      <c r="H322">
        <v>5.3958445557318298E-4</v>
      </c>
    </row>
    <row r="323" spans="1:8" x14ac:dyDescent="0.35">
      <c r="A323" t="s">
        <v>77</v>
      </c>
      <c r="B323" t="s">
        <v>47</v>
      </c>
      <c r="C323" t="s">
        <v>38</v>
      </c>
      <c r="D323">
        <v>2015</v>
      </c>
      <c r="E323">
        <v>1.741329419958926</v>
      </c>
      <c r="F323">
        <v>1.5772755552952269</v>
      </c>
      <c r="G323">
        <f t="shared" si="5"/>
        <v>-0.16405386466369909</v>
      </c>
      <c r="H323">
        <v>5.3958445557318298E-4</v>
      </c>
    </row>
    <row r="324" spans="1:8" x14ac:dyDescent="0.35">
      <c r="A324" t="s">
        <v>77</v>
      </c>
      <c r="B324" t="s">
        <v>46</v>
      </c>
      <c r="C324" t="s">
        <v>40</v>
      </c>
      <c r="D324">
        <v>2015</v>
      </c>
      <c r="E324">
        <v>1.4931874273763861</v>
      </c>
      <c r="F324">
        <v>1.5772755552952269</v>
      </c>
      <c r="G324">
        <f t="shared" si="5"/>
        <v>8.4088127918840794E-2</v>
      </c>
      <c r="H324">
        <v>5.3958445557318298E-4</v>
      </c>
    </row>
    <row r="325" spans="1:8" x14ac:dyDescent="0.35">
      <c r="A325" t="s">
        <v>77</v>
      </c>
      <c r="B325" t="s">
        <v>48</v>
      </c>
      <c r="C325" t="s">
        <v>40</v>
      </c>
      <c r="D325">
        <v>2015</v>
      </c>
      <c r="E325">
        <v>1.6418853965775471</v>
      </c>
      <c r="F325">
        <v>1.5772755552952269</v>
      </c>
      <c r="G325">
        <f t="shared" si="5"/>
        <v>-6.4609841282320168E-2</v>
      </c>
      <c r="H325">
        <v>5.3958445557318298E-4</v>
      </c>
    </row>
    <row r="326" spans="1:8" x14ac:dyDescent="0.35">
      <c r="A326" t="s">
        <v>77</v>
      </c>
      <c r="B326" t="s">
        <v>47</v>
      </c>
      <c r="C326" t="s">
        <v>38</v>
      </c>
      <c r="D326">
        <v>2016</v>
      </c>
      <c r="E326">
        <v>1.659048842216615</v>
      </c>
      <c r="F326">
        <v>1.9843922204112789</v>
      </c>
      <c r="G326">
        <f t="shared" si="5"/>
        <v>0.32534337819466397</v>
      </c>
      <c r="H326">
        <v>5.3362021622097597E-4</v>
      </c>
    </row>
    <row r="327" spans="1:8" x14ac:dyDescent="0.35">
      <c r="A327" t="s">
        <v>77</v>
      </c>
      <c r="B327" t="s">
        <v>49</v>
      </c>
      <c r="C327" t="s">
        <v>38</v>
      </c>
      <c r="D327">
        <v>2016</v>
      </c>
      <c r="E327">
        <v>0.92930181879138374</v>
      </c>
      <c r="F327">
        <v>1.9843922204112789</v>
      </c>
      <c r="G327">
        <f t="shared" si="5"/>
        <v>1.0550904016198952</v>
      </c>
      <c r="H327">
        <v>5.3362021622097597E-4</v>
      </c>
    </row>
    <row r="328" spans="1:8" x14ac:dyDescent="0.35">
      <c r="A328" t="s">
        <v>77</v>
      </c>
      <c r="B328" t="s">
        <v>48</v>
      </c>
      <c r="C328" t="s">
        <v>40</v>
      </c>
      <c r="D328">
        <v>2016</v>
      </c>
      <c r="E328">
        <v>1.838363161189682</v>
      </c>
      <c r="F328">
        <v>1.9843922204112789</v>
      </c>
      <c r="G328">
        <f t="shared" si="5"/>
        <v>0.14602905922159692</v>
      </c>
      <c r="H328">
        <v>5.3362021622097597E-4</v>
      </c>
    </row>
    <row r="329" spans="1:8" x14ac:dyDescent="0.35">
      <c r="A329" t="s">
        <v>77</v>
      </c>
      <c r="B329" t="s">
        <v>50</v>
      </c>
      <c r="C329" t="s">
        <v>40</v>
      </c>
      <c r="D329">
        <v>2016</v>
      </c>
      <c r="E329">
        <v>1.458222731677794</v>
      </c>
      <c r="F329">
        <v>1.9843922204112789</v>
      </c>
      <c r="G329">
        <f t="shared" si="5"/>
        <v>0.5261694887334849</v>
      </c>
      <c r="H329">
        <v>5.3362021622097597E-4</v>
      </c>
    </row>
    <row r="330" spans="1:8" x14ac:dyDescent="0.35">
      <c r="A330" t="s">
        <v>77</v>
      </c>
      <c r="B330" t="s">
        <v>49</v>
      </c>
      <c r="C330" t="s">
        <v>38</v>
      </c>
      <c r="D330">
        <v>2017</v>
      </c>
      <c r="E330">
        <v>1.2443844685501531</v>
      </c>
      <c r="F330">
        <v>3.260896558994415</v>
      </c>
      <c r="G330">
        <f t="shared" si="5"/>
        <v>2.0165120904442619</v>
      </c>
      <c r="H330">
        <v>4.9589602037646669E-4</v>
      </c>
    </row>
    <row r="331" spans="1:8" x14ac:dyDescent="0.35">
      <c r="A331" t="s">
        <v>77</v>
      </c>
      <c r="B331" t="s">
        <v>51</v>
      </c>
      <c r="C331" t="s">
        <v>38</v>
      </c>
      <c r="D331">
        <v>2017</v>
      </c>
      <c r="E331">
        <v>2.6293844522458749</v>
      </c>
      <c r="F331">
        <v>3.260896558994415</v>
      </c>
      <c r="G331">
        <f t="shared" si="5"/>
        <v>0.63151210674854008</v>
      </c>
      <c r="H331">
        <v>4.9589602037646669E-4</v>
      </c>
    </row>
    <row r="332" spans="1:8" x14ac:dyDescent="0.35">
      <c r="A332" t="s">
        <v>77</v>
      </c>
      <c r="B332" t="s">
        <v>50</v>
      </c>
      <c r="C332" t="s">
        <v>40</v>
      </c>
      <c r="D332">
        <v>2017</v>
      </c>
      <c r="E332">
        <v>1.7439816750679069</v>
      </c>
      <c r="F332">
        <v>3.260896558994415</v>
      </c>
      <c r="G332">
        <f t="shared" si="5"/>
        <v>1.5169148839265081</v>
      </c>
      <c r="H332">
        <v>4.9589602037646669E-4</v>
      </c>
    </row>
    <row r="333" spans="1:8" x14ac:dyDescent="0.35">
      <c r="A333" t="s">
        <v>77</v>
      </c>
      <c r="B333" t="s">
        <v>52</v>
      </c>
      <c r="C333" t="s">
        <v>40</v>
      </c>
      <c r="D333">
        <v>2017</v>
      </c>
      <c r="E333">
        <v>1.838683940143615</v>
      </c>
      <c r="F333">
        <v>3.260896558994415</v>
      </c>
      <c r="G333">
        <f t="shared" si="5"/>
        <v>1.4222126188508</v>
      </c>
      <c r="H333">
        <v>4.9589602037646669E-4</v>
      </c>
    </row>
    <row r="334" spans="1:8" x14ac:dyDescent="0.35">
      <c r="A334" t="s">
        <v>77</v>
      </c>
      <c r="B334" t="s">
        <v>51</v>
      </c>
      <c r="C334" t="s">
        <v>38</v>
      </c>
      <c r="D334">
        <v>2018</v>
      </c>
      <c r="E334">
        <v>2.0625112156605669</v>
      </c>
      <c r="F334">
        <v>2.903725267458769</v>
      </c>
      <c r="G334">
        <f t="shared" si="5"/>
        <v>0.84121405179820208</v>
      </c>
      <c r="H334">
        <v>4.5162297504167961E-4</v>
      </c>
    </row>
    <row r="335" spans="1:8" x14ac:dyDescent="0.35">
      <c r="A335" t="s">
        <v>77</v>
      </c>
      <c r="B335" t="s">
        <v>53</v>
      </c>
      <c r="C335" t="s">
        <v>38</v>
      </c>
      <c r="D335">
        <v>2018</v>
      </c>
      <c r="E335">
        <v>2.1672748154352162</v>
      </c>
      <c r="F335">
        <v>2.903725267458769</v>
      </c>
      <c r="G335">
        <f t="shared" si="5"/>
        <v>0.73645045202355286</v>
      </c>
      <c r="H335">
        <v>4.5162297504167961E-4</v>
      </c>
    </row>
    <row r="336" spans="1:8" x14ac:dyDescent="0.35">
      <c r="A336" t="s">
        <v>77</v>
      </c>
      <c r="B336" t="s">
        <v>52</v>
      </c>
      <c r="C336" t="s">
        <v>40</v>
      </c>
      <c r="D336">
        <v>2018</v>
      </c>
      <c r="E336">
        <v>1.5677461936429939</v>
      </c>
      <c r="F336">
        <v>2.903725267458769</v>
      </c>
      <c r="G336">
        <f t="shared" si="5"/>
        <v>1.3359790738157751</v>
      </c>
      <c r="H336">
        <v>4.5162297504167961E-4</v>
      </c>
    </row>
    <row r="337" spans="1:8" x14ac:dyDescent="0.35">
      <c r="A337" t="s">
        <v>77</v>
      </c>
      <c r="B337" t="s">
        <v>54</v>
      </c>
      <c r="C337" t="s">
        <v>40</v>
      </c>
      <c r="D337">
        <v>2018</v>
      </c>
      <c r="E337">
        <v>2.3337380052623979</v>
      </c>
      <c r="F337">
        <v>2.903725267458769</v>
      </c>
      <c r="G337">
        <f t="shared" si="5"/>
        <v>0.56998726219637108</v>
      </c>
      <c r="H337">
        <v>4.5162297504167961E-4</v>
      </c>
    </row>
    <row r="338" spans="1:8" x14ac:dyDescent="0.35">
      <c r="A338" t="s">
        <v>77</v>
      </c>
      <c r="B338" t="s">
        <v>53</v>
      </c>
      <c r="C338" t="s">
        <v>38</v>
      </c>
      <c r="D338">
        <v>2019</v>
      </c>
      <c r="E338">
        <v>1.839454993980616</v>
      </c>
      <c r="F338">
        <v>2.7086922955372188</v>
      </c>
      <c r="G338">
        <f t="shared" si="5"/>
        <v>0.86923730155660284</v>
      </c>
      <c r="H338">
        <v>8.1250644809519068E-4</v>
      </c>
    </row>
    <row r="339" spans="1:8" x14ac:dyDescent="0.35">
      <c r="A339" t="s">
        <v>77</v>
      </c>
      <c r="B339" t="s">
        <v>55</v>
      </c>
      <c r="C339" t="s">
        <v>38</v>
      </c>
      <c r="D339">
        <v>2019</v>
      </c>
      <c r="E339">
        <v>1.950475273387009</v>
      </c>
      <c r="F339">
        <v>2.7086922955372188</v>
      </c>
      <c r="G339">
        <f t="shared" si="5"/>
        <v>0.75821702215020981</v>
      </c>
      <c r="H339">
        <v>8.1250644809519068E-4</v>
      </c>
    </row>
    <row r="340" spans="1:8" x14ac:dyDescent="0.35">
      <c r="A340" t="s">
        <v>77</v>
      </c>
      <c r="B340" t="s">
        <v>54</v>
      </c>
      <c r="C340" t="s">
        <v>40</v>
      </c>
      <c r="D340">
        <v>2019</v>
      </c>
      <c r="E340">
        <v>2.0372674050813671</v>
      </c>
      <c r="F340">
        <v>2.7086922955372188</v>
      </c>
      <c r="G340">
        <f t="shared" si="5"/>
        <v>0.67142489045585174</v>
      </c>
      <c r="H340">
        <v>8.1250644809519068E-4</v>
      </c>
    </row>
    <row r="341" spans="1:8" x14ac:dyDescent="0.35">
      <c r="A341" t="s">
        <v>77</v>
      </c>
      <c r="B341" t="s">
        <v>56</v>
      </c>
      <c r="C341" t="s">
        <v>40</v>
      </c>
      <c r="D341">
        <v>2019</v>
      </c>
      <c r="E341">
        <v>1.672451894689297</v>
      </c>
      <c r="F341">
        <v>2.7086922955372188</v>
      </c>
      <c r="G341">
        <f t="shared" si="5"/>
        <v>1.0362404008479218</v>
      </c>
      <c r="H341">
        <v>8.1250644809519068E-4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573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7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0.84405172952214014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0.84405172952214014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0.86375015188608173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0.86375015188608173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0.86375015188608173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0.86375015188608173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0.53923405826348692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0.53923405826348692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0.53923405826348692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0.53923405826348692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-0.13290468332128169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-0.13290468332128169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-0.13290468332128169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-0.13290468332128169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0.15905090344588599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0.15905090344588599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0.15905090344588599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0.15905090344588599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0.52904236060662513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0.52904236060662513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0.52904236060662513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0.52904236060662513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0.76433492494395139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0.76433492494395139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0.76433492494395139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0.76433492494395139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0.70974761126512598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0.70974761126512598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0.70974761126512598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0.70974761126512598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0.95570461099392501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0.95570461099392501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0.95570461099392501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0.95570461099392501</v>
      </c>
    </row>
    <row r="36" spans="1:8" x14ac:dyDescent="0.35">
      <c r="A36" t="s">
        <v>36</v>
      </c>
      <c r="B36" t="s">
        <v>55</v>
      </c>
      <c r="C36" t="s">
        <v>38</v>
      </c>
      <c r="D36">
        <v>2020</v>
      </c>
      <c r="E36">
        <v>1.3947816095145389</v>
      </c>
      <c r="F36">
        <v>-6.5900132771165296</v>
      </c>
      <c r="G36">
        <f t="shared" si="0"/>
        <v>-7.9847948866310681</v>
      </c>
      <c r="H36">
        <v>0.91541797612301412</v>
      </c>
    </row>
    <row r="37" spans="1:8" x14ac:dyDescent="0.35">
      <c r="A37" t="s">
        <v>36</v>
      </c>
      <c r="B37" t="s">
        <v>57</v>
      </c>
      <c r="C37" t="s">
        <v>38</v>
      </c>
      <c r="D37">
        <v>2020</v>
      </c>
      <c r="E37">
        <v>-7.0511951651758391</v>
      </c>
      <c r="F37">
        <v>-6.5900132771165296</v>
      </c>
      <c r="G37">
        <f t="shared" si="0"/>
        <v>0.46118188805930949</v>
      </c>
      <c r="H37">
        <v>0.91541797612301412</v>
      </c>
    </row>
    <row r="38" spans="1:8" x14ac:dyDescent="0.35">
      <c r="A38" t="s">
        <v>36</v>
      </c>
      <c r="B38" t="s">
        <v>56</v>
      </c>
      <c r="C38" t="s">
        <v>40</v>
      </c>
      <c r="D38">
        <v>2020</v>
      </c>
      <c r="E38">
        <v>1.6306467331163921</v>
      </c>
      <c r="F38">
        <v>-6.5900132771165296</v>
      </c>
      <c r="G38">
        <f t="shared" si="0"/>
        <v>-8.2206600102329226</v>
      </c>
      <c r="H38">
        <v>0.91541797612301412</v>
      </c>
    </row>
    <row r="39" spans="1:8" x14ac:dyDescent="0.35">
      <c r="A39" t="s">
        <v>36</v>
      </c>
      <c r="B39" t="s">
        <v>58</v>
      </c>
      <c r="C39" t="s">
        <v>40</v>
      </c>
      <c r="D39">
        <v>2020</v>
      </c>
      <c r="E39">
        <v>-5.5131277655310118</v>
      </c>
      <c r="F39">
        <v>-6.5900132771165296</v>
      </c>
      <c r="G39">
        <f t="shared" si="0"/>
        <v>-1.0768855115855178</v>
      </c>
      <c r="H39">
        <v>0.91541797612301412</v>
      </c>
    </row>
    <row r="40" spans="1:8" x14ac:dyDescent="0.35">
      <c r="A40" t="s">
        <v>36</v>
      </c>
      <c r="B40" t="s">
        <v>57</v>
      </c>
      <c r="C40" t="s">
        <v>38</v>
      </c>
      <c r="D40">
        <v>2021</v>
      </c>
      <c r="E40">
        <v>4.1159384107752661</v>
      </c>
      <c r="F40">
        <v>4.8848712783015431</v>
      </c>
      <c r="G40">
        <f t="shared" si="0"/>
        <v>0.76893286752627699</v>
      </c>
      <c r="H40">
        <v>0.85423512668441748</v>
      </c>
    </row>
    <row r="41" spans="1:8" x14ac:dyDescent="0.35">
      <c r="A41" t="s">
        <v>36</v>
      </c>
      <c r="B41" t="s">
        <v>59</v>
      </c>
      <c r="C41" t="s">
        <v>38</v>
      </c>
      <c r="D41">
        <v>2021</v>
      </c>
      <c r="E41">
        <v>4.4031542878007812</v>
      </c>
      <c r="F41">
        <v>4.8848712783015431</v>
      </c>
      <c r="G41">
        <f t="shared" si="0"/>
        <v>0.48171699050076189</v>
      </c>
      <c r="H41">
        <v>0.85423512668441748</v>
      </c>
    </row>
    <row r="42" spans="1:8" x14ac:dyDescent="0.35">
      <c r="A42" t="s">
        <v>36</v>
      </c>
      <c r="B42" t="s">
        <v>58</v>
      </c>
      <c r="C42" t="s">
        <v>40</v>
      </c>
      <c r="D42">
        <v>2021</v>
      </c>
      <c r="E42">
        <v>5.0052790018873416</v>
      </c>
      <c r="F42">
        <v>4.8848712783015431</v>
      </c>
      <c r="G42">
        <f t="shared" si="0"/>
        <v>-0.12040772358579854</v>
      </c>
      <c r="H42">
        <v>0.85423512668441748</v>
      </c>
    </row>
    <row r="43" spans="1:8" x14ac:dyDescent="0.35">
      <c r="A43" t="s">
        <v>36</v>
      </c>
      <c r="B43" t="s">
        <v>60</v>
      </c>
      <c r="C43" t="s">
        <v>40</v>
      </c>
      <c r="D43">
        <v>2021</v>
      </c>
      <c r="E43">
        <v>3.407915196652112</v>
      </c>
      <c r="F43">
        <v>4.8848712783015431</v>
      </c>
      <c r="G43">
        <f t="shared" si="0"/>
        <v>1.4769560816494312</v>
      </c>
      <c r="H43">
        <v>0.85423512668441748</v>
      </c>
    </row>
    <row r="44" spans="1:8" x14ac:dyDescent="0.35">
      <c r="A44" t="s">
        <v>36</v>
      </c>
      <c r="B44" t="s">
        <v>59</v>
      </c>
      <c r="C44" t="s">
        <v>38</v>
      </c>
      <c r="D44">
        <v>2022</v>
      </c>
      <c r="E44">
        <v>4.8883580526853274</v>
      </c>
      <c r="F44">
        <v>5.2899005620960757</v>
      </c>
      <c r="G44">
        <f t="shared" si="0"/>
        <v>0.40154250941074832</v>
      </c>
      <c r="H44">
        <v>0.79318298754570626</v>
      </c>
    </row>
    <row r="45" spans="1:8" x14ac:dyDescent="0.35">
      <c r="A45" t="s">
        <v>36</v>
      </c>
      <c r="B45" t="s">
        <v>61</v>
      </c>
      <c r="C45" t="s">
        <v>38</v>
      </c>
      <c r="D45">
        <v>2022</v>
      </c>
      <c r="E45">
        <v>4.6469116666415733</v>
      </c>
      <c r="F45">
        <v>5.2899005620960757</v>
      </c>
      <c r="G45">
        <f t="shared" si="0"/>
        <v>0.64298889545450244</v>
      </c>
      <c r="H45">
        <v>0.79318298754570626</v>
      </c>
    </row>
    <row r="46" spans="1:8" x14ac:dyDescent="0.35">
      <c r="A46" t="s">
        <v>36</v>
      </c>
      <c r="B46" t="s">
        <v>60</v>
      </c>
      <c r="C46" t="s">
        <v>40</v>
      </c>
      <c r="D46">
        <v>2022</v>
      </c>
      <c r="E46">
        <v>4.2814646537613577</v>
      </c>
      <c r="F46">
        <v>5.2899005620960757</v>
      </c>
      <c r="G46">
        <f t="shared" si="0"/>
        <v>1.0084359083347181</v>
      </c>
      <c r="H46">
        <v>0.79318298754570626</v>
      </c>
    </row>
    <row r="47" spans="1:8" x14ac:dyDescent="0.35">
      <c r="A47" t="s">
        <v>36</v>
      </c>
      <c r="B47" t="s">
        <v>62</v>
      </c>
      <c r="C47" t="s">
        <v>40</v>
      </c>
      <c r="D47">
        <v>2022</v>
      </c>
      <c r="E47">
        <v>3.9196460068068979</v>
      </c>
      <c r="F47">
        <v>5.2899005620960757</v>
      </c>
      <c r="G47">
        <f t="shared" si="0"/>
        <v>1.3702545552891778</v>
      </c>
      <c r="H47">
        <v>0.79318298754570626</v>
      </c>
    </row>
    <row r="48" spans="1:8" x14ac:dyDescent="0.35">
      <c r="A48" t="s">
        <v>36</v>
      </c>
      <c r="B48" t="s">
        <v>61</v>
      </c>
      <c r="C48" t="s">
        <v>38</v>
      </c>
      <c r="D48">
        <v>2023</v>
      </c>
      <c r="E48">
        <v>0.30335623159960518</v>
      </c>
      <c r="F48">
        <v>-0.6768389272940647</v>
      </c>
      <c r="G48">
        <f t="shared" si="0"/>
        <v>-0.98019515889366993</v>
      </c>
      <c r="H48">
        <v>0.74324805484371159</v>
      </c>
    </row>
    <row r="49" spans="1:8" x14ac:dyDescent="0.35">
      <c r="A49" t="s">
        <v>36</v>
      </c>
      <c r="B49" t="s">
        <v>63</v>
      </c>
      <c r="C49" t="s">
        <v>38</v>
      </c>
      <c r="D49">
        <v>2023</v>
      </c>
      <c r="E49">
        <v>-0.54656439605949014</v>
      </c>
      <c r="F49">
        <v>-0.6768389272940647</v>
      </c>
      <c r="G49">
        <f t="shared" si="0"/>
        <v>-0.13027453123457455</v>
      </c>
      <c r="H49">
        <v>0.74324805484371159</v>
      </c>
    </row>
    <row r="50" spans="1:8" x14ac:dyDescent="0.35">
      <c r="A50" t="s">
        <v>36</v>
      </c>
      <c r="B50" t="s">
        <v>62</v>
      </c>
      <c r="C50" t="s">
        <v>40</v>
      </c>
      <c r="D50">
        <v>2023</v>
      </c>
      <c r="E50">
        <v>1.874018674886258</v>
      </c>
      <c r="F50">
        <v>-0.6768389272940647</v>
      </c>
      <c r="G50">
        <f t="shared" si="0"/>
        <v>-2.5508576021803226</v>
      </c>
      <c r="H50">
        <v>0.74324805484371159</v>
      </c>
    </row>
    <row r="51" spans="1:8" x14ac:dyDescent="0.35">
      <c r="A51" t="s">
        <v>36</v>
      </c>
      <c r="B51" t="s">
        <v>64</v>
      </c>
      <c r="C51" t="s">
        <v>40</v>
      </c>
      <c r="D51">
        <v>2023</v>
      </c>
      <c r="E51">
        <v>0.39339786418057798</v>
      </c>
      <c r="F51">
        <v>-0.6768389272940647</v>
      </c>
      <c r="G51">
        <f t="shared" si="0"/>
        <v>-1.0702367914746427</v>
      </c>
      <c r="H51">
        <v>0.74324805484371159</v>
      </c>
    </row>
    <row r="52" spans="1:8" x14ac:dyDescent="0.35">
      <c r="A52" t="s">
        <v>36</v>
      </c>
      <c r="B52" t="s">
        <v>63</v>
      </c>
      <c r="C52" t="s">
        <v>38</v>
      </c>
      <c r="D52">
        <v>2024</v>
      </c>
      <c r="E52">
        <v>1.003014698305593</v>
      </c>
      <c r="F52">
        <v>-0.83360128885911988</v>
      </c>
      <c r="G52">
        <f t="shared" si="0"/>
        <v>-1.8366159871647127</v>
      </c>
      <c r="H52">
        <v>0.48385240401732688</v>
      </c>
    </row>
    <row r="53" spans="1:8" x14ac:dyDescent="0.35">
      <c r="A53" t="s">
        <v>36</v>
      </c>
      <c r="B53" t="s">
        <v>65</v>
      </c>
      <c r="C53" t="s">
        <v>38</v>
      </c>
      <c r="D53">
        <v>2024</v>
      </c>
      <c r="E53">
        <v>-0.62164843681992155</v>
      </c>
      <c r="F53">
        <v>-0.83360128885911988</v>
      </c>
      <c r="G53">
        <f t="shared" si="0"/>
        <v>-0.21195285203919834</v>
      </c>
      <c r="H53">
        <v>0.48385240401732688</v>
      </c>
    </row>
    <row r="54" spans="1:8" x14ac:dyDescent="0.35">
      <c r="A54" t="s">
        <v>36</v>
      </c>
      <c r="B54" t="s">
        <v>64</v>
      </c>
      <c r="C54" t="s">
        <v>40</v>
      </c>
      <c r="D54">
        <v>2024</v>
      </c>
      <c r="E54">
        <v>1.612734355819456</v>
      </c>
      <c r="F54">
        <v>-0.83360128885911988</v>
      </c>
      <c r="G54">
        <f t="shared" si="0"/>
        <v>-2.4463356446785758</v>
      </c>
      <c r="H54">
        <v>0.48385240401732688</v>
      </c>
    </row>
    <row r="55" spans="1:8" x14ac:dyDescent="0.35">
      <c r="A55" t="s">
        <v>36</v>
      </c>
      <c r="B55" t="s">
        <v>66</v>
      </c>
      <c r="C55" t="s">
        <v>40</v>
      </c>
      <c r="D55">
        <v>2024</v>
      </c>
      <c r="E55">
        <v>0.29111977378135651</v>
      </c>
      <c r="F55">
        <v>-0.83360128885911988</v>
      </c>
      <c r="G55">
        <f t="shared" si="0"/>
        <v>-1.1247210626404764</v>
      </c>
      <c r="H55">
        <v>0.48385240401732688</v>
      </c>
    </row>
    <row r="56" spans="1:8" x14ac:dyDescent="0.35">
      <c r="A56" t="s">
        <v>36</v>
      </c>
      <c r="B56" t="s">
        <v>65</v>
      </c>
      <c r="C56" t="s">
        <v>38</v>
      </c>
      <c r="D56">
        <v>2025</v>
      </c>
      <c r="E56">
        <v>0.99303912238537517</v>
      </c>
      <c r="F56">
        <v>0.95241300208403867</v>
      </c>
      <c r="G56">
        <f t="shared" si="0"/>
        <v>-4.0626120301336499E-2</v>
      </c>
      <c r="H56">
        <v>6.562263636895671E-2</v>
      </c>
    </row>
    <row r="57" spans="1:8" x14ac:dyDescent="0.35">
      <c r="A57" t="s">
        <v>36</v>
      </c>
      <c r="B57" t="s">
        <v>71</v>
      </c>
      <c r="C57" t="s">
        <v>38</v>
      </c>
      <c r="D57">
        <v>2025</v>
      </c>
      <c r="E57">
        <v>0.31436230025780892</v>
      </c>
      <c r="F57">
        <v>0.95241300208403867</v>
      </c>
      <c r="G57">
        <f t="shared" si="0"/>
        <v>0.6380507018262298</v>
      </c>
      <c r="H57">
        <v>6.562263636895671E-2</v>
      </c>
    </row>
    <row r="58" spans="1:8" x14ac:dyDescent="0.35">
      <c r="A58" t="s">
        <v>36</v>
      </c>
      <c r="B58" t="s">
        <v>66</v>
      </c>
      <c r="C58" t="s">
        <v>40</v>
      </c>
      <c r="D58">
        <v>2025</v>
      </c>
      <c r="E58">
        <v>1.6020195321839961</v>
      </c>
      <c r="F58">
        <v>0.95241300208403867</v>
      </c>
      <c r="G58">
        <f t="shared" si="0"/>
        <v>-0.64960653009995739</v>
      </c>
      <c r="H58">
        <v>6.562263636895671E-2</v>
      </c>
    </row>
    <row r="59" spans="1:8" x14ac:dyDescent="0.35">
      <c r="A59" t="s">
        <v>36</v>
      </c>
      <c r="B59" t="s">
        <v>72</v>
      </c>
      <c r="C59" t="s">
        <v>40</v>
      </c>
      <c r="D59">
        <v>2025</v>
      </c>
      <c r="E59">
        <v>-0.28270783018636841</v>
      </c>
      <c r="F59">
        <v>0.95241300208403867</v>
      </c>
      <c r="G59">
        <f t="shared" si="0"/>
        <v>1.235120832270407</v>
      </c>
      <c r="H59">
        <v>6.562263636895671E-2</v>
      </c>
    </row>
    <row r="60" spans="1:8" x14ac:dyDescent="0.35">
      <c r="A60" t="s">
        <v>36</v>
      </c>
      <c r="B60" t="s">
        <v>71</v>
      </c>
      <c r="C60" t="s">
        <v>38</v>
      </c>
      <c r="D60">
        <v>2026</v>
      </c>
      <c r="E60">
        <v>0.88463570458545693</v>
      </c>
      <c r="G60" t="str">
        <f t="shared" si="0"/>
        <v/>
      </c>
      <c r="H60">
        <v>0.3559829624806633</v>
      </c>
    </row>
    <row r="61" spans="1:8" x14ac:dyDescent="0.35">
      <c r="A61" t="s">
        <v>36</v>
      </c>
      <c r="B61" t="s">
        <v>72</v>
      </c>
      <c r="C61" t="s">
        <v>40</v>
      </c>
      <c r="D61">
        <v>2026</v>
      </c>
      <c r="E61">
        <v>0.97202851159921</v>
      </c>
      <c r="G61" t="str">
        <f t="shared" si="0"/>
        <v/>
      </c>
      <c r="H61">
        <v>0.3559829624806633</v>
      </c>
    </row>
    <row r="62" spans="1:8" x14ac:dyDescent="0.35">
      <c r="A62" t="s">
        <v>67</v>
      </c>
      <c r="B62" t="s">
        <v>37</v>
      </c>
      <c r="C62" t="s">
        <v>38</v>
      </c>
      <c r="D62">
        <v>2011</v>
      </c>
      <c r="E62">
        <v>2.1783942373023502</v>
      </c>
      <c r="F62">
        <v>1.9127519277234819</v>
      </c>
      <c r="G62">
        <f t="shared" si="0"/>
        <v>-0.26564230957886825</v>
      </c>
      <c r="H62">
        <v>0.76745955333446914</v>
      </c>
    </row>
    <row r="63" spans="1:8" x14ac:dyDescent="0.35">
      <c r="A63" t="s">
        <v>67</v>
      </c>
      <c r="B63" t="s">
        <v>39</v>
      </c>
      <c r="C63" t="s">
        <v>40</v>
      </c>
      <c r="D63">
        <v>2011</v>
      </c>
      <c r="E63">
        <v>2.356686907237338</v>
      </c>
      <c r="F63">
        <v>1.9127519277234819</v>
      </c>
      <c r="G63">
        <f t="shared" si="0"/>
        <v>-0.44393497951385608</v>
      </c>
      <c r="H63">
        <v>0.76745955333446914</v>
      </c>
    </row>
    <row r="64" spans="1:8" x14ac:dyDescent="0.35">
      <c r="A64" t="s">
        <v>67</v>
      </c>
      <c r="B64" t="s">
        <v>37</v>
      </c>
      <c r="C64" t="s">
        <v>38</v>
      </c>
      <c r="D64">
        <v>2012</v>
      </c>
      <c r="E64">
        <v>0.94750037204316406</v>
      </c>
      <c r="F64">
        <v>0.2155903836940283</v>
      </c>
      <c r="G64">
        <f t="shared" si="0"/>
        <v>-0.73190998834913579</v>
      </c>
      <c r="H64">
        <v>0.81973101760919642</v>
      </c>
    </row>
    <row r="65" spans="1:8" x14ac:dyDescent="0.35">
      <c r="A65" t="s">
        <v>67</v>
      </c>
      <c r="B65" t="s">
        <v>41</v>
      </c>
      <c r="C65" t="s">
        <v>38</v>
      </c>
      <c r="D65">
        <v>2012</v>
      </c>
      <c r="E65">
        <v>-0.20103838842507879</v>
      </c>
      <c r="F65">
        <v>0.2155903836940283</v>
      </c>
      <c r="G65">
        <f t="shared" si="0"/>
        <v>0.41662877211910709</v>
      </c>
      <c r="H65">
        <v>0.81973101760919642</v>
      </c>
    </row>
    <row r="66" spans="1:8" x14ac:dyDescent="0.35">
      <c r="A66" t="s">
        <v>67</v>
      </c>
      <c r="B66" t="s">
        <v>39</v>
      </c>
      <c r="C66" t="s">
        <v>40</v>
      </c>
      <c r="D66">
        <v>2012</v>
      </c>
      <c r="E66">
        <v>2.2102235249893849</v>
      </c>
      <c r="F66">
        <v>0.2155903836940283</v>
      </c>
      <c r="G66">
        <f t="shared" ref="G66:G129" si="1">IF(OR(F66="",E66=""),"",F66-E66)</f>
        <v>-1.9946331412953566</v>
      </c>
      <c r="H66">
        <v>0.81973101760919642</v>
      </c>
    </row>
    <row r="67" spans="1:8" x14ac:dyDescent="0.35">
      <c r="A67" t="s">
        <v>67</v>
      </c>
      <c r="B67" t="s">
        <v>42</v>
      </c>
      <c r="C67" t="s">
        <v>40</v>
      </c>
      <c r="D67">
        <v>2012</v>
      </c>
      <c r="E67">
        <v>-1.8249929426483739E-2</v>
      </c>
      <c r="F67">
        <v>0.2155903836940283</v>
      </c>
      <c r="G67">
        <f t="shared" si="1"/>
        <v>0.23384031312051204</v>
      </c>
      <c r="H67">
        <v>0.81973101760919642</v>
      </c>
    </row>
    <row r="68" spans="1:8" x14ac:dyDescent="0.35">
      <c r="A68" t="s">
        <v>67</v>
      </c>
      <c r="B68" t="s">
        <v>41</v>
      </c>
      <c r="C68" t="s">
        <v>38</v>
      </c>
      <c r="D68">
        <v>2013</v>
      </c>
      <c r="E68">
        <v>0.74022419318038324</v>
      </c>
      <c r="F68">
        <v>0.30504047757239749</v>
      </c>
      <c r="G68">
        <f t="shared" si="1"/>
        <v>-0.43518371560798574</v>
      </c>
      <c r="H68">
        <v>0.69331955515361221</v>
      </c>
    </row>
    <row r="69" spans="1:8" x14ac:dyDescent="0.35">
      <c r="A69" t="s">
        <v>67</v>
      </c>
      <c r="B69" t="s">
        <v>43</v>
      </c>
      <c r="C69" t="s">
        <v>38</v>
      </c>
      <c r="D69">
        <v>2013</v>
      </c>
      <c r="E69">
        <v>0.1418580624652277</v>
      </c>
      <c r="F69">
        <v>0.30504047757239749</v>
      </c>
      <c r="G69">
        <f t="shared" si="1"/>
        <v>0.1631824151071698</v>
      </c>
      <c r="H69">
        <v>0.69331955515361221</v>
      </c>
    </row>
    <row r="70" spans="1:8" x14ac:dyDescent="0.35">
      <c r="A70" t="s">
        <v>67</v>
      </c>
      <c r="B70" t="s">
        <v>42</v>
      </c>
      <c r="C70" t="s">
        <v>40</v>
      </c>
      <c r="D70">
        <v>2013</v>
      </c>
      <c r="E70">
        <v>1.243358392394422</v>
      </c>
      <c r="F70">
        <v>0.30504047757239749</v>
      </c>
      <c r="G70">
        <f t="shared" si="1"/>
        <v>-0.93831791482202453</v>
      </c>
      <c r="H70">
        <v>0.69331955515361221</v>
      </c>
    </row>
    <row r="71" spans="1:8" x14ac:dyDescent="0.35">
      <c r="A71" t="s">
        <v>67</v>
      </c>
      <c r="B71" t="s">
        <v>44</v>
      </c>
      <c r="C71" t="s">
        <v>40</v>
      </c>
      <c r="D71">
        <v>2013</v>
      </c>
      <c r="E71">
        <v>4.2242834906547337E-2</v>
      </c>
      <c r="F71">
        <v>0.30504047757239749</v>
      </c>
      <c r="G71">
        <f t="shared" si="1"/>
        <v>0.26279764266585015</v>
      </c>
      <c r="H71">
        <v>0.69331955515361221</v>
      </c>
    </row>
    <row r="72" spans="1:8" x14ac:dyDescent="0.35">
      <c r="A72" t="s">
        <v>67</v>
      </c>
      <c r="B72" t="s">
        <v>43</v>
      </c>
      <c r="C72" t="s">
        <v>38</v>
      </c>
      <c r="D72">
        <v>2014</v>
      </c>
      <c r="E72">
        <v>1.142047499237697</v>
      </c>
      <c r="F72">
        <v>1.750092739581359</v>
      </c>
      <c r="G72">
        <f t="shared" si="1"/>
        <v>0.60804524034366203</v>
      </c>
      <c r="H72">
        <v>8.0999733416350986E-2</v>
      </c>
    </row>
    <row r="73" spans="1:8" x14ac:dyDescent="0.35">
      <c r="A73" t="s">
        <v>67</v>
      </c>
      <c r="B73" t="s">
        <v>45</v>
      </c>
      <c r="C73" t="s">
        <v>38</v>
      </c>
      <c r="D73">
        <v>2014</v>
      </c>
      <c r="E73">
        <v>0.92282985431766384</v>
      </c>
      <c r="F73">
        <v>1.750092739581359</v>
      </c>
      <c r="G73">
        <f t="shared" si="1"/>
        <v>0.82726288526369518</v>
      </c>
      <c r="H73">
        <v>8.0999733416350986E-2</v>
      </c>
    </row>
    <row r="74" spans="1:8" x14ac:dyDescent="0.35">
      <c r="A74" t="s">
        <v>67</v>
      </c>
      <c r="B74" t="s">
        <v>44</v>
      </c>
      <c r="C74" t="s">
        <v>40</v>
      </c>
      <c r="D74">
        <v>2014</v>
      </c>
      <c r="E74">
        <v>1.19023811784591</v>
      </c>
      <c r="F74">
        <v>1.750092739581359</v>
      </c>
      <c r="G74">
        <f t="shared" si="1"/>
        <v>0.55985462173544898</v>
      </c>
      <c r="H74">
        <v>8.0999733416350986E-2</v>
      </c>
    </row>
    <row r="75" spans="1:8" x14ac:dyDescent="0.35">
      <c r="A75" t="s">
        <v>67</v>
      </c>
      <c r="B75" t="s">
        <v>46</v>
      </c>
      <c r="C75" t="s">
        <v>40</v>
      </c>
      <c r="D75">
        <v>2014</v>
      </c>
      <c r="E75">
        <v>1.443053096414237</v>
      </c>
      <c r="F75">
        <v>1.750092739581359</v>
      </c>
      <c r="G75">
        <f t="shared" si="1"/>
        <v>0.30703964316712207</v>
      </c>
      <c r="H75">
        <v>8.0999733416350986E-2</v>
      </c>
    </row>
    <row r="76" spans="1:8" x14ac:dyDescent="0.35">
      <c r="A76" t="s">
        <v>67</v>
      </c>
      <c r="B76" t="s">
        <v>45</v>
      </c>
      <c r="C76" t="s">
        <v>38</v>
      </c>
      <c r="D76">
        <v>2015</v>
      </c>
      <c r="E76">
        <v>0.86159735965183337</v>
      </c>
      <c r="F76">
        <v>1.4634410714791239</v>
      </c>
      <c r="G76">
        <f t="shared" si="1"/>
        <v>0.60184371182729057</v>
      </c>
      <c r="H76">
        <v>0.2294452116555474</v>
      </c>
    </row>
    <row r="77" spans="1:8" x14ac:dyDescent="0.35">
      <c r="A77" t="s">
        <v>67</v>
      </c>
      <c r="B77" t="s">
        <v>47</v>
      </c>
      <c r="C77" t="s">
        <v>38</v>
      </c>
      <c r="D77">
        <v>2015</v>
      </c>
      <c r="E77">
        <v>1.262482967982592</v>
      </c>
      <c r="F77">
        <v>1.4634410714791239</v>
      </c>
      <c r="G77">
        <f t="shared" si="1"/>
        <v>0.20095810349653198</v>
      </c>
      <c r="H77">
        <v>0.2294452116555474</v>
      </c>
    </row>
    <row r="78" spans="1:8" x14ac:dyDescent="0.35">
      <c r="A78" t="s">
        <v>67</v>
      </c>
      <c r="B78" t="s">
        <v>46</v>
      </c>
      <c r="C78" t="s">
        <v>40</v>
      </c>
      <c r="D78">
        <v>2015</v>
      </c>
      <c r="E78">
        <v>1.5593135161243941</v>
      </c>
      <c r="F78">
        <v>1.4634410714791239</v>
      </c>
      <c r="G78">
        <f t="shared" si="1"/>
        <v>-9.5872444645270116E-2</v>
      </c>
      <c r="H78">
        <v>0.2294452116555474</v>
      </c>
    </row>
    <row r="79" spans="1:8" x14ac:dyDescent="0.35">
      <c r="A79" t="s">
        <v>67</v>
      </c>
      <c r="B79" t="s">
        <v>48</v>
      </c>
      <c r="C79" t="s">
        <v>40</v>
      </c>
      <c r="D79">
        <v>2015</v>
      </c>
      <c r="E79">
        <v>1.08741840250608</v>
      </c>
      <c r="F79">
        <v>1.4634410714791239</v>
      </c>
      <c r="G79">
        <f t="shared" si="1"/>
        <v>0.37602266897304393</v>
      </c>
      <c r="H79">
        <v>0.2294452116555474</v>
      </c>
    </row>
    <row r="80" spans="1:8" x14ac:dyDescent="0.35">
      <c r="A80" t="s">
        <v>67</v>
      </c>
      <c r="B80" t="s">
        <v>47</v>
      </c>
      <c r="C80" t="s">
        <v>38</v>
      </c>
      <c r="D80">
        <v>2016</v>
      </c>
      <c r="E80">
        <v>1.305005005659998</v>
      </c>
      <c r="F80">
        <v>1.1863946679844091</v>
      </c>
      <c r="G80">
        <f t="shared" si="1"/>
        <v>-0.11861033767558893</v>
      </c>
      <c r="H80">
        <v>0.52852209699415054</v>
      </c>
    </row>
    <row r="81" spans="1:8" x14ac:dyDescent="0.35">
      <c r="A81" t="s">
        <v>67</v>
      </c>
      <c r="B81" t="s">
        <v>49</v>
      </c>
      <c r="C81" t="s">
        <v>38</v>
      </c>
      <c r="D81">
        <v>2016</v>
      </c>
      <c r="E81">
        <v>1.233699257987553</v>
      </c>
      <c r="F81">
        <v>1.1863946679844091</v>
      </c>
      <c r="G81">
        <f t="shared" si="1"/>
        <v>-4.7304590003143909E-2</v>
      </c>
      <c r="H81">
        <v>0.52852209699415054</v>
      </c>
    </row>
    <row r="82" spans="1:8" x14ac:dyDescent="0.35">
      <c r="A82" t="s">
        <v>67</v>
      </c>
      <c r="B82" t="s">
        <v>48</v>
      </c>
      <c r="C82" t="s">
        <v>40</v>
      </c>
      <c r="D82">
        <v>2016</v>
      </c>
      <c r="E82">
        <v>1.466822845081617</v>
      </c>
      <c r="F82">
        <v>1.1863946679844091</v>
      </c>
      <c r="G82">
        <f t="shared" si="1"/>
        <v>-0.28042817709720791</v>
      </c>
      <c r="H82">
        <v>0.52852209699415054</v>
      </c>
    </row>
    <row r="83" spans="1:8" x14ac:dyDescent="0.35">
      <c r="A83" t="s">
        <v>67</v>
      </c>
      <c r="B83" t="s">
        <v>50</v>
      </c>
      <c r="C83" t="s">
        <v>40</v>
      </c>
      <c r="D83">
        <v>2016</v>
      </c>
      <c r="E83">
        <v>1.197250966203911</v>
      </c>
      <c r="F83">
        <v>1.1863946679844091</v>
      </c>
      <c r="G83">
        <f t="shared" si="1"/>
        <v>-1.0856298219501959E-2</v>
      </c>
      <c r="H83">
        <v>0.52852209699415054</v>
      </c>
    </row>
    <row r="84" spans="1:8" x14ac:dyDescent="0.35">
      <c r="A84" t="s">
        <v>67</v>
      </c>
      <c r="B84" t="s">
        <v>49</v>
      </c>
      <c r="C84" t="s">
        <v>38</v>
      </c>
      <c r="D84">
        <v>2017</v>
      </c>
      <c r="E84">
        <v>1.3129307877172809</v>
      </c>
      <c r="F84">
        <v>1.4637105039357461</v>
      </c>
      <c r="G84">
        <f t="shared" si="1"/>
        <v>0.1507797162184652</v>
      </c>
      <c r="H84">
        <v>0.74248837679873125</v>
      </c>
    </row>
    <row r="85" spans="1:8" x14ac:dyDescent="0.35">
      <c r="A85" t="s">
        <v>67</v>
      </c>
      <c r="B85" t="s">
        <v>51</v>
      </c>
      <c r="C85" t="s">
        <v>38</v>
      </c>
      <c r="D85">
        <v>2017</v>
      </c>
      <c r="E85">
        <v>1.732555567629479</v>
      </c>
      <c r="F85">
        <v>1.4637105039357461</v>
      </c>
      <c r="G85">
        <f t="shared" si="1"/>
        <v>-0.26884506369373296</v>
      </c>
      <c r="H85">
        <v>0.74248837679873125</v>
      </c>
    </row>
    <row r="86" spans="1:8" x14ac:dyDescent="0.35">
      <c r="A86" t="s">
        <v>67</v>
      </c>
      <c r="B86" t="s">
        <v>50</v>
      </c>
      <c r="C86" t="s">
        <v>40</v>
      </c>
      <c r="D86">
        <v>2017</v>
      </c>
      <c r="E86">
        <v>1.566209901734994</v>
      </c>
      <c r="F86">
        <v>1.4637105039357461</v>
      </c>
      <c r="G86">
        <f t="shared" si="1"/>
        <v>-0.10249939779924788</v>
      </c>
      <c r="H86">
        <v>0.74248837679873125</v>
      </c>
    </row>
    <row r="87" spans="1:8" x14ac:dyDescent="0.35">
      <c r="A87" t="s">
        <v>67</v>
      </c>
      <c r="B87" t="s">
        <v>52</v>
      </c>
      <c r="C87" t="s">
        <v>40</v>
      </c>
      <c r="D87">
        <v>2017</v>
      </c>
      <c r="E87">
        <v>1.543494370971477</v>
      </c>
      <c r="F87">
        <v>1.4637105039357461</v>
      </c>
      <c r="G87">
        <f t="shared" si="1"/>
        <v>-7.9783867035730927E-2</v>
      </c>
      <c r="H87">
        <v>0.74248837679873125</v>
      </c>
    </row>
    <row r="88" spans="1:8" x14ac:dyDescent="0.35">
      <c r="A88" t="s">
        <v>67</v>
      </c>
      <c r="B88" t="s">
        <v>51</v>
      </c>
      <c r="C88" t="s">
        <v>38</v>
      </c>
      <c r="D88">
        <v>2018</v>
      </c>
      <c r="E88">
        <v>1.802338911935264</v>
      </c>
      <c r="F88">
        <v>1.8605501927054691</v>
      </c>
      <c r="G88">
        <f t="shared" si="1"/>
        <v>5.8211280770205098E-2</v>
      </c>
      <c r="H88">
        <v>0.87942205352349401</v>
      </c>
    </row>
    <row r="89" spans="1:8" x14ac:dyDescent="0.35">
      <c r="A89" t="s">
        <v>67</v>
      </c>
      <c r="B89" t="s">
        <v>53</v>
      </c>
      <c r="C89" t="s">
        <v>38</v>
      </c>
      <c r="D89">
        <v>2018</v>
      </c>
      <c r="E89">
        <v>1.5323838734635939</v>
      </c>
      <c r="F89">
        <v>1.8605501927054691</v>
      </c>
      <c r="G89">
        <f t="shared" si="1"/>
        <v>0.32816631924187512</v>
      </c>
      <c r="H89">
        <v>0.87942205352349401</v>
      </c>
    </row>
    <row r="90" spans="1:8" x14ac:dyDescent="0.35">
      <c r="A90" t="s">
        <v>67</v>
      </c>
      <c r="B90" t="s">
        <v>52</v>
      </c>
      <c r="C90" t="s">
        <v>40</v>
      </c>
      <c r="D90">
        <v>2018</v>
      </c>
      <c r="E90">
        <v>1.6830527400463651</v>
      </c>
      <c r="F90">
        <v>1.8605501927054691</v>
      </c>
      <c r="G90">
        <f t="shared" si="1"/>
        <v>0.17749745265910399</v>
      </c>
      <c r="H90">
        <v>0.87942205352349401</v>
      </c>
    </row>
    <row r="91" spans="1:8" x14ac:dyDescent="0.35">
      <c r="A91" t="s">
        <v>67</v>
      </c>
      <c r="B91" t="s">
        <v>54</v>
      </c>
      <c r="C91" t="s">
        <v>40</v>
      </c>
      <c r="D91">
        <v>2018</v>
      </c>
      <c r="E91">
        <v>1.8083342533319999</v>
      </c>
      <c r="F91">
        <v>1.8605501927054691</v>
      </c>
      <c r="G91">
        <f t="shared" si="1"/>
        <v>5.2215939373469133E-2</v>
      </c>
      <c r="H91">
        <v>0.87942205352349401</v>
      </c>
    </row>
    <row r="92" spans="1:8" x14ac:dyDescent="0.35">
      <c r="A92" t="s">
        <v>67</v>
      </c>
      <c r="B92" t="s">
        <v>53</v>
      </c>
      <c r="C92" t="s">
        <v>38</v>
      </c>
      <c r="D92">
        <v>2019</v>
      </c>
      <c r="E92">
        <v>1.5152383923937141</v>
      </c>
      <c r="F92">
        <v>2.4135230125478802</v>
      </c>
      <c r="G92">
        <f t="shared" si="1"/>
        <v>0.8982846201541661</v>
      </c>
      <c r="H92">
        <v>0.94798441449834092</v>
      </c>
    </row>
    <row r="93" spans="1:8" x14ac:dyDescent="0.35">
      <c r="A93" t="s">
        <v>67</v>
      </c>
      <c r="B93" t="s">
        <v>55</v>
      </c>
      <c r="C93" t="s">
        <v>38</v>
      </c>
      <c r="D93">
        <v>2019</v>
      </c>
      <c r="E93">
        <v>1.136502566631536</v>
      </c>
      <c r="F93">
        <v>2.4135230125478802</v>
      </c>
      <c r="G93">
        <f t="shared" si="1"/>
        <v>1.2770204459163441</v>
      </c>
      <c r="H93">
        <v>0.94798441449834092</v>
      </c>
    </row>
    <row r="94" spans="1:8" x14ac:dyDescent="0.35">
      <c r="A94" t="s">
        <v>67</v>
      </c>
      <c r="B94" t="s">
        <v>54</v>
      </c>
      <c r="C94" t="s">
        <v>40</v>
      </c>
      <c r="D94">
        <v>2019</v>
      </c>
      <c r="E94">
        <v>1.7329380565713759</v>
      </c>
      <c r="F94">
        <v>2.4135230125478802</v>
      </c>
      <c r="G94">
        <f t="shared" si="1"/>
        <v>0.68058495597650426</v>
      </c>
      <c r="H94">
        <v>0.94798441449834092</v>
      </c>
    </row>
    <row r="95" spans="1:8" x14ac:dyDescent="0.35">
      <c r="A95" t="s">
        <v>67</v>
      </c>
      <c r="B95" t="s">
        <v>56</v>
      </c>
      <c r="C95" t="s">
        <v>40</v>
      </c>
      <c r="D95">
        <v>2019</v>
      </c>
      <c r="E95">
        <v>1.2263795589823929</v>
      </c>
      <c r="F95">
        <v>2.4135230125478802</v>
      </c>
      <c r="G95">
        <f t="shared" si="1"/>
        <v>1.1871434535654872</v>
      </c>
      <c r="H95">
        <v>0.94798441449834092</v>
      </c>
    </row>
    <row r="96" spans="1:8" x14ac:dyDescent="0.35">
      <c r="A96" t="s">
        <v>67</v>
      </c>
      <c r="B96" t="s">
        <v>55</v>
      </c>
      <c r="C96" t="s">
        <v>38</v>
      </c>
      <c r="D96">
        <v>2020</v>
      </c>
      <c r="E96">
        <v>0.96034482213216421</v>
      </c>
      <c r="F96">
        <v>-4.9116764965584894</v>
      </c>
      <c r="G96">
        <f t="shared" si="1"/>
        <v>-5.8720213186906536</v>
      </c>
      <c r="H96">
        <v>0.94497516890248479</v>
      </c>
    </row>
    <row r="97" spans="1:8" x14ac:dyDescent="0.35">
      <c r="A97" t="s">
        <v>67</v>
      </c>
      <c r="B97" t="s">
        <v>57</v>
      </c>
      <c r="C97" t="s">
        <v>38</v>
      </c>
      <c r="D97">
        <v>2020</v>
      </c>
      <c r="E97">
        <v>-8.420158667688538</v>
      </c>
      <c r="F97">
        <v>-4.9116764965584894</v>
      </c>
      <c r="G97">
        <f t="shared" si="1"/>
        <v>3.5084821711300487</v>
      </c>
      <c r="H97">
        <v>0.94497516890248479</v>
      </c>
    </row>
    <row r="98" spans="1:8" x14ac:dyDescent="0.35">
      <c r="A98" t="s">
        <v>67</v>
      </c>
      <c r="B98" t="s">
        <v>56</v>
      </c>
      <c r="C98" t="s">
        <v>40</v>
      </c>
      <c r="D98">
        <v>2020</v>
      </c>
      <c r="E98">
        <v>1.199077085455502</v>
      </c>
      <c r="F98">
        <v>-4.9116764965584894</v>
      </c>
      <c r="G98">
        <f t="shared" si="1"/>
        <v>-6.1107535820139915</v>
      </c>
      <c r="H98">
        <v>0.94497516890248479</v>
      </c>
    </row>
    <row r="99" spans="1:8" x14ac:dyDescent="0.35">
      <c r="A99" t="s">
        <v>67</v>
      </c>
      <c r="B99" t="s">
        <v>58</v>
      </c>
      <c r="C99" t="s">
        <v>40</v>
      </c>
      <c r="D99">
        <v>2020</v>
      </c>
      <c r="E99">
        <v>-7.1575995247655024</v>
      </c>
      <c r="F99">
        <v>-4.9116764965584894</v>
      </c>
      <c r="G99">
        <f t="shared" si="1"/>
        <v>2.2459230282070131</v>
      </c>
      <c r="H99">
        <v>0.94497516890248479</v>
      </c>
    </row>
    <row r="100" spans="1:8" x14ac:dyDescent="0.35">
      <c r="A100" t="s">
        <v>67</v>
      </c>
      <c r="B100" t="s">
        <v>57</v>
      </c>
      <c r="C100" t="s">
        <v>38</v>
      </c>
      <c r="D100">
        <v>2021</v>
      </c>
      <c r="E100">
        <v>4.1239049795648741</v>
      </c>
      <c r="F100">
        <v>6.0667175798443678</v>
      </c>
      <c r="G100">
        <f t="shared" si="1"/>
        <v>1.9428126002794937</v>
      </c>
      <c r="H100">
        <v>0.91741299389035302</v>
      </c>
    </row>
    <row r="101" spans="1:8" x14ac:dyDescent="0.35">
      <c r="A101" t="s">
        <v>67</v>
      </c>
      <c r="B101" t="s">
        <v>59</v>
      </c>
      <c r="C101" t="s">
        <v>38</v>
      </c>
      <c r="D101">
        <v>2021</v>
      </c>
      <c r="E101">
        <v>5.9836029339416452</v>
      </c>
      <c r="F101">
        <v>6.0667175798443678</v>
      </c>
      <c r="G101">
        <f t="shared" si="1"/>
        <v>8.311464590272255E-2</v>
      </c>
      <c r="H101">
        <v>0.91741299389035302</v>
      </c>
    </row>
    <row r="102" spans="1:8" x14ac:dyDescent="0.35">
      <c r="A102" t="s">
        <v>67</v>
      </c>
      <c r="B102" t="s">
        <v>58</v>
      </c>
      <c r="C102" t="s">
        <v>40</v>
      </c>
      <c r="D102">
        <v>2021</v>
      </c>
      <c r="E102">
        <v>6.6899129841448302</v>
      </c>
      <c r="F102">
        <v>6.0667175798443678</v>
      </c>
      <c r="G102">
        <f t="shared" si="1"/>
        <v>-0.62319540430046239</v>
      </c>
      <c r="H102">
        <v>0.91741299389035302</v>
      </c>
    </row>
    <row r="103" spans="1:8" x14ac:dyDescent="0.35">
      <c r="A103" t="s">
        <v>67</v>
      </c>
      <c r="B103" t="s">
        <v>60</v>
      </c>
      <c r="C103" t="s">
        <v>40</v>
      </c>
      <c r="D103">
        <v>2021</v>
      </c>
      <c r="E103">
        <v>4.5423071463688514</v>
      </c>
      <c r="F103">
        <v>6.0667175798443678</v>
      </c>
      <c r="G103">
        <f t="shared" si="1"/>
        <v>1.5244104334755164</v>
      </c>
      <c r="H103">
        <v>0.91741299389035302</v>
      </c>
    </row>
    <row r="104" spans="1:8" x14ac:dyDescent="0.35">
      <c r="A104" t="s">
        <v>67</v>
      </c>
      <c r="B104" t="s">
        <v>59</v>
      </c>
      <c r="C104" t="s">
        <v>38</v>
      </c>
      <c r="D104">
        <v>2022</v>
      </c>
      <c r="E104">
        <v>2.6471364529380592</v>
      </c>
      <c r="F104">
        <v>3.945716681463399</v>
      </c>
      <c r="G104">
        <f t="shared" si="1"/>
        <v>1.2985802285253398</v>
      </c>
      <c r="H104">
        <v>0.8630359765160468</v>
      </c>
    </row>
    <row r="105" spans="1:8" x14ac:dyDescent="0.35">
      <c r="A105" t="s">
        <v>67</v>
      </c>
      <c r="B105" t="s">
        <v>61</v>
      </c>
      <c r="C105" t="s">
        <v>38</v>
      </c>
      <c r="D105">
        <v>2022</v>
      </c>
      <c r="E105">
        <v>2.8171147512312089</v>
      </c>
      <c r="F105">
        <v>3.945716681463399</v>
      </c>
      <c r="G105">
        <f t="shared" si="1"/>
        <v>1.1286019302321901</v>
      </c>
      <c r="H105">
        <v>0.8630359765160468</v>
      </c>
    </row>
    <row r="106" spans="1:8" x14ac:dyDescent="0.35">
      <c r="A106" t="s">
        <v>67</v>
      </c>
      <c r="B106" t="s">
        <v>60</v>
      </c>
      <c r="C106" t="s">
        <v>40</v>
      </c>
      <c r="D106">
        <v>2022</v>
      </c>
      <c r="E106">
        <v>3.671117125209777</v>
      </c>
      <c r="F106">
        <v>3.945716681463399</v>
      </c>
      <c r="G106">
        <f t="shared" si="1"/>
        <v>0.27459955625362209</v>
      </c>
      <c r="H106">
        <v>0.8630359765160468</v>
      </c>
    </row>
    <row r="107" spans="1:8" x14ac:dyDescent="0.35">
      <c r="A107" t="s">
        <v>67</v>
      </c>
      <c r="B107" t="s">
        <v>62</v>
      </c>
      <c r="C107" t="s">
        <v>40</v>
      </c>
      <c r="D107">
        <v>2022</v>
      </c>
      <c r="E107">
        <v>2.0165795618690252</v>
      </c>
      <c r="F107">
        <v>3.945716681463399</v>
      </c>
      <c r="G107">
        <f t="shared" si="1"/>
        <v>1.9291371195943738</v>
      </c>
      <c r="H107">
        <v>0.8630359765160468</v>
      </c>
    </row>
    <row r="108" spans="1:8" x14ac:dyDescent="0.35">
      <c r="A108" t="s">
        <v>67</v>
      </c>
      <c r="B108" t="s">
        <v>61</v>
      </c>
      <c r="C108" t="s">
        <v>38</v>
      </c>
      <c r="D108">
        <v>2023</v>
      </c>
      <c r="E108">
        <v>0.1608186912456899</v>
      </c>
      <c r="F108">
        <v>1.5491827810755261</v>
      </c>
      <c r="G108">
        <f t="shared" si="1"/>
        <v>1.3883640898298362</v>
      </c>
      <c r="H108">
        <v>0.71743568306368155</v>
      </c>
    </row>
    <row r="109" spans="1:8" x14ac:dyDescent="0.35">
      <c r="A109" t="s">
        <v>67</v>
      </c>
      <c r="B109" t="s">
        <v>63</v>
      </c>
      <c r="C109" t="s">
        <v>38</v>
      </c>
      <c r="D109">
        <v>2023</v>
      </c>
      <c r="E109">
        <v>1.44096095579862</v>
      </c>
      <c r="F109">
        <v>1.5491827810755261</v>
      </c>
      <c r="G109">
        <f t="shared" si="1"/>
        <v>0.10822182527690605</v>
      </c>
      <c r="H109">
        <v>0.71743568306368155</v>
      </c>
    </row>
    <row r="110" spans="1:8" x14ac:dyDescent="0.35">
      <c r="A110" t="s">
        <v>67</v>
      </c>
      <c r="B110" t="s">
        <v>62</v>
      </c>
      <c r="C110" t="s">
        <v>40</v>
      </c>
      <c r="D110">
        <v>2023</v>
      </c>
      <c r="E110">
        <v>1.7766240808305469</v>
      </c>
      <c r="F110">
        <v>1.5491827810755261</v>
      </c>
      <c r="G110">
        <f t="shared" si="1"/>
        <v>-0.22744129975502081</v>
      </c>
      <c r="H110">
        <v>0.71743568306368155</v>
      </c>
    </row>
    <row r="111" spans="1:8" x14ac:dyDescent="0.35">
      <c r="A111" t="s">
        <v>67</v>
      </c>
      <c r="B111" t="s">
        <v>64</v>
      </c>
      <c r="C111" t="s">
        <v>40</v>
      </c>
      <c r="D111">
        <v>2023</v>
      </c>
      <c r="E111">
        <v>1.2330728065618859</v>
      </c>
      <c r="F111">
        <v>1.5491827810755261</v>
      </c>
      <c r="G111">
        <f t="shared" si="1"/>
        <v>0.3161099745136402</v>
      </c>
      <c r="H111">
        <v>0.71743568306368155</v>
      </c>
    </row>
    <row r="112" spans="1:8" x14ac:dyDescent="0.35">
      <c r="A112" t="s">
        <v>67</v>
      </c>
      <c r="B112" t="s">
        <v>63</v>
      </c>
      <c r="C112" t="s">
        <v>38</v>
      </c>
      <c r="D112">
        <v>2024</v>
      </c>
      <c r="E112">
        <v>1.366814397179428</v>
      </c>
      <c r="F112">
        <v>1.0917584184985489</v>
      </c>
      <c r="G112">
        <f t="shared" si="1"/>
        <v>-0.27505597868087905</v>
      </c>
      <c r="H112">
        <v>0.21859314049932341</v>
      </c>
    </row>
    <row r="113" spans="1:8" x14ac:dyDescent="0.35">
      <c r="A113" t="s">
        <v>67</v>
      </c>
      <c r="B113" t="s">
        <v>65</v>
      </c>
      <c r="C113" t="s">
        <v>38</v>
      </c>
      <c r="D113">
        <v>2024</v>
      </c>
      <c r="E113">
        <v>1.144309940913812</v>
      </c>
      <c r="F113">
        <v>1.0917584184985489</v>
      </c>
      <c r="G113">
        <f t="shared" si="1"/>
        <v>-5.2551522415263063E-2</v>
      </c>
      <c r="H113">
        <v>0.21859314049932341</v>
      </c>
    </row>
    <row r="114" spans="1:8" x14ac:dyDescent="0.35">
      <c r="A114" t="s">
        <v>67</v>
      </c>
      <c r="B114" t="s">
        <v>64</v>
      </c>
      <c r="C114" t="s">
        <v>40</v>
      </c>
      <c r="D114">
        <v>2024</v>
      </c>
      <c r="E114">
        <v>1.3611844962323929</v>
      </c>
      <c r="F114">
        <v>1.0917584184985489</v>
      </c>
      <c r="G114">
        <f t="shared" si="1"/>
        <v>-0.26942607773384397</v>
      </c>
      <c r="H114">
        <v>0.21859314049932341</v>
      </c>
    </row>
    <row r="115" spans="1:8" x14ac:dyDescent="0.35">
      <c r="A115" t="s">
        <v>67</v>
      </c>
      <c r="B115" t="s">
        <v>66</v>
      </c>
      <c r="C115" t="s">
        <v>40</v>
      </c>
      <c r="D115">
        <v>2024</v>
      </c>
      <c r="E115">
        <v>1.2741731353000501</v>
      </c>
      <c r="F115">
        <v>1.0917584184985489</v>
      </c>
      <c r="G115">
        <f t="shared" si="1"/>
        <v>-0.18241471680150112</v>
      </c>
      <c r="H115">
        <v>0.21859314049932341</v>
      </c>
    </row>
    <row r="116" spans="1:8" x14ac:dyDescent="0.35">
      <c r="A116" t="s">
        <v>67</v>
      </c>
      <c r="B116" t="s">
        <v>65</v>
      </c>
      <c r="C116" t="s">
        <v>38</v>
      </c>
      <c r="D116">
        <v>2025</v>
      </c>
      <c r="E116">
        <v>1.2445832169132749</v>
      </c>
      <c r="F116">
        <v>0.97833513074895262</v>
      </c>
      <c r="G116">
        <f t="shared" si="1"/>
        <v>-0.26624808616432227</v>
      </c>
      <c r="H116">
        <v>2.7062806004489109E-2</v>
      </c>
    </row>
    <row r="117" spans="1:8" x14ac:dyDescent="0.35">
      <c r="A117" t="s">
        <v>67</v>
      </c>
      <c r="B117" t="s">
        <v>71</v>
      </c>
      <c r="C117" t="s">
        <v>38</v>
      </c>
      <c r="D117">
        <v>2025</v>
      </c>
      <c r="E117">
        <v>0.99784735760106713</v>
      </c>
      <c r="F117">
        <v>0.97833513074895262</v>
      </c>
      <c r="G117">
        <f t="shared" si="1"/>
        <v>-1.9512226852114511E-2</v>
      </c>
      <c r="H117">
        <v>2.7062806004489109E-2</v>
      </c>
    </row>
    <row r="118" spans="1:8" x14ac:dyDescent="0.35">
      <c r="A118" t="s">
        <v>67</v>
      </c>
      <c r="B118" t="s">
        <v>66</v>
      </c>
      <c r="C118" t="s">
        <v>40</v>
      </c>
      <c r="D118">
        <v>2025</v>
      </c>
      <c r="E118">
        <v>1.3772936758912999</v>
      </c>
      <c r="F118">
        <v>0.97833513074895262</v>
      </c>
      <c r="G118">
        <f t="shared" si="1"/>
        <v>-0.3989585451423473</v>
      </c>
      <c r="H118">
        <v>2.7062806004489109E-2</v>
      </c>
    </row>
    <row r="119" spans="1:8" x14ac:dyDescent="0.35">
      <c r="A119" t="s">
        <v>67</v>
      </c>
      <c r="B119" t="s">
        <v>72</v>
      </c>
      <c r="C119" t="s">
        <v>40</v>
      </c>
      <c r="D119">
        <v>2025</v>
      </c>
      <c r="E119">
        <v>0.76893815941332377</v>
      </c>
      <c r="F119">
        <v>0.97833513074895262</v>
      </c>
      <c r="G119">
        <f t="shared" si="1"/>
        <v>0.20939697133562885</v>
      </c>
      <c r="H119">
        <v>2.7062806004489109E-2</v>
      </c>
    </row>
    <row r="120" spans="1:8" x14ac:dyDescent="0.35">
      <c r="A120" t="s">
        <v>67</v>
      </c>
      <c r="B120" t="s">
        <v>71</v>
      </c>
      <c r="C120" t="s">
        <v>38</v>
      </c>
      <c r="D120">
        <v>2026</v>
      </c>
      <c r="E120">
        <v>1.1470051470927609</v>
      </c>
      <c r="G120" t="str">
        <f t="shared" si="1"/>
        <v/>
      </c>
      <c r="H120">
        <v>0.31215408421731011</v>
      </c>
    </row>
    <row r="121" spans="1:8" x14ac:dyDescent="0.35">
      <c r="A121" t="s">
        <v>67</v>
      </c>
      <c r="B121" t="s">
        <v>72</v>
      </c>
      <c r="C121" t="s">
        <v>40</v>
      </c>
      <c r="D121">
        <v>2026</v>
      </c>
      <c r="E121">
        <v>0.85752820542872588</v>
      </c>
      <c r="G121" t="str">
        <f t="shared" si="1"/>
        <v/>
      </c>
      <c r="H121">
        <v>0.31215408421731011</v>
      </c>
    </row>
    <row r="122" spans="1:8" x14ac:dyDescent="0.35">
      <c r="A122" t="s">
        <v>68</v>
      </c>
      <c r="B122" t="s">
        <v>37</v>
      </c>
      <c r="C122" t="s">
        <v>38</v>
      </c>
      <c r="D122">
        <v>2011</v>
      </c>
      <c r="E122">
        <v>2.871708621036118</v>
      </c>
      <c r="F122">
        <v>3.7711034609926739</v>
      </c>
      <c r="G122">
        <f t="shared" si="1"/>
        <v>0.89939483995655589</v>
      </c>
      <c r="H122">
        <v>0.85547195387252284</v>
      </c>
    </row>
    <row r="123" spans="1:8" x14ac:dyDescent="0.35">
      <c r="A123" t="s">
        <v>68</v>
      </c>
      <c r="B123" t="s">
        <v>39</v>
      </c>
      <c r="C123" t="s">
        <v>40</v>
      </c>
      <c r="D123">
        <v>2011</v>
      </c>
      <c r="E123">
        <v>2.5902474284125621</v>
      </c>
      <c r="F123">
        <v>3.7711034609926739</v>
      </c>
      <c r="G123">
        <f t="shared" si="1"/>
        <v>1.1808560325801118</v>
      </c>
      <c r="H123">
        <v>0.85547195387252284</v>
      </c>
    </row>
    <row r="124" spans="1:8" x14ac:dyDescent="0.35">
      <c r="A124" t="s">
        <v>68</v>
      </c>
      <c r="B124" t="s">
        <v>37</v>
      </c>
      <c r="C124" t="s">
        <v>38</v>
      </c>
      <c r="D124">
        <v>2012</v>
      </c>
      <c r="E124">
        <v>0.75853952005673353</v>
      </c>
      <c r="F124">
        <v>0.70451026571915831</v>
      </c>
      <c r="G124">
        <f t="shared" si="1"/>
        <v>-5.4029254337575217E-2</v>
      </c>
      <c r="H124">
        <v>0.85819884210171127</v>
      </c>
    </row>
    <row r="125" spans="1:8" x14ac:dyDescent="0.35">
      <c r="A125" t="s">
        <v>68</v>
      </c>
      <c r="B125" t="s">
        <v>41</v>
      </c>
      <c r="C125" t="s">
        <v>38</v>
      </c>
      <c r="D125">
        <v>2012</v>
      </c>
      <c r="E125">
        <v>0.8314871930005685</v>
      </c>
      <c r="F125">
        <v>0.70451026571915831</v>
      </c>
      <c r="G125">
        <f t="shared" si="1"/>
        <v>-0.12697692728141019</v>
      </c>
      <c r="H125">
        <v>0.85819884210171127</v>
      </c>
    </row>
    <row r="126" spans="1:8" x14ac:dyDescent="0.35">
      <c r="A126" t="s">
        <v>68</v>
      </c>
      <c r="B126" t="s">
        <v>39</v>
      </c>
      <c r="C126" t="s">
        <v>40</v>
      </c>
      <c r="D126">
        <v>2012</v>
      </c>
      <c r="E126">
        <v>1.947486880825489</v>
      </c>
      <c r="F126">
        <v>0.70451026571915831</v>
      </c>
      <c r="G126">
        <f t="shared" si="1"/>
        <v>-1.2429766151063308</v>
      </c>
      <c r="H126">
        <v>0.85819884210171127</v>
      </c>
    </row>
    <row r="127" spans="1:8" x14ac:dyDescent="0.35">
      <c r="A127" t="s">
        <v>68</v>
      </c>
      <c r="B127" t="s">
        <v>42</v>
      </c>
      <c r="C127" t="s">
        <v>40</v>
      </c>
      <c r="D127">
        <v>2012</v>
      </c>
      <c r="E127">
        <v>0.68323358153099534</v>
      </c>
      <c r="F127">
        <v>0.70451026571915831</v>
      </c>
      <c r="G127">
        <f t="shared" si="1"/>
        <v>2.1276684188162975E-2</v>
      </c>
      <c r="H127">
        <v>0.85819884210171127</v>
      </c>
    </row>
    <row r="128" spans="1:8" x14ac:dyDescent="0.35">
      <c r="A128" t="s">
        <v>68</v>
      </c>
      <c r="B128" t="s">
        <v>41</v>
      </c>
      <c r="C128" t="s">
        <v>38</v>
      </c>
      <c r="D128">
        <v>2013</v>
      </c>
      <c r="E128">
        <v>0.83761648451896598</v>
      </c>
      <c r="F128">
        <v>0.57080505068838228</v>
      </c>
      <c r="G128">
        <f t="shared" si="1"/>
        <v>-0.2668114338305837</v>
      </c>
      <c r="H128">
        <v>0.74606709497390522</v>
      </c>
    </row>
    <row r="129" spans="1:8" x14ac:dyDescent="0.35">
      <c r="A129" t="s">
        <v>68</v>
      </c>
      <c r="B129" t="s">
        <v>43</v>
      </c>
      <c r="C129" t="s">
        <v>38</v>
      </c>
      <c r="D129">
        <v>2013</v>
      </c>
      <c r="E129">
        <v>0.46473090150995772</v>
      </c>
      <c r="F129">
        <v>0.57080505068838228</v>
      </c>
      <c r="G129">
        <f t="shared" si="1"/>
        <v>0.10607414917842456</v>
      </c>
      <c r="H129">
        <v>0.74606709497390522</v>
      </c>
    </row>
    <row r="130" spans="1:8" x14ac:dyDescent="0.35">
      <c r="A130" t="s">
        <v>68</v>
      </c>
      <c r="B130" t="s">
        <v>42</v>
      </c>
      <c r="C130" t="s">
        <v>40</v>
      </c>
      <c r="D130">
        <v>2013</v>
      </c>
      <c r="E130">
        <v>1.6744076981229929</v>
      </c>
      <c r="F130">
        <v>0.57080505068838228</v>
      </c>
      <c r="G130">
        <f t="shared" ref="G130:G193" si="2">IF(OR(F130="",E130=""),"",F130-E130)</f>
        <v>-1.1036026474346108</v>
      </c>
      <c r="H130">
        <v>0.74606709497390522</v>
      </c>
    </row>
    <row r="131" spans="1:8" x14ac:dyDescent="0.35">
      <c r="A131" t="s">
        <v>68</v>
      </c>
      <c r="B131" t="s">
        <v>44</v>
      </c>
      <c r="C131" t="s">
        <v>40</v>
      </c>
      <c r="D131">
        <v>2013</v>
      </c>
      <c r="E131">
        <v>0.37981982770534112</v>
      </c>
      <c r="F131">
        <v>0.57080505068838228</v>
      </c>
      <c r="G131">
        <f t="shared" si="2"/>
        <v>0.19098522298304116</v>
      </c>
      <c r="H131">
        <v>0.74606709497390522</v>
      </c>
    </row>
    <row r="132" spans="1:8" x14ac:dyDescent="0.35">
      <c r="A132" t="s">
        <v>68</v>
      </c>
      <c r="B132" t="s">
        <v>43</v>
      </c>
      <c r="C132" t="s">
        <v>38</v>
      </c>
      <c r="D132">
        <v>2014</v>
      </c>
      <c r="E132">
        <v>1.702614326444496</v>
      </c>
      <c r="F132">
        <v>2.2065294370805351</v>
      </c>
      <c r="G132">
        <f t="shared" si="2"/>
        <v>0.50391511063603911</v>
      </c>
      <c r="H132">
        <v>8.1447093601964587E-2</v>
      </c>
    </row>
    <row r="133" spans="1:8" x14ac:dyDescent="0.35">
      <c r="A133" t="s">
        <v>68</v>
      </c>
      <c r="B133" t="s">
        <v>45</v>
      </c>
      <c r="C133" t="s">
        <v>38</v>
      </c>
      <c r="D133">
        <v>2014</v>
      </c>
      <c r="E133">
        <v>1.267570285804642</v>
      </c>
      <c r="F133">
        <v>2.2065294370805351</v>
      </c>
      <c r="G133">
        <f t="shared" si="2"/>
        <v>0.93895915127589302</v>
      </c>
      <c r="H133">
        <v>8.1447093601964587E-2</v>
      </c>
    </row>
    <row r="134" spans="1:8" x14ac:dyDescent="0.35">
      <c r="A134" t="s">
        <v>68</v>
      </c>
      <c r="B134" t="s">
        <v>44</v>
      </c>
      <c r="C134" t="s">
        <v>40</v>
      </c>
      <c r="D134">
        <v>2014</v>
      </c>
      <c r="E134">
        <v>1.821630101383787</v>
      </c>
      <c r="F134">
        <v>2.2065294370805351</v>
      </c>
      <c r="G134">
        <f t="shared" si="2"/>
        <v>0.38489933569674806</v>
      </c>
      <c r="H134">
        <v>8.1447093601964587E-2</v>
      </c>
    </row>
    <row r="135" spans="1:8" x14ac:dyDescent="0.35">
      <c r="A135" t="s">
        <v>68</v>
      </c>
      <c r="B135" t="s">
        <v>46</v>
      </c>
      <c r="C135" t="s">
        <v>40</v>
      </c>
      <c r="D135">
        <v>2014</v>
      </c>
      <c r="E135">
        <v>1.846054067989833</v>
      </c>
      <c r="F135">
        <v>2.2065294370805351</v>
      </c>
      <c r="G135">
        <f t="shared" si="2"/>
        <v>0.3604753690907021</v>
      </c>
      <c r="H135">
        <v>8.1447093601964587E-2</v>
      </c>
    </row>
    <row r="136" spans="1:8" x14ac:dyDescent="0.35">
      <c r="A136" t="s">
        <v>68</v>
      </c>
      <c r="B136" t="s">
        <v>45</v>
      </c>
      <c r="C136" t="s">
        <v>38</v>
      </c>
      <c r="D136">
        <v>2015</v>
      </c>
      <c r="E136">
        <v>1.095015499462715</v>
      </c>
      <c r="F136">
        <v>1.511701771928704</v>
      </c>
      <c r="G136">
        <f t="shared" si="2"/>
        <v>0.41668627246598899</v>
      </c>
      <c r="H136">
        <v>0.29731514481803739</v>
      </c>
    </row>
    <row r="137" spans="1:8" x14ac:dyDescent="0.35">
      <c r="A137" t="s">
        <v>68</v>
      </c>
      <c r="B137" t="s">
        <v>47</v>
      </c>
      <c r="C137" t="s">
        <v>38</v>
      </c>
      <c r="D137">
        <v>2015</v>
      </c>
      <c r="E137">
        <v>1.7105611289528031</v>
      </c>
      <c r="F137">
        <v>1.511701771928704</v>
      </c>
      <c r="G137">
        <f t="shared" si="2"/>
        <v>-0.19885935702409907</v>
      </c>
      <c r="H137">
        <v>0.29731514481803739</v>
      </c>
    </row>
    <row r="138" spans="1:8" x14ac:dyDescent="0.35">
      <c r="A138" t="s">
        <v>68</v>
      </c>
      <c r="B138" t="s">
        <v>46</v>
      </c>
      <c r="C138" t="s">
        <v>40</v>
      </c>
      <c r="D138">
        <v>2015</v>
      </c>
      <c r="E138">
        <v>1.9840546273578901</v>
      </c>
      <c r="F138">
        <v>1.511701771928704</v>
      </c>
      <c r="G138">
        <f t="shared" si="2"/>
        <v>-0.47235285542918604</v>
      </c>
      <c r="H138">
        <v>0.29731514481803739</v>
      </c>
    </row>
    <row r="139" spans="1:8" x14ac:dyDescent="0.35">
      <c r="A139" t="s">
        <v>68</v>
      </c>
      <c r="B139" t="s">
        <v>48</v>
      </c>
      <c r="C139" t="s">
        <v>40</v>
      </c>
      <c r="D139">
        <v>2015</v>
      </c>
      <c r="E139">
        <v>1.8717908251089099</v>
      </c>
      <c r="F139">
        <v>1.511701771928704</v>
      </c>
      <c r="G139">
        <f t="shared" si="2"/>
        <v>-0.3600890531802059</v>
      </c>
      <c r="H139">
        <v>0.29731514481803739</v>
      </c>
    </row>
    <row r="140" spans="1:8" x14ac:dyDescent="0.35">
      <c r="A140" t="s">
        <v>68</v>
      </c>
      <c r="B140" t="s">
        <v>47</v>
      </c>
      <c r="C140" t="s">
        <v>38</v>
      </c>
      <c r="D140">
        <v>2016</v>
      </c>
      <c r="E140">
        <v>1.9064608618794221</v>
      </c>
      <c r="F140">
        <v>2.1850659941992001</v>
      </c>
      <c r="G140">
        <f t="shared" si="2"/>
        <v>0.27860513231977801</v>
      </c>
      <c r="H140">
        <v>0.60343555846157637</v>
      </c>
    </row>
    <row r="141" spans="1:8" x14ac:dyDescent="0.35">
      <c r="A141" t="s">
        <v>68</v>
      </c>
      <c r="B141" t="s">
        <v>49</v>
      </c>
      <c r="C141" t="s">
        <v>38</v>
      </c>
      <c r="D141">
        <v>2016</v>
      </c>
      <c r="E141">
        <v>1.9388708932542631</v>
      </c>
      <c r="F141">
        <v>2.1850659941992001</v>
      </c>
      <c r="G141">
        <f t="shared" si="2"/>
        <v>0.24619510094493702</v>
      </c>
      <c r="H141">
        <v>0.60343555846157637</v>
      </c>
    </row>
    <row r="142" spans="1:8" x14ac:dyDescent="0.35">
      <c r="A142" t="s">
        <v>68</v>
      </c>
      <c r="B142" t="s">
        <v>48</v>
      </c>
      <c r="C142" t="s">
        <v>40</v>
      </c>
      <c r="D142">
        <v>2016</v>
      </c>
      <c r="E142">
        <v>2.0247448397811012</v>
      </c>
      <c r="F142">
        <v>2.1850659941992001</v>
      </c>
      <c r="G142">
        <f t="shared" si="2"/>
        <v>0.16032115441809891</v>
      </c>
      <c r="H142">
        <v>0.60343555846157637</v>
      </c>
    </row>
    <row r="143" spans="1:8" x14ac:dyDescent="0.35">
      <c r="A143" t="s">
        <v>68</v>
      </c>
      <c r="B143" t="s">
        <v>50</v>
      </c>
      <c r="C143" t="s">
        <v>40</v>
      </c>
      <c r="D143">
        <v>2016</v>
      </c>
      <c r="E143">
        <v>1.624850184809512</v>
      </c>
      <c r="F143">
        <v>2.1850659941992001</v>
      </c>
      <c r="G143">
        <f t="shared" si="2"/>
        <v>0.56021580938968807</v>
      </c>
      <c r="H143">
        <v>0.60343555846157637</v>
      </c>
    </row>
    <row r="144" spans="1:8" x14ac:dyDescent="0.35">
      <c r="A144" t="s">
        <v>68</v>
      </c>
      <c r="B144" t="s">
        <v>49</v>
      </c>
      <c r="C144" t="s">
        <v>38</v>
      </c>
      <c r="D144">
        <v>2017</v>
      </c>
      <c r="E144">
        <v>1.4744000913811779</v>
      </c>
      <c r="F144">
        <v>3.139119319610074</v>
      </c>
      <c r="G144">
        <f t="shared" si="2"/>
        <v>1.6647192282288961</v>
      </c>
      <c r="H144">
        <v>0.82120507713586166</v>
      </c>
    </row>
    <row r="145" spans="1:8" x14ac:dyDescent="0.35">
      <c r="A145" t="s">
        <v>68</v>
      </c>
      <c r="B145" t="s">
        <v>51</v>
      </c>
      <c r="C145" t="s">
        <v>38</v>
      </c>
      <c r="D145">
        <v>2017</v>
      </c>
      <c r="E145">
        <v>2.1518537819505301</v>
      </c>
      <c r="F145">
        <v>3.139119319610074</v>
      </c>
      <c r="G145">
        <f t="shared" si="2"/>
        <v>0.98726553765954383</v>
      </c>
      <c r="H145">
        <v>0.82120507713586166</v>
      </c>
    </row>
    <row r="146" spans="1:8" x14ac:dyDescent="0.35">
      <c r="A146" t="s">
        <v>68</v>
      </c>
      <c r="B146" t="s">
        <v>50</v>
      </c>
      <c r="C146" t="s">
        <v>40</v>
      </c>
      <c r="D146">
        <v>2017</v>
      </c>
      <c r="E146">
        <v>1.5665137095587811</v>
      </c>
      <c r="F146">
        <v>3.139119319610074</v>
      </c>
      <c r="G146">
        <f t="shared" si="2"/>
        <v>1.5726056100512928</v>
      </c>
      <c r="H146">
        <v>0.82120507713586166</v>
      </c>
    </row>
    <row r="147" spans="1:8" x14ac:dyDescent="0.35">
      <c r="A147" t="s">
        <v>68</v>
      </c>
      <c r="B147" t="s">
        <v>52</v>
      </c>
      <c r="C147" t="s">
        <v>40</v>
      </c>
      <c r="D147">
        <v>2017</v>
      </c>
      <c r="E147">
        <v>1.6411721834364681</v>
      </c>
      <c r="F147">
        <v>3.139119319610074</v>
      </c>
      <c r="G147">
        <f t="shared" si="2"/>
        <v>1.4979471361736059</v>
      </c>
      <c r="H147">
        <v>0.82120507713586166</v>
      </c>
    </row>
    <row r="148" spans="1:8" x14ac:dyDescent="0.35">
      <c r="A148" t="s">
        <v>68</v>
      </c>
      <c r="B148" t="s">
        <v>51</v>
      </c>
      <c r="C148" t="s">
        <v>38</v>
      </c>
      <c r="D148">
        <v>2018</v>
      </c>
      <c r="E148">
        <v>2.1207866853858448</v>
      </c>
      <c r="F148">
        <v>1.2673227814059229</v>
      </c>
      <c r="G148">
        <f t="shared" si="2"/>
        <v>-0.85346390397992189</v>
      </c>
      <c r="H148">
        <v>0.63417632525182588</v>
      </c>
    </row>
    <row r="149" spans="1:8" x14ac:dyDescent="0.35">
      <c r="A149" t="s">
        <v>68</v>
      </c>
      <c r="B149" t="s">
        <v>53</v>
      </c>
      <c r="C149" t="s">
        <v>38</v>
      </c>
      <c r="D149">
        <v>2018</v>
      </c>
      <c r="E149">
        <v>1.7181609113874341</v>
      </c>
      <c r="F149">
        <v>1.2673227814059229</v>
      </c>
      <c r="G149">
        <f t="shared" si="2"/>
        <v>-0.45083812998151118</v>
      </c>
      <c r="H149">
        <v>0.63417632525182588</v>
      </c>
    </row>
    <row r="150" spans="1:8" x14ac:dyDescent="0.35">
      <c r="A150" t="s">
        <v>68</v>
      </c>
      <c r="B150" t="s">
        <v>52</v>
      </c>
      <c r="C150" t="s">
        <v>40</v>
      </c>
      <c r="D150">
        <v>2018</v>
      </c>
      <c r="E150">
        <v>1.853976950650349</v>
      </c>
      <c r="F150">
        <v>1.2673227814059229</v>
      </c>
      <c r="G150">
        <f t="shared" si="2"/>
        <v>-0.58665416924442604</v>
      </c>
      <c r="H150">
        <v>0.63417632525182588</v>
      </c>
    </row>
    <row r="151" spans="1:8" x14ac:dyDescent="0.35">
      <c r="A151" t="s">
        <v>68</v>
      </c>
      <c r="B151" t="s">
        <v>54</v>
      </c>
      <c r="C151" t="s">
        <v>40</v>
      </c>
      <c r="D151">
        <v>2018</v>
      </c>
      <c r="E151">
        <v>2.3062043523037761</v>
      </c>
      <c r="F151">
        <v>1.2673227814059229</v>
      </c>
      <c r="G151">
        <f t="shared" si="2"/>
        <v>-1.0388815708978532</v>
      </c>
      <c r="H151">
        <v>0.63417632525182588</v>
      </c>
    </row>
    <row r="152" spans="1:8" x14ac:dyDescent="0.35">
      <c r="A152" t="s">
        <v>68</v>
      </c>
      <c r="B152" t="s">
        <v>53</v>
      </c>
      <c r="C152" t="s">
        <v>38</v>
      </c>
      <c r="D152">
        <v>2019</v>
      </c>
      <c r="E152">
        <v>1.837083008004692</v>
      </c>
      <c r="F152">
        <v>1.110244719033926</v>
      </c>
      <c r="G152">
        <f t="shared" si="2"/>
        <v>-0.72683828897076608</v>
      </c>
      <c r="H152">
        <v>0.82793739835477054</v>
      </c>
    </row>
    <row r="153" spans="1:8" x14ac:dyDescent="0.35">
      <c r="A153" t="s">
        <v>68</v>
      </c>
      <c r="B153" t="s">
        <v>55</v>
      </c>
      <c r="C153" t="s">
        <v>38</v>
      </c>
      <c r="D153">
        <v>2019</v>
      </c>
      <c r="E153">
        <v>0.43652728225691551</v>
      </c>
      <c r="F153">
        <v>1.110244719033926</v>
      </c>
      <c r="G153">
        <f t="shared" si="2"/>
        <v>0.67371743677701046</v>
      </c>
      <c r="H153">
        <v>0.82793739835477054</v>
      </c>
    </row>
    <row r="154" spans="1:8" x14ac:dyDescent="0.35">
      <c r="A154" t="s">
        <v>68</v>
      </c>
      <c r="B154" t="s">
        <v>54</v>
      </c>
      <c r="C154" t="s">
        <v>40</v>
      </c>
      <c r="D154">
        <v>2019</v>
      </c>
      <c r="E154">
        <v>2.050241516126516</v>
      </c>
      <c r="F154">
        <v>1.110244719033926</v>
      </c>
      <c r="G154">
        <f t="shared" si="2"/>
        <v>-0.93999679709258999</v>
      </c>
      <c r="H154">
        <v>0.82793739835477054</v>
      </c>
    </row>
    <row r="155" spans="1:8" x14ac:dyDescent="0.35">
      <c r="A155" t="s">
        <v>68</v>
      </c>
      <c r="B155" t="s">
        <v>56</v>
      </c>
      <c r="C155" t="s">
        <v>40</v>
      </c>
      <c r="D155">
        <v>2019</v>
      </c>
      <c r="E155">
        <v>0.54362498919910962</v>
      </c>
      <c r="F155">
        <v>1.110244719033926</v>
      </c>
      <c r="G155">
        <f t="shared" si="2"/>
        <v>0.56661972983481634</v>
      </c>
      <c r="H155">
        <v>0.82793739835477054</v>
      </c>
    </row>
    <row r="156" spans="1:8" x14ac:dyDescent="0.35">
      <c r="A156" t="s">
        <v>68</v>
      </c>
      <c r="B156" t="s">
        <v>55</v>
      </c>
      <c r="C156" t="s">
        <v>38</v>
      </c>
      <c r="D156">
        <v>2020</v>
      </c>
      <c r="E156">
        <v>1.0098419735112829</v>
      </c>
      <c r="F156">
        <v>-4.5019012679871278</v>
      </c>
      <c r="G156">
        <f t="shared" si="2"/>
        <v>-5.5117432414984107</v>
      </c>
      <c r="H156">
        <v>0.93883988584513833</v>
      </c>
    </row>
    <row r="157" spans="1:8" x14ac:dyDescent="0.35">
      <c r="A157" t="s">
        <v>68</v>
      </c>
      <c r="B157" t="s">
        <v>57</v>
      </c>
      <c r="C157" t="s">
        <v>38</v>
      </c>
      <c r="D157">
        <v>2020</v>
      </c>
      <c r="E157">
        <v>-5.5682040725027582</v>
      </c>
      <c r="F157">
        <v>-4.5019012679871278</v>
      </c>
      <c r="G157">
        <f t="shared" si="2"/>
        <v>1.0663028045156304</v>
      </c>
      <c r="H157">
        <v>0.93883988584513833</v>
      </c>
    </row>
    <row r="158" spans="1:8" x14ac:dyDescent="0.35">
      <c r="A158" t="s">
        <v>68</v>
      </c>
      <c r="B158" t="s">
        <v>56</v>
      </c>
      <c r="C158" t="s">
        <v>40</v>
      </c>
      <c r="D158">
        <v>2020</v>
      </c>
      <c r="E158">
        <v>1.5458815393741829</v>
      </c>
      <c r="F158">
        <v>-4.5019012679871278</v>
      </c>
      <c r="G158">
        <f t="shared" si="2"/>
        <v>-6.0477828073613109</v>
      </c>
      <c r="H158">
        <v>0.93883988584513833</v>
      </c>
    </row>
    <row r="159" spans="1:8" x14ac:dyDescent="0.35">
      <c r="A159" t="s">
        <v>68</v>
      </c>
      <c r="B159" t="s">
        <v>58</v>
      </c>
      <c r="C159" t="s">
        <v>40</v>
      </c>
      <c r="D159">
        <v>2020</v>
      </c>
      <c r="E159">
        <v>-6.4695771848944261</v>
      </c>
      <c r="F159">
        <v>-4.5019012679871278</v>
      </c>
      <c r="G159">
        <f t="shared" si="2"/>
        <v>1.9676759169072984</v>
      </c>
      <c r="H159">
        <v>0.93883988584513833</v>
      </c>
    </row>
    <row r="160" spans="1:8" x14ac:dyDescent="0.35">
      <c r="A160" t="s">
        <v>68</v>
      </c>
      <c r="B160" t="s">
        <v>57</v>
      </c>
      <c r="C160" t="s">
        <v>38</v>
      </c>
      <c r="D160">
        <v>2021</v>
      </c>
      <c r="E160">
        <v>3.5168418141955371</v>
      </c>
      <c r="F160">
        <v>3.8314526417859192</v>
      </c>
      <c r="G160">
        <f t="shared" si="2"/>
        <v>0.31461082759038206</v>
      </c>
      <c r="H160">
        <v>0.94112311293539941</v>
      </c>
    </row>
    <row r="161" spans="1:8" x14ac:dyDescent="0.35">
      <c r="A161" t="s">
        <v>68</v>
      </c>
      <c r="B161" t="s">
        <v>59</v>
      </c>
      <c r="C161" t="s">
        <v>38</v>
      </c>
      <c r="D161">
        <v>2021</v>
      </c>
      <c r="E161">
        <v>2.7343389231728081</v>
      </c>
      <c r="F161">
        <v>3.8314526417859192</v>
      </c>
      <c r="G161">
        <f t="shared" si="2"/>
        <v>1.097113718613111</v>
      </c>
      <c r="H161">
        <v>0.94112311293539941</v>
      </c>
    </row>
    <row r="162" spans="1:8" x14ac:dyDescent="0.35">
      <c r="A162" t="s">
        <v>68</v>
      </c>
      <c r="B162" t="s">
        <v>58</v>
      </c>
      <c r="C162" t="s">
        <v>40</v>
      </c>
      <c r="D162">
        <v>2021</v>
      </c>
      <c r="E162">
        <v>5.8723795390502653</v>
      </c>
      <c r="F162">
        <v>3.8314526417859192</v>
      </c>
      <c r="G162">
        <f t="shared" si="2"/>
        <v>-2.0409268972643462</v>
      </c>
      <c r="H162">
        <v>0.94112311293539941</v>
      </c>
    </row>
    <row r="163" spans="1:8" x14ac:dyDescent="0.35">
      <c r="A163" t="s">
        <v>68</v>
      </c>
      <c r="B163" t="s">
        <v>60</v>
      </c>
      <c r="C163" t="s">
        <v>40</v>
      </c>
      <c r="D163">
        <v>2021</v>
      </c>
      <c r="E163">
        <v>3.405406776981335</v>
      </c>
      <c r="F163">
        <v>3.8314526417859192</v>
      </c>
      <c r="G163">
        <f t="shared" si="2"/>
        <v>0.42604586480458417</v>
      </c>
      <c r="H163">
        <v>0.94112311293539941</v>
      </c>
    </row>
    <row r="164" spans="1:8" x14ac:dyDescent="0.35">
      <c r="A164" t="s">
        <v>68</v>
      </c>
      <c r="B164" t="s">
        <v>59</v>
      </c>
      <c r="C164" t="s">
        <v>38</v>
      </c>
      <c r="D164">
        <v>2022</v>
      </c>
      <c r="E164">
        <v>4.5927784434600882</v>
      </c>
      <c r="F164">
        <v>1.931834126476093</v>
      </c>
      <c r="G164">
        <f t="shared" si="2"/>
        <v>-2.6609443169839953</v>
      </c>
      <c r="H164">
        <v>0.9099167572496889</v>
      </c>
    </row>
    <row r="165" spans="1:8" x14ac:dyDescent="0.35">
      <c r="A165" t="s">
        <v>68</v>
      </c>
      <c r="B165" t="s">
        <v>61</v>
      </c>
      <c r="C165" t="s">
        <v>38</v>
      </c>
      <c r="D165">
        <v>2022</v>
      </c>
      <c r="E165">
        <v>1.55845355711639</v>
      </c>
      <c r="F165">
        <v>1.931834126476093</v>
      </c>
      <c r="G165">
        <f t="shared" si="2"/>
        <v>0.37338056935970299</v>
      </c>
      <c r="H165">
        <v>0.9099167572496889</v>
      </c>
    </row>
    <row r="166" spans="1:8" x14ac:dyDescent="0.35">
      <c r="A166" t="s">
        <v>68</v>
      </c>
      <c r="B166" t="s">
        <v>60</v>
      </c>
      <c r="C166" t="s">
        <v>40</v>
      </c>
      <c r="D166">
        <v>2022</v>
      </c>
      <c r="E166">
        <v>4.0547699734103224</v>
      </c>
      <c r="F166">
        <v>1.931834126476093</v>
      </c>
      <c r="G166">
        <f t="shared" si="2"/>
        <v>-2.1229358469342294</v>
      </c>
      <c r="H166">
        <v>0.9099167572496889</v>
      </c>
    </row>
    <row r="167" spans="1:8" x14ac:dyDescent="0.35">
      <c r="A167" t="s">
        <v>68</v>
      </c>
      <c r="B167" t="s">
        <v>62</v>
      </c>
      <c r="C167" t="s">
        <v>40</v>
      </c>
      <c r="D167">
        <v>2022</v>
      </c>
      <c r="E167">
        <v>1.5579683422439761</v>
      </c>
      <c r="F167">
        <v>1.931834126476093</v>
      </c>
      <c r="G167">
        <f t="shared" si="2"/>
        <v>0.37386578423211692</v>
      </c>
      <c r="H167">
        <v>0.9099167572496889</v>
      </c>
    </row>
    <row r="168" spans="1:8" x14ac:dyDescent="0.35">
      <c r="A168" t="s">
        <v>68</v>
      </c>
      <c r="B168" t="s">
        <v>61</v>
      </c>
      <c r="C168" t="s">
        <v>38</v>
      </c>
      <c r="D168">
        <v>2023</v>
      </c>
      <c r="E168">
        <v>-0.62595524483003429</v>
      </c>
      <c r="F168">
        <v>-0.81689108427086243</v>
      </c>
      <c r="G168">
        <f t="shared" si="2"/>
        <v>-0.19093583944082815</v>
      </c>
      <c r="H168">
        <v>0.89392793670946469</v>
      </c>
    </row>
    <row r="169" spans="1:8" x14ac:dyDescent="0.35">
      <c r="A169" t="s">
        <v>68</v>
      </c>
      <c r="B169" t="s">
        <v>63</v>
      </c>
      <c r="C169" t="s">
        <v>38</v>
      </c>
      <c r="D169">
        <v>2023</v>
      </c>
      <c r="E169">
        <v>-0.27334918709761569</v>
      </c>
      <c r="F169">
        <v>-0.81689108427086243</v>
      </c>
      <c r="G169">
        <f t="shared" si="2"/>
        <v>-0.54354189717324675</v>
      </c>
      <c r="H169">
        <v>0.89392793670946469</v>
      </c>
    </row>
    <row r="170" spans="1:8" x14ac:dyDescent="0.35">
      <c r="A170" t="s">
        <v>68</v>
      </c>
      <c r="B170" t="s">
        <v>62</v>
      </c>
      <c r="C170" t="s">
        <v>40</v>
      </c>
      <c r="D170">
        <v>2023</v>
      </c>
      <c r="E170">
        <v>2.4090316591396821</v>
      </c>
      <c r="F170">
        <v>-0.81689108427086243</v>
      </c>
      <c r="G170">
        <f t="shared" si="2"/>
        <v>-3.2259227434105444</v>
      </c>
      <c r="H170">
        <v>0.89392793670946469</v>
      </c>
    </row>
    <row r="171" spans="1:8" x14ac:dyDescent="0.35">
      <c r="A171" t="s">
        <v>68</v>
      </c>
      <c r="B171" t="s">
        <v>64</v>
      </c>
      <c r="C171" t="s">
        <v>40</v>
      </c>
      <c r="D171">
        <v>2023</v>
      </c>
      <c r="E171">
        <v>0.18957305278237691</v>
      </c>
      <c r="F171">
        <v>-0.81689108427086243</v>
      </c>
      <c r="G171">
        <f t="shared" si="2"/>
        <v>-1.0064641370532392</v>
      </c>
      <c r="H171">
        <v>0.89392793670946469</v>
      </c>
    </row>
    <row r="172" spans="1:8" x14ac:dyDescent="0.35">
      <c r="A172" t="s">
        <v>68</v>
      </c>
      <c r="B172" t="s">
        <v>63</v>
      </c>
      <c r="C172" t="s">
        <v>38</v>
      </c>
      <c r="D172">
        <v>2024</v>
      </c>
      <c r="E172">
        <v>0.80450584510622924</v>
      </c>
      <c r="F172">
        <v>4.0523394564314849E-2</v>
      </c>
      <c r="G172">
        <f t="shared" si="2"/>
        <v>-0.76398245054191438</v>
      </c>
      <c r="H172">
        <v>0.73774439700085059</v>
      </c>
    </row>
    <row r="173" spans="1:8" x14ac:dyDescent="0.35">
      <c r="A173" t="s">
        <v>68</v>
      </c>
      <c r="B173" t="s">
        <v>65</v>
      </c>
      <c r="C173" t="s">
        <v>38</v>
      </c>
      <c r="D173">
        <v>2024</v>
      </c>
      <c r="E173">
        <v>-0.1114510968873272</v>
      </c>
      <c r="F173">
        <v>4.0523394564314849E-2</v>
      </c>
      <c r="G173">
        <f t="shared" si="2"/>
        <v>0.15197449145164205</v>
      </c>
      <c r="H173">
        <v>0.73774439700085059</v>
      </c>
    </row>
    <row r="174" spans="1:8" x14ac:dyDescent="0.35">
      <c r="A174" t="s">
        <v>68</v>
      </c>
      <c r="B174" t="s">
        <v>64</v>
      </c>
      <c r="C174" t="s">
        <v>40</v>
      </c>
      <c r="D174">
        <v>2024</v>
      </c>
      <c r="E174">
        <v>1.358688832068133</v>
      </c>
      <c r="F174">
        <v>4.0523394564314849E-2</v>
      </c>
      <c r="G174">
        <f t="shared" si="2"/>
        <v>-1.3181654375038181</v>
      </c>
      <c r="H174">
        <v>0.73774439700085059</v>
      </c>
    </row>
    <row r="175" spans="1:8" x14ac:dyDescent="0.35">
      <c r="A175" t="s">
        <v>68</v>
      </c>
      <c r="B175" t="s">
        <v>66</v>
      </c>
      <c r="C175" t="s">
        <v>40</v>
      </c>
      <c r="D175">
        <v>2024</v>
      </c>
      <c r="E175">
        <v>0.12753656568900151</v>
      </c>
      <c r="F175">
        <v>4.0523394564314849E-2</v>
      </c>
      <c r="G175">
        <f t="shared" si="2"/>
        <v>-8.7013171124686664E-2</v>
      </c>
      <c r="H175">
        <v>0.73774439700085059</v>
      </c>
    </row>
    <row r="176" spans="1:8" x14ac:dyDescent="0.35">
      <c r="A176" t="s">
        <v>68</v>
      </c>
      <c r="B176" t="s">
        <v>65</v>
      </c>
      <c r="C176" t="s">
        <v>38</v>
      </c>
      <c r="D176">
        <v>2025</v>
      </c>
      <c r="E176">
        <v>0.69333808233418281</v>
      </c>
      <c r="F176">
        <v>0.34025588112837718</v>
      </c>
      <c r="G176">
        <f t="shared" si="2"/>
        <v>-0.35308220120580563</v>
      </c>
      <c r="H176">
        <v>6.1567950988359252E-3</v>
      </c>
    </row>
    <row r="177" spans="1:8" x14ac:dyDescent="0.35">
      <c r="A177" t="s">
        <v>68</v>
      </c>
      <c r="B177" t="s">
        <v>71</v>
      </c>
      <c r="C177" t="s">
        <v>38</v>
      </c>
      <c r="D177">
        <v>2025</v>
      </c>
      <c r="E177">
        <v>0.17068748819852869</v>
      </c>
      <c r="F177">
        <v>0.34025588112837718</v>
      </c>
      <c r="G177">
        <f t="shared" si="2"/>
        <v>0.16956839292984849</v>
      </c>
      <c r="H177">
        <v>6.1567950988359252E-3</v>
      </c>
    </row>
    <row r="178" spans="1:8" x14ac:dyDescent="0.35">
      <c r="A178" t="s">
        <v>68</v>
      </c>
      <c r="B178" t="s">
        <v>66</v>
      </c>
      <c r="C178" t="s">
        <v>40</v>
      </c>
      <c r="D178">
        <v>2025</v>
      </c>
      <c r="E178">
        <v>1.014129227832639</v>
      </c>
      <c r="F178">
        <v>0.34025588112837718</v>
      </c>
      <c r="G178">
        <f t="shared" si="2"/>
        <v>-0.67387334670426191</v>
      </c>
      <c r="H178">
        <v>6.1567950988359252E-3</v>
      </c>
    </row>
    <row r="179" spans="1:8" x14ac:dyDescent="0.35">
      <c r="A179" t="s">
        <v>68</v>
      </c>
      <c r="B179" t="s">
        <v>72</v>
      </c>
      <c r="C179" t="s">
        <v>40</v>
      </c>
      <c r="D179">
        <v>2025</v>
      </c>
      <c r="E179">
        <v>-2.9831521216272531E-2</v>
      </c>
      <c r="F179">
        <v>0.34025588112837718</v>
      </c>
      <c r="G179">
        <f t="shared" si="2"/>
        <v>0.37008740234464971</v>
      </c>
      <c r="H179">
        <v>6.1567950988359252E-3</v>
      </c>
    </row>
    <row r="180" spans="1:8" x14ac:dyDescent="0.35">
      <c r="A180" t="s">
        <v>68</v>
      </c>
      <c r="B180" t="s">
        <v>71</v>
      </c>
      <c r="C180" t="s">
        <v>38</v>
      </c>
      <c r="D180">
        <v>2026</v>
      </c>
      <c r="E180">
        <v>1.2155892578365359</v>
      </c>
      <c r="G180" t="str">
        <f t="shared" si="2"/>
        <v/>
      </c>
      <c r="H180">
        <v>-0.1018077058059029</v>
      </c>
    </row>
    <row r="181" spans="1:8" x14ac:dyDescent="0.35">
      <c r="A181" t="s">
        <v>68</v>
      </c>
      <c r="B181" t="s">
        <v>72</v>
      </c>
      <c r="C181" t="s">
        <v>40</v>
      </c>
      <c r="D181">
        <v>2026</v>
      </c>
      <c r="E181">
        <v>1.095748100238314</v>
      </c>
      <c r="G181" t="str">
        <f t="shared" si="2"/>
        <v/>
      </c>
      <c r="H181">
        <v>-0.1018077058059029</v>
      </c>
    </row>
    <row r="182" spans="1:8" x14ac:dyDescent="0.35">
      <c r="A182" t="s">
        <v>69</v>
      </c>
      <c r="B182" t="s">
        <v>37</v>
      </c>
      <c r="C182" t="s">
        <v>38</v>
      </c>
      <c r="D182">
        <v>2011</v>
      </c>
      <c r="E182">
        <v>0.73935243476188628</v>
      </c>
      <c r="F182">
        <v>-0.64197941531252334</v>
      </c>
      <c r="G182">
        <f t="shared" si="2"/>
        <v>-1.3813318500744096</v>
      </c>
      <c r="H182">
        <v>0.62377758549174633</v>
      </c>
    </row>
    <row r="183" spans="1:8" x14ac:dyDescent="0.35">
      <c r="A183" t="s">
        <v>69</v>
      </c>
      <c r="B183" t="s">
        <v>39</v>
      </c>
      <c r="C183" t="s">
        <v>40</v>
      </c>
      <c r="D183">
        <v>2011</v>
      </c>
      <c r="E183">
        <v>0.76223621019062548</v>
      </c>
      <c r="F183">
        <v>-0.64197941531252334</v>
      </c>
      <c r="G183">
        <f t="shared" si="2"/>
        <v>-1.4042156255031488</v>
      </c>
      <c r="H183">
        <v>0.62377758549174633</v>
      </c>
    </row>
    <row r="184" spans="1:8" x14ac:dyDescent="0.35">
      <c r="A184" t="s">
        <v>69</v>
      </c>
      <c r="B184" t="s">
        <v>37</v>
      </c>
      <c r="C184" t="s">
        <v>38</v>
      </c>
      <c r="D184">
        <v>2012</v>
      </c>
      <c r="E184">
        <v>0.65087819203448749</v>
      </c>
      <c r="F184">
        <v>-2.906965118995676</v>
      </c>
      <c r="G184">
        <f t="shared" si="2"/>
        <v>-3.5578433110301635</v>
      </c>
      <c r="H184">
        <v>0.48398462678037191</v>
      </c>
    </row>
    <row r="185" spans="1:8" x14ac:dyDescent="0.35">
      <c r="A185" t="s">
        <v>69</v>
      </c>
      <c r="B185" t="s">
        <v>41</v>
      </c>
      <c r="C185" t="s">
        <v>38</v>
      </c>
      <c r="D185">
        <v>2012</v>
      </c>
      <c r="E185">
        <v>-1.438880133100584</v>
      </c>
      <c r="F185">
        <v>-2.906965118995676</v>
      </c>
      <c r="G185">
        <f t="shared" si="2"/>
        <v>-1.468084985895092</v>
      </c>
      <c r="H185">
        <v>0.48398462678037191</v>
      </c>
    </row>
    <row r="186" spans="1:8" x14ac:dyDescent="0.35">
      <c r="A186" t="s">
        <v>69</v>
      </c>
      <c r="B186" t="s">
        <v>39</v>
      </c>
      <c r="C186" t="s">
        <v>40</v>
      </c>
      <c r="D186">
        <v>2012</v>
      </c>
      <c r="E186">
        <v>1.5110276949649171</v>
      </c>
      <c r="F186">
        <v>-2.906965118995676</v>
      </c>
      <c r="G186">
        <f t="shared" si="2"/>
        <v>-4.4179928139605931</v>
      </c>
      <c r="H186">
        <v>0.48398462678037191</v>
      </c>
    </row>
    <row r="187" spans="1:8" x14ac:dyDescent="0.35">
      <c r="A187" t="s">
        <v>69</v>
      </c>
      <c r="B187" t="s">
        <v>42</v>
      </c>
      <c r="C187" t="s">
        <v>40</v>
      </c>
      <c r="D187">
        <v>2012</v>
      </c>
      <c r="E187">
        <v>-1.7627808297010159</v>
      </c>
      <c r="F187">
        <v>-2.906965118995676</v>
      </c>
      <c r="G187">
        <f t="shared" si="2"/>
        <v>-1.1441842892946601</v>
      </c>
      <c r="H187">
        <v>0.48398462678037191</v>
      </c>
    </row>
    <row r="188" spans="1:8" x14ac:dyDescent="0.35">
      <c r="A188" t="s">
        <v>69</v>
      </c>
      <c r="B188" t="s">
        <v>41</v>
      </c>
      <c r="C188" t="s">
        <v>38</v>
      </c>
      <c r="D188">
        <v>2013</v>
      </c>
      <c r="E188">
        <v>-1.4440800286151581</v>
      </c>
      <c r="F188">
        <v>-1.437599419188256</v>
      </c>
      <c r="G188">
        <f t="shared" si="2"/>
        <v>6.4806094269020953E-3</v>
      </c>
      <c r="H188">
        <v>0.26402469726120398</v>
      </c>
    </row>
    <row r="189" spans="1:8" x14ac:dyDescent="0.35">
      <c r="A189" t="s">
        <v>69</v>
      </c>
      <c r="B189" t="s">
        <v>43</v>
      </c>
      <c r="C189" t="s">
        <v>38</v>
      </c>
      <c r="D189">
        <v>2013</v>
      </c>
      <c r="E189">
        <v>-1.3067912142153639</v>
      </c>
      <c r="F189">
        <v>-1.437599419188256</v>
      </c>
      <c r="G189">
        <f t="shared" si="2"/>
        <v>-0.13080820497289203</v>
      </c>
      <c r="H189">
        <v>0.26402469726120398</v>
      </c>
    </row>
    <row r="190" spans="1:8" x14ac:dyDescent="0.35">
      <c r="A190" t="s">
        <v>69</v>
      </c>
      <c r="B190" t="s">
        <v>42</v>
      </c>
      <c r="C190" t="s">
        <v>40</v>
      </c>
      <c r="D190">
        <v>2013</v>
      </c>
      <c r="E190">
        <v>-0.3312062646812497</v>
      </c>
      <c r="F190">
        <v>-1.437599419188256</v>
      </c>
      <c r="G190">
        <f t="shared" si="2"/>
        <v>-1.1063931545070063</v>
      </c>
      <c r="H190">
        <v>0.26402469726120398</v>
      </c>
    </row>
    <row r="191" spans="1:8" x14ac:dyDescent="0.35">
      <c r="A191" t="s">
        <v>69</v>
      </c>
      <c r="B191" t="s">
        <v>44</v>
      </c>
      <c r="C191" t="s">
        <v>40</v>
      </c>
      <c r="D191">
        <v>2013</v>
      </c>
      <c r="E191">
        <v>-1.474157069656223</v>
      </c>
      <c r="F191">
        <v>-1.437599419188256</v>
      </c>
      <c r="G191">
        <f t="shared" si="2"/>
        <v>3.6557650467966996E-2</v>
      </c>
      <c r="H191">
        <v>0.26402469726120398</v>
      </c>
    </row>
    <row r="192" spans="1:8" x14ac:dyDescent="0.35">
      <c r="A192" t="s">
        <v>69</v>
      </c>
      <c r="B192" t="s">
        <v>43</v>
      </c>
      <c r="C192" t="s">
        <v>38</v>
      </c>
      <c r="D192">
        <v>2014</v>
      </c>
      <c r="E192">
        <v>0.53460867752352925</v>
      </c>
      <c r="F192">
        <v>1.509054117610189</v>
      </c>
      <c r="G192">
        <f t="shared" si="2"/>
        <v>0.97444544008665979</v>
      </c>
      <c r="H192">
        <v>-0.12579054882825261</v>
      </c>
    </row>
    <row r="193" spans="1:8" x14ac:dyDescent="0.35">
      <c r="A193" t="s">
        <v>69</v>
      </c>
      <c r="B193" t="s">
        <v>45</v>
      </c>
      <c r="C193" t="s">
        <v>38</v>
      </c>
      <c r="D193">
        <v>2014</v>
      </c>
      <c r="E193">
        <v>1.249540362435053</v>
      </c>
      <c r="F193">
        <v>1.509054117610189</v>
      </c>
      <c r="G193">
        <f t="shared" si="2"/>
        <v>0.25951375517513608</v>
      </c>
      <c r="H193">
        <v>-0.12579054882825261</v>
      </c>
    </row>
    <row r="194" spans="1:8" x14ac:dyDescent="0.35">
      <c r="A194" t="s">
        <v>69</v>
      </c>
      <c r="B194" t="s">
        <v>44</v>
      </c>
      <c r="C194" t="s">
        <v>40</v>
      </c>
      <c r="D194">
        <v>2014</v>
      </c>
      <c r="E194">
        <v>0.93589599660655054</v>
      </c>
      <c r="F194">
        <v>1.509054117610189</v>
      </c>
      <c r="G194">
        <f t="shared" ref="G194:G257" si="3">IF(OR(F194="",E194=""),"",F194-E194)</f>
        <v>0.5731581210036385</v>
      </c>
      <c r="H194">
        <v>-0.12579054882825261</v>
      </c>
    </row>
    <row r="195" spans="1:8" x14ac:dyDescent="0.35">
      <c r="A195" t="s">
        <v>69</v>
      </c>
      <c r="B195" t="s">
        <v>46</v>
      </c>
      <c r="C195" t="s">
        <v>40</v>
      </c>
      <c r="D195">
        <v>2014</v>
      </c>
      <c r="E195">
        <v>1.14800430968125</v>
      </c>
      <c r="F195">
        <v>1.509054117610189</v>
      </c>
      <c r="G195">
        <f t="shared" si="3"/>
        <v>0.36104980792893904</v>
      </c>
      <c r="H195">
        <v>-0.12579054882825261</v>
      </c>
    </row>
    <row r="196" spans="1:8" x14ac:dyDescent="0.35">
      <c r="A196" t="s">
        <v>69</v>
      </c>
      <c r="B196" t="s">
        <v>45</v>
      </c>
      <c r="C196" t="s">
        <v>38</v>
      </c>
      <c r="D196">
        <v>2015</v>
      </c>
      <c r="E196">
        <v>1.7298208953237191</v>
      </c>
      <c r="F196">
        <v>3.980574024380553</v>
      </c>
      <c r="G196">
        <f t="shared" si="3"/>
        <v>2.2507531290568341</v>
      </c>
      <c r="H196">
        <v>0.33584162128485229</v>
      </c>
    </row>
    <row r="197" spans="1:8" x14ac:dyDescent="0.35">
      <c r="A197" t="s">
        <v>69</v>
      </c>
      <c r="B197" t="s">
        <v>47</v>
      </c>
      <c r="C197" t="s">
        <v>38</v>
      </c>
      <c r="D197">
        <v>2015</v>
      </c>
      <c r="E197">
        <v>3.1330217546616361</v>
      </c>
      <c r="F197">
        <v>3.980574024380553</v>
      </c>
      <c r="G197">
        <f t="shared" si="3"/>
        <v>0.84755226971891684</v>
      </c>
      <c r="H197">
        <v>0.33584162128485229</v>
      </c>
    </row>
    <row r="198" spans="1:8" x14ac:dyDescent="0.35">
      <c r="A198" t="s">
        <v>69</v>
      </c>
      <c r="B198" t="s">
        <v>46</v>
      </c>
      <c r="C198" t="s">
        <v>40</v>
      </c>
      <c r="D198">
        <v>2015</v>
      </c>
      <c r="E198">
        <v>2.0578550096999941</v>
      </c>
      <c r="F198">
        <v>3.980574024380553</v>
      </c>
      <c r="G198">
        <f t="shared" si="3"/>
        <v>1.9227190146805588</v>
      </c>
      <c r="H198">
        <v>0.33584162128485229</v>
      </c>
    </row>
    <row r="199" spans="1:8" x14ac:dyDescent="0.35">
      <c r="A199" t="s">
        <v>69</v>
      </c>
      <c r="B199" t="s">
        <v>48</v>
      </c>
      <c r="C199" t="s">
        <v>40</v>
      </c>
      <c r="D199">
        <v>2015</v>
      </c>
      <c r="E199">
        <v>2.8163023499567119</v>
      </c>
      <c r="F199">
        <v>3.980574024380553</v>
      </c>
      <c r="G199">
        <f t="shared" si="3"/>
        <v>1.1642716744238411</v>
      </c>
      <c r="H199">
        <v>0.33584162128485229</v>
      </c>
    </row>
    <row r="200" spans="1:8" x14ac:dyDescent="0.35">
      <c r="A200" t="s">
        <v>69</v>
      </c>
      <c r="B200" t="s">
        <v>47</v>
      </c>
      <c r="C200" t="s">
        <v>38</v>
      </c>
      <c r="D200">
        <v>2016</v>
      </c>
      <c r="E200">
        <v>2.6664587847684769</v>
      </c>
      <c r="F200">
        <v>2.8733724111720398</v>
      </c>
      <c r="G200">
        <f t="shared" si="3"/>
        <v>0.20691362640356292</v>
      </c>
      <c r="H200">
        <v>0.5384352042804752</v>
      </c>
    </row>
    <row r="201" spans="1:8" x14ac:dyDescent="0.35">
      <c r="A201" t="s">
        <v>69</v>
      </c>
      <c r="B201" t="s">
        <v>49</v>
      </c>
      <c r="C201" t="s">
        <v>38</v>
      </c>
      <c r="D201">
        <v>2016</v>
      </c>
      <c r="E201">
        <v>3.1977481622379229</v>
      </c>
      <c r="F201">
        <v>2.8733724111720398</v>
      </c>
      <c r="G201">
        <f t="shared" si="3"/>
        <v>-0.32437575106588312</v>
      </c>
      <c r="H201">
        <v>0.5384352042804752</v>
      </c>
    </row>
    <row r="202" spans="1:8" x14ac:dyDescent="0.35">
      <c r="A202" t="s">
        <v>69</v>
      </c>
      <c r="B202" t="s">
        <v>48</v>
      </c>
      <c r="C202" t="s">
        <v>40</v>
      </c>
      <c r="D202">
        <v>2016</v>
      </c>
      <c r="E202">
        <v>2.5804277166284968</v>
      </c>
      <c r="F202">
        <v>2.8733724111720398</v>
      </c>
      <c r="G202">
        <f t="shared" si="3"/>
        <v>0.29294469454354299</v>
      </c>
      <c r="H202">
        <v>0.5384352042804752</v>
      </c>
    </row>
    <row r="203" spans="1:8" x14ac:dyDescent="0.35">
      <c r="A203" t="s">
        <v>69</v>
      </c>
      <c r="B203" t="s">
        <v>50</v>
      </c>
      <c r="C203" t="s">
        <v>40</v>
      </c>
      <c r="D203">
        <v>2016</v>
      </c>
      <c r="E203">
        <v>2.5934687983342641</v>
      </c>
      <c r="F203">
        <v>2.8733724111720398</v>
      </c>
      <c r="G203">
        <f t="shared" si="3"/>
        <v>0.27990361283777565</v>
      </c>
      <c r="H203">
        <v>0.5384352042804752</v>
      </c>
    </row>
    <row r="204" spans="1:8" x14ac:dyDescent="0.35">
      <c r="A204" t="s">
        <v>69</v>
      </c>
      <c r="B204" t="s">
        <v>49</v>
      </c>
      <c r="C204" t="s">
        <v>38</v>
      </c>
      <c r="D204">
        <v>2017</v>
      </c>
      <c r="E204">
        <v>2.255443360388365</v>
      </c>
      <c r="F204">
        <v>2.855001546118654</v>
      </c>
      <c r="G204">
        <f t="shared" si="3"/>
        <v>0.59955818573028896</v>
      </c>
      <c r="H204">
        <v>0.76844861224739902</v>
      </c>
    </row>
    <row r="205" spans="1:8" x14ac:dyDescent="0.35">
      <c r="A205" t="s">
        <v>69</v>
      </c>
      <c r="B205" t="s">
        <v>51</v>
      </c>
      <c r="C205" t="s">
        <v>38</v>
      </c>
      <c r="D205">
        <v>2017</v>
      </c>
      <c r="E205">
        <v>3.068359604619419</v>
      </c>
      <c r="F205">
        <v>2.855001546118654</v>
      </c>
      <c r="G205">
        <f t="shared" si="3"/>
        <v>-0.21335805850076506</v>
      </c>
      <c r="H205">
        <v>0.76844861224739902</v>
      </c>
    </row>
    <row r="206" spans="1:8" x14ac:dyDescent="0.35">
      <c r="A206" t="s">
        <v>69</v>
      </c>
      <c r="B206" t="s">
        <v>50</v>
      </c>
      <c r="C206" t="s">
        <v>40</v>
      </c>
      <c r="D206">
        <v>2017</v>
      </c>
      <c r="E206">
        <v>2.5049942578537321</v>
      </c>
      <c r="F206">
        <v>2.855001546118654</v>
      </c>
      <c r="G206">
        <f t="shared" si="3"/>
        <v>0.35000728826492189</v>
      </c>
      <c r="H206">
        <v>0.76844861224739902</v>
      </c>
    </row>
    <row r="207" spans="1:8" x14ac:dyDescent="0.35">
      <c r="A207" t="s">
        <v>69</v>
      </c>
      <c r="B207" t="s">
        <v>52</v>
      </c>
      <c r="C207" t="s">
        <v>40</v>
      </c>
      <c r="D207">
        <v>2017</v>
      </c>
      <c r="E207">
        <v>2.763295099061525</v>
      </c>
      <c r="F207">
        <v>2.855001546118654</v>
      </c>
      <c r="G207">
        <f t="shared" si="3"/>
        <v>9.1706447057128937E-2</v>
      </c>
      <c r="H207">
        <v>0.76844861224739902</v>
      </c>
    </row>
    <row r="208" spans="1:8" x14ac:dyDescent="0.35">
      <c r="A208" t="s">
        <v>69</v>
      </c>
      <c r="B208" t="s">
        <v>51</v>
      </c>
      <c r="C208" t="s">
        <v>38</v>
      </c>
      <c r="D208">
        <v>2018</v>
      </c>
      <c r="E208">
        <v>2.5372488700963869</v>
      </c>
      <c r="F208">
        <v>2.367158610415725</v>
      </c>
      <c r="G208">
        <f t="shared" si="3"/>
        <v>-0.17009025968066194</v>
      </c>
      <c r="H208">
        <v>0.54937504833741979</v>
      </c>
    </row>
    <row r="209" spans="1:8" x14ac:dyDescent="0.35">
      <c r="A209" t="s">
        <v>69</v>
      </c>
      <c r="B209" t="s">
        <v>53</v>
      </c>
      <c r="C209" t="s">
        <v>38</v>
      </c>
      <c r="D209">
        <v>2018</v>
      </c>
      <c r="E209">
        <v>2.5579730614092582</v>
      </c>
      <c r="F209">
        <v>2.367158610415725</v>
      </c>
      <c r="G209">
        <f t="shared" si="3"/>
        <v>-0.19081445099353322</v>
      </c>
      <c r="H209">
        <v>0.54937504833741979</v>
      </c>
    </row>
    <row r="210" spans="1:8" x14ac:dyDescent="0.35">
      <c r="A210" t="s">
        <v>69</v>
      </c>
      <c r="B210" t="s">
        <v>52</v>
      </c>
      <c r="C210" t="s">
        <v>40</v>
      </c>
      <c r="D210">
        <v>2018</v>
      </c>
      <c r="E210">
        <v>2.3641938543665701</v>
      </c>
      <c r="F210">
        <v>2.367158610415725</v>
      </c>
      <c r="G210">
        <f t="shared" si="3"/>
        <v>2.9647560491548042E-3</v>
      </c>
      <c r="H210">
        <v>0.54937504833741979</v>
      </c>
    </row>
    <row r="211" spans="1:8" x14ac:dyDescent="0.35">
      <c r="A211" t="s">
        <v>69</v>
      </c>
      <c r="B211" t="s">
        <v>54</v>
      </c>
      <c r="C211" t="s">
        <v>40</v>
      </c>
      <c r="D211">
        <v>2018</v>
      </c>
      <c r="E211">
        <v>2.8513007726971522</v>
      </c>
      <c r="F211">
        <v>2.367158610415725</v>
      </c>
      <c r="G211">
        <f t="shared" si="3"/>
        <v>-0.48414216228142726</v>
      </c>
      <c r="H211">
        <v>0.54937504833741979</v>
      </c>
    </row>
    <row r="212" spans="1:8" x14ac:dyDescent="0.35">
      <c r="A212" t="s">
        <v>69</v>
      </c>
      <c r="B212" t="s">
        <v>53</v>
      </c>
      <c r="C212" t="s">
        <v>38</v>
      </c>
      <c r="D212">
        <v>2019</v>
      </c>
      <c r="E212">
        <v>2.1553608163649152</v>
      </c>
      <c r="F212">
        <v>1.9422910480512949</v>
      </c>
      <c r="G212">
        <f t="shared" si="3"/>
        <v>-0.21306976831362023</v>
      </c>
      <c r="H212">
        <v>0.8375403037033835</v>
      </c>
    </row>
    <row r="213" spans="1:8" x14ac:dyDescent="0.35">
      <c r="A213" t="s">
        <v>69</v>
      </c>
      <c r="B213" t="s">
        <v>55</v>
      </c>
      <c r="C213" t="s">
        <v>38</v>
      </c>
      <c r="D213">
        <v>2019</v>
      </c>
      <c r="E213">
        <v>1.870053317687548</v>
      </c>
      <c r="F213">
        <v>1.9422910480512949</v>
      </c>
      <c r="G213">
        <f t="shared" si="3"/>
        <v>7.2237730363746921E-2</v>
      </c>
      <c r="H213">
        <v>0.8375403037033835</v>
      </c>
    </row>
    <row r="214" spans="1:8" x14ac:dyDescent="0.35">
      <c r="A214" t="s">
        <v>69</v>
      </c>
      <c r="B214" t="s">
        <v>54</v>
      </c>
      <c r="C214" t="s">
        <v>40</v>
      </c>
      <c r="D214">
        <v>2019</v>
      </c>
      <c r="E214">
        <v>2.355960635013798</v>
      </c>
      <c r="F214">
        <v>1.9422910480512949</v>
      </c>
      <c r="G214">
        <f t="shared" si="3"/>
        <v>-0.41366958696250311</v>
      </c>
      <c r="H214">
        <v>0.8375403037033835</v>
      </c>
    </row>
    <row r="215" spans="1:8" x14ac:dyDescent="0.35">
      <c r="A215" t="s">
        <v>69</v>
      </c>
      <c r="B215" t="s">
        <v>56</v>
      </c>
      <c r="C215" t="s">
        <v>40</v>
      </c>
      <c r="D215">
        <v>2019</v>
      </c>
      <c r="E215">
        <v>2.0959399874803002</v>
      </c>
      <c r="F215">
        <v>1.9422910480512949</v>
      </c>
      <c r="G215">
        <f t="shared" si="3"/>
        <v>-0.15364893942900526</v>
      </c>
      <c r="H215">
        <v>0.8375403037033835</v>
      </c>
    </row>
    <row r="216" spans="1:8" x14ac:dyDescent="0.35">
      <c r="A216" t="s">
        <v>69</v>
      </c>
      <c r="B216" t="s">
        <v>55</v>
      </c>
      <c r="C216" t="s">
        <v>38</v>
      </c>
      <c r="D216">
        <v>2020</v>
      </c>
      <c r="E216">
        <v>1.490576223487361</v>
      </c>
      <c r="F216">
        <v>-11.58616521695834</v>
      </c>
      <c r="G216">
        <f t="shared" si="3"/>
        <v>-13.076741440445701</v>
      </c>
      <c r="H216">
        <v>0.86710493358213747</v>
      </c>
    </row>
    <row r="217" spans="1:8" x14ac:dyDescent="0.35">
      <c r="A217" t="s">
        <v>69</v>
      </c>
      <c r="B217" t="s">
        <v>57</v>
      </c>
      <c r="C217" t="s">
        <v>38</v>
      </c>
      <c r="D217">
        <v>2020</v>
      </c>
      <c r="E217">
        <v>-12.410533977614319</v>
      </c>
      <c r="F217">
        <v>-11.58616521695834</v>
      </c>
      <c r="G217">
        <f t="shared" si="3"/>
        <v>0.82436876065597886</v>
      </c>
      <c r="H217">
        <v>0.86710493358213747</v>
      </c>
    </row>
    <row r="218" spans="1:8" x14ac:dyDescent="0.35">
      <c r="A218" t="s">
        <v>69</v>
      </c>
      <c r="B218" t="s">
        <v>56</v>
      </c>
      <c r="C218" t="s">
        <v>40</v>
      </c>
      <c r="D218">
        <v>2020</v>
      </c>
      <c r="E218">
        <v>1.863359760106897</v>
      </c>
      <c r="F218">
        <v>-11.58616521695834</v>
      </c>
      <c r="G218">
        <f t="shared" si="3"/>
        <v>-13.449524977065238</v>
      </c>
      <c r="H218">
        <v>0.86710493358213747</v>
      </c>
    </row>
    <row r="219" spans="1:8" x14ac:dyDescent="0.35">
      <c r="A219" t="s">
        <v>69</v>
      </c>
      <c r="B219" t="s">
        <v>58</v>
      </c>
      <c r="C219" t="s">
        <v>40</v>
      </c>
      <c r="D219">
        <v>2020</v>
      </c>
      <c r="E219">
        <v>-9.3843459766278272</v>
      </c>
      <c r="F219">
        <v>-11.58616521695834</v>
      </c>
      <c r="G219">
        <f t="shared" si="3"/>
        <v>-2.2018192403305132</v>
      </c>
      <c r="H219">
        <v>0.86710493358213747</v>
      </c>
    </row>
    <row r="220" spans="1:8" x14ac:dyDescent="0.35">
      <c r="A220" t="s">
        <v>69</v>
      </c>
      <c r="B220" t="s">
        <v>57</v>
      </c>
      <c r="C220" t="s">
        <v>38</v>
      </c>
      <c r="D220">
        <v>2021</v>
      </c>
      <c r="E220">
        <v>5.3508536215682634</v>
      </c>
      <c r="F220">
        <v>6.4693143142877041</v>
      </c>
      <c r="G220">
        <f t="shared" si="3"/>
        <v>1.1184606927194407</v>
      </c>
      <c r="H220">
        <v>0.86160021571319789</v>
      </c>
    </row>
    <row r="221" spans="1:8" x14ac:dyDescent="0.35">
      <c r="A221" t="s">
        <v>69</v>
      </c>
      <c r="B221" t="s">
        <v>59</v>
      </c>
      <c r="C221" t="s">
        <v>38</v>
      </c>
      <c r="D221">
        <v>2021</v>
      </c>
      <c r="E221">
        <v>4.6234510847103616</v>
      </c>
      <c r="F221">
        <v>6.4693143142877041</v>
      </c>
      <c r="G221">
        <f t="shared" si="3"/>
        <v>1.8458632295773425</v>
      </c>
      <c r="H221">
        <v>0.86160021571319789</v>
      </c>
    </row>
    <row r="222" spans="1:8" x14ac:dyDescent="0.35">
      <c r="A222" t="s">
        <v>69</v>
      </c>
      <c r="B222" t="s">
        <v>58</v>
      </c>
      <c r="C222" t="s">
        <v>40</v>
      </c>
      <c r="D222">
        <v>2021</v>
      </c>
      <c r="E222">
        <v>6.9761759541974167</v>
      </c>
      <c r="F222">
        <v>6.4693143142877041</v>
      </c>
      <c r="G222">
        <f t="shared" si="3"/>
        <v>-0.50686163990971256</v>
      </c>
      <c r="H222">
        <v>0.86160021571319789</v>
      </c>
    </row>
    <row r="223" spans="1:8" x14ac:dyDescent="0.35">
      <c r="A223" t="s">
        <v>69</v>
      </c>
      <c r="B223" t="s">
        <v>60</v>
      </c>
      <c r="C223" t="s">
        <v>40</v>
      </c>
      <c r="D223">
        <v>2021</v>
      </c>
      <c r="E223">
        <v>5.8812532644924698</v>
      </c>
      <c r="F223">
        <v>6.4693143142877041</v>
      </c>
      <c r="G223">
        <f t="shared" si="3"/>
        <v>0.58806104979523433</v>
      </c>
      <c r="H223">
        <v>0.86160021571319789</v>
      </c>
    </row>
    <row r="224" spans="1:8" x14ac:dyDescent="0.35">
      <c r="A224" t="s">
        <v>69</v>
      </c>
      <c r="B224" t="s">
        <v>59</v>
      </c>
      <c r="C224" t="s">
        <v>38</v>
      </c>
      <c r="D224">
        <v>2022</v>
      </c>
      <c r="E224">
        <v>5.5278236152833893</v>
      </c>
      <c r="F224">
        <v>6.1757125573772758</v>
      </c>
      <c r="G224">
        <f t="shared" si="3"/>
        <v>0.64788894209388648</v>
      </c>
      <c r="H224">
        <v>0.59190560042782348</v>
      </c>
    </row>
    <row r="225" spans="1:8" x14ac:dyDescent="0.35">
      <c r="A225" t="s">
        <v>69</v>
      </c>
      <c r="B225" t="s">
        <v>61</v>
      </c>
      <c r="C225" t="s">
        <v>38</v>
      </c>
      <c r="D225">
        <v>2022</v>
      </c>
      <c r="E225">
        <v>4.547669246739372</v>
      </c>
      <c r="F225">
        <v>6.1757125573772758</v>
      </c>
      <c r="G225">
        <f t="shared" si="3"/>
        <v>1.6280433106379038</v>
      </c>
      <c r="H225">
        <v>0.59190560042782348</v>
      </c>
    </row>
    <row r="226" spans="1:8" x14ac:dyDescent="0.35">
      <c r="A226" t="s">
        <v>69</v>
      </c>
      <c r="B226" t="s">
        <v>60</v>
      </c>
      <c r="C226" t="s">
        <v>40</v>
      </c>
      <c r="D226">
        <v>2022</v>
      </c>
      <c r="E226">
        <v>6.7779918001151573</v>
      </c>
      <c r="F226">
        <v>6.1757125573772758</v>
      </c>
      <c r="G226">
        <f t="shared" si="3"/>
        <v>-0.60227924273788158</v>
      </c>
      <c r="H226">
        <v>0.59190560042782348</v>
      </c>
    </row>
    <row r="227" spans="1:8" x14ac:dyDescent="0.35">
      <c r="A227" t="s">
        <v>69</v>
      </c>
      <c r="B227" t="s">
        <v>62</v>
      </c>
      <c r="C227" t="s">
        <v>40</v>
      </c>
      <c r="D227">
        <v>2022</v>
      </c>
      <c r="E227">
        <v>4.0260894815609127</v>
      </c>
      <c r="F227">
        <v>6.1757125573772758</v>
      </c>
      <c r="G227">
        <f t="shared" si="3"/>
        <v>2.149623075816363</v>
      </c>
      <c r="H227">
        <v>0.59190560042782348</v>
      </c>
    </row>
    <row r="228" spans="1:8" x14ac:dyDescent="0.35">
      <c r="A228" t="s">
        <v>69</v>
      </c>
      <c r="B228" t="s">
        <v>61</v>
      </c>
      <c r="C228" t="s">
        <v>38</v>
      </c>
      <c r="D228">
        <v>2023</v>
      </c>
      <c r="E228">
        <v>0.95503996038659444</v>
      </c>
      <c r="F228">
        <v>2.4309784639696339</v>
      </c>
      <c r="G228">
        <f t="shared" si="3"/>
        <v>1.4759385035830395</v>
      </c>
      <c r="H228">
        <v>0.73851245753325334</v>
      </c>
    </row>
    <row r="229" spans="1:8" x14ac:dyDescent="0.35">
      <c r="A229" t="s">
        <v>69</v>
      </c>
      <c r="B229" t="s">
        <v>63</v>
      </c>
      <c r="C229" t="s">
        <v>38</v>
      </c>
      <c r="D229">
        <v>2023</v>
      </c>
      <c r="E229">
        <v>2.3654844972287088</v>
      </c>
      <c r="F229">
        <v>2.4309784639696339</v>
      </c>
      <c r="G229">
        <f t="shared" si="3"/>
        <v>6.5493966740925114E-2</v>
      </c>
      <c r="H229">
        <v>0.73851245753325334</v>
      </c>
    </row>
    <row r="230" spans="1:8" x14ac:dyDescent="0.35">
      <c r="A230" t="s">
        <v>69</v>
      </c>
      <c r="B230" t="s">
        <v>62</v>
      </c>
      <c r="C230" t="s">
        <v>40</v>
      </c>
      <c r="D230">
        <v>2023</v>
      </c>
      <c r="E230">
        <v>3.3729684974310499</v>
      </c>
      <c r="F230">
        <v>2.4309784639696339</v>
      </c>
      <c r="G230">
        <f t="shared" si="3"/>
        <v>-0.94199003346141597</v>
      </c>
      <c r="H230">
        <v>0.73851245753325334</v>
      </c>
    </row>
    <row r="231" spans="1:8" x14ac:dyDescent="0.35">
      <c r="A231" t="s">
        <v>69</v>
      </c>
      <c r="B231" t="s">
        <v>64</v>
      </c>
      <c r="C231" t="s">
        <v>40</v>
      </c>
      <c r="D231">
        <v>2023</v>
      </c>
      <c r="E231">
        <v>1.9366811763456671</v>
      </c>
      <c r="F231">
        <v>2.4309784639696339</v>
      </c>
      <c r="G231">
        <f t="shared" si="3"/>
        <v>0.49429728762396685</v>
      </c>
      <c r="H231">
        <v>0.73851245753325334</v>
      </c>
    </row>
    <row r="232" spans="1:8" x14ac:dyDescent="0.35">
      <c r="A232" t="s">
        <v>69</v>
      </c>
      <c r="B232" t="s">
        <v>63</v>
      </c>
      <c r="C232" t="s">
        <v>38</v>
      </c>
      <c r="D232">
        <v>2024</v>
      </c>
      <c r="E232">
        <v>1.660542743130144</v>
      </c>
      <c r="F232">
        <v>3.3969031373447791</v>
      </c>
      <c r="G232">
        <f t="shared" si="3"/>
        <v>1.7363603942146351</v>
      </c>
      <c r="H232">
        <v>0.68485482665072694</v>
      </c>
    </row>
    <row r="233" spans="1:8" x14ac:dyDescent="0.35">
      <c r="A233" t="s">
        <v>69</v>
      </c>
      <c r="B233" t="s">
        <v>65</v>
      </c>
      <c r="C233" t="s">
        <v>38</v>
      </c>
      <c r="D233">
        <v>2024</v>
      </c>
      <c r="E233">
        <v>2.966936931003072</v>
      </c>
      <c r="F233">
        <v>3.3969031373447791</v>
      </c>
      <c r="G233">
        <f t="shared" si="3"/>
        <v>0.42996620634170712</v>
      </c>
      <c r="H233">
        <v>0.68485482665072694</v>
      </c>
    </row>
    <row r="234" spans="1:8" x14ac:dyDescent="0.35">
      <c r="A234" t="s">
        <v>69</v>
      </c>
      <c r="B234" t="s">
        <v>64</v>
      </c>
      <c r="C234" t="s">
        <v>40</v>
      </c>
      <c r="D234">
        <v>2024</v>
      </c>
      <c r="E234">
        <v>1.9648768473316871</v>
      </c>
      <c r="F234">
        <v>3.3969031373447791</v>
      </c>
      <c r="G234">
        <f t="shared" si="3"/>
        <v>1.432026290013092</v>
      </c>
      <c r="H234">
        <v>0.68485482665072694</v>
      </c>
    </row>
    <row r="235" spans="1:8" x14ac:dyDescent="0.35">
      <c r="A235" t="s">
        <v>69</v>
      </c>
      <c r="B235" t="s">
        <v>66</v>
      </c>
      <c r="C235" t="s">
        <v>40</v>
      </c>
      <c r="D235">
        <v>2024</v>
      </c>
      <c r="E235">
        <v>2.1447304612078222</v>
      </c>
      <c r="F235">
        <v>3.3969031373447791</v>
      </c>
      <c r="G235">
        <f t="shared" si="3"/>
        <v>1.2521726761369569</v>
      </c>
      <c r="H235">
        <v>0.68485482665072694</v>
      </c>
    </row>
    <row r="236" spans="1:8" x14ac:dyDescent="0.35">
      <c r="A236" t="s">
        <v>69</v>
      </c>
      <c r="B236" t="s">
        <v>65</v>
      </c>
      <c r="C236" t="s">
        <v>38</v>
      </c>
      <c r="D236">
        <v>2025</v>
      </c>
      <c r="E236">
        <v>2.3460653050844331</v>
      </c>
      <c r="F236">
        <v>2.7857852243734129</v>
      </c>
      <c r="G236">
        <f t="shared" si="3"/>
        <v>0.4397199192889798</v>
      </c>
      <c r="H236">
        <v>-2.9567303162600381E-2</v>
      </c>
    </row>
    <row r="237" spans="1:8" x14ac:dyDescent="0.35">
      <c r="A237" t="s">
        <v>69</v>
      </c>
      <c r="B237" t="s">
        <v>71</v>
      </c>
      <c r="C237" t="s">
        <v>38</v>
      </c>
      <c r="D237">
        <v>2025</v>
      </c>
      <c r="E237">
        <v>2.8680409593299978</v>
      </c>
      <c r="F237">
        <v>2.7857852243734129</v>
      </c>
      <c r="G237">
        <f t="shared" si="3"/>
        <v>-8.2255734956584892E-2</v>
      </c>
      <c r="H237">
        <v>-2.9567303162600381E-2</v>
      </c>
    </row>
    <row r="238" spans="1:8" x14ac:dyDescent="0.35">
      <c r="A238" t="s">
        <v>69</v>
      </c>
      <c r="B238" t="s">
        <v>66</v>
      </c>
      <c r="C238" t="s">
        <v>40</v>
      </c>
      <c r="D238">
        <v>2025</v>
      </c>
      <c r="E238">
        <v>1.947420292593427</v>
      </c>
      <c r="F238">
        <v>2.7857852243734129</v>
      </c>
      <c r="G238">
        <f t="shared" si="3"/>
        <v>0.83836493177998594</v>
      </c>
      <c r="H238">
        <v>-2.9567303162600381E-2</v>
      </c>
    </row>
    <row r="239" spans="1:8" x14ac:dyDescent="0.35">
      <c r="A239" t="s">
        <v>69</v>
      </c>
      <c r="B239" t="s">
        <v>72</v>
      </c>
      <c r="C239" t="s">
        <v>40</v>
      </c>
      <c r="D239">
        <v>2025</v>
      </c>
      <c r="E239">
        <v>2.5510068501240162</v>
      </c>
      <c r="F239">
        <v>2.7857852243734129</v>
      </c>
      <c r="G239">
        <f t="shared" si="3"/>
        <v>0.23477837424939674</v>
      </c>
      <c r="H239">
        <v>-2.9567303162600381E-2</v>
      </c>
    </row>
    <row r="240" spans="1:8" x14ac:dyDescent="0.35">
      <c r="A240" t="s">
        <v>69</v>
      </c>
      <c r="B240" t="s">
        <v>71</v>
      </c>
      <c r="C240" t="s">
        <v>38</v>
      </c>
      <c r="D240">
        <v>2026</v>
      </c>
      <c r="E240">
        <v>2.2791798404137031</v>
      </c>
      <c r="G240" t="str">
        <f t="shared" si="3"/>
        <v/>
      </c>
      <c r="H240">
        <v>9.0869507630926452E-2</v>
      </c>
    </row>
    <row r="241" spans="1:8" x14ac:dyDescent="0.35">
      <c r="A241" t="s">
        <v>69</v>
      </c>
      <c r="B241" t="s">
        <v>72</v>
      </c>
      <c r="C241" t="s">
        <v>40</v>
      </c>
      <c r="D241">
        <v>2026</v>
      </c>
      <c r="E241">
        <v>2.0482566856621309</v>
      </c>
      <c r="G241" t="str">
        <f t="shared" si="3"/>
        <v/>
      </c>
      <c r="H241">
        <v>9.0869507630926452E-2</v>
      </c>
    </row>
    <row r="242" spans="1:8" x14ac:dyDescent="0.35">
      <c r="A242" t="s">
        <v>70</v>
      </c>
      <c r="B242" t="s">
        <v>45</v>
      </c>
      <c r="C242" t="s">
        <v>38</v>
      </c>
      <c r="D242">
        <v>2015</v>
      </c>
      <c r="E242">
        <v>0.6115453306968277</v>
      </c>
      <c r="F242">
        <v>0.46533578746174248</v>
      </c>
      <c r="G242">
        <f t="shared" si="3"/>
        <v>-0.14620954323508523</v>
      </c>
      <c r="H242">
        <v>0.21524731915347789</v>
      </c>
    </row>
    <row r="243" spans="1:8" x14ac:dyDescent="0.35">
      <c r="A243" t="s">
        <v>70</v>
      </c>
      <c r="B243" t="s">
        <v>47</v>
      </c>
      <c r="C243" t="s">
        <v>38</v>
      </c>
      <c r="D243">
        <v>2015</v>
      </c>
      <c r="E243">
        <v>0.33999838965084178</v>
      </c>
      <c r="F243">
        <v>0.46533578746174248</v>
      </c>
      <c r="G243">
        <f t="shared" si="3"/>
        <v>0.1253373978109007</v>
      </c>
      <c r="H243">
        <v>0.21524731915347789</v>
      </c>
    </row>
    <row r="244" spans="1:8" x14ac:dyDescent="0.35">
      <c r="A244" t="s">
        <v>70</v>
      </c>
      <c r="B244" t="s">
        <v>46</v>
      </c>
      <c r="C244" t="s">
        <v>40</v>
      </c>
      <c r="D244">
        <v>2015</v>
      </c>
      <c r="E244">
        <v>1.03813878882193</v>
      </c>
      <c r="F244">
        <v>0.46533578746174248</v>
      </c>
      <c r="G244">
        <f t="shared" si="3"/>
        <v>-0.57280300136018747</v>
      </c>
      <c r="H244">
        <v>0.21524731915347789</v>
      </c>
    </row>
    <row r="245" spans="1:8" x14ac:dyDescent="0.35">
      <c r="A245" t="s">
        <v>70</v>
      </c>
      <c r="B245" t="s">
        <v>48</v>
      </c>
      <c r="C245" t="s">
        <v>40</v>
      </c>
      <c r="D245">
        <v>2015</v>
      </c>
      <c r="E245">
        <v>0.34221817011690359</v>
      </c>
      <c r="F245">
        <v>0.46533578746174248</v>
      </c>
      <c r="G245">
        <f t="shared" si="3"/>
        <v>0.12311761734483889</v>
      </c>
      <c r="H245">
        <v>0.21524731915347789</v>
      </c>
    </row>
    <row r="246" spans="1:8" x14ac:dyDescent="0.35">
      <c r="A246" t="s">
        <v>70</v>
      </c>
      <c r="B246" t="s">
        <v>47</v>
      </c>
      <c r="C246" t="s">
        <v>38</v>
      </c>
      <c r="D246">
        <v>2016</v>
      </c>
      <c r="E246">
        <v>0.66078776686688823</v>
      </c>
      <c r="F246">
        <v>2.5394630680659041</v>
      </c>
      <c r="G246">
        <f t="shared" si="3"/>
        <v>1.8786753011990158</v>
      </c>
      <c r="H246">
        <v>0.62859282370307934</v>
      </c>
    </row>
    <row r="247" spans="1:8" x14ac:dyDescent="0.35">
      <c r="A247" t="s">
        <v>70</v>
      </c>
      <c r="B247" t="s">
        <v>49</v>
      </c>
      <c r="C247" t="s">
        <v>38</v>
      </c>
      <c r="D247">
        <v>2016</v>
      </c>
      <c r="E247">
        <v>0.8211412144474739</v>
      </c>
      <c r="F247">
        <v>2.5394630680659041</v>
      </c>
      <c r="G247">
        <f t="shared" si="3"/>
        <v>1.7183218536184302</v>
      </c>
      <c r="H247">
        <v>0.62859282370307934</v>
      </c>
    </row>
    <row r="248" spans="1:8" x14ac:dyDescent="0.35">
      <c r="A248" t="s">
        <v>70</v>
      </c>
      <c r="B248" t="s">
        <v>48</v>
      </c>
      <c r="C248" t="s">
        <v>40</v>
      </c>
      <c r="D248">
        <v>2016</v>
      </c>
      <c r="E248">
        <v>1.029139259030432</v>
      </c>
      <c r="F248">
        <v>2.5394630680659041</v>
      </c>
      <c r="G248">
        <f t="shared" si="3"/>
        <v>1.510323809035472</v>
      </c>
      <c r="H248">
        <v>0.62859282370307934</v>
      </c>
    </row>
    <row r="249" spans="1:8" x14ac:dyDescent="0.35">
      <c r="A249" t="s">
        <v>70</v>
      </c>
      <c r="B249" t="s">
        <v>50</v>
      </c>
      <c r="C249" t="s">
        <v>40</v>
      </c>
      <c r="D249">
        <v>2016</v>
      </c>
      <c r="E249">
        <v>0.68041183214515577</v>
      </c>
      <c r="F249">
        <v>2.5394630680659041</v>
      </c>
      <c r="G249">
        <f t="shared" si="3"/>
        <v>1.8590512359207483</v>
      </c>
      <c r="H249">
        <v>0.62859282370307934</v>
      </c>
    </row>
    <row r="250" spans="1:8" x14ac:dyDescent="0.35">
      <c r="A250" t="s">
        <v>70</v>
      </c>
      <c r="B250" t="s">
        <v>49</v>
      </c>
      <c r="C250" t="s">
        <v>38</v>
      </c>
      <c r="D250">
        <v>2017</v>
      </c>
      <c r="E250">
        <v>0.7788253796826794</v>
      </c>
      <c r="F250">
        <v>3.2509193804219478</v>
      </c>
      <c r="G250">
        <f t="shared" si="3"/>
        <v>2.4720940007392684</v>
      </c>
      <c r="H250">
        <v>0.71940483524885424</v>
      </c>
    </row>
    <row r="251" spans="1:8" x14ac:dyDescent="0.35">
      <c r="A251" t="s">
        <v>70</v>
      </c>
      <c r="B251" t="s">
        <v>51</v>
      </c>
      <c r="C251" t="s">
        <v>38</v>
      </c>
      <c r="D251">
        <v>2017</v>
      </c>
      <c r="E251">
        <v>3.2999705467780189</v>
      </c>
      <c r="F251">
        <v>3.2509193804219478</v>
      </c>
      <c r="G251">
        <f t="shared" si="3"/>
        <v>-4.9051166356071096E-2</v>
      </c>
      <c r="H251">
        <v>0.71940483524885424</v>
      </c>
    </row>
    <row r="252" spans="1:8" x14ac:dyDescent="0.35">
      <c r="A252" t="s">
        <v>70</v>
      </c>
      <c r="B252" t="s">
        <v>50</v>
      </c>
      <c r="C252" t="s">
        <v>40</v>
      </c>
      <c r="D252">
        <v>2017</v>
      </c>
      <c r="E252">
        <v>0.72652337554917068</v>
      </c>
      <c r="F252">
        <v>3.2509193804219478</v>
      </c>
      <c r="G252">
        <f t="shared" si="3"/>
        <v>2.5243960048727772</v>
      </c>
      <c r="H252">
        <v>0.71940483524885424</v>
      </c>
    </row>
    <row r="253" spans="1:8" x14ac:dyDescent="0.35">
      <c r="A253" t="s">
        <v>70</v>
      </c>
      <c r="B253" t="s">
        <v>52</v>
      </c>
      <c r="C253" t="s">
        <v>40</v>
      </c>
      <c r="D253">
        <v>2017</v>
      </c>
      <c r="E253">
        <v>1.2981877046543739</v>
      </c>
      <c r="F253">
        <v>3.2509193804219478</v>
      </c>
      <c r="G253">
        <f t="shared" si="3"/>
        <v>1.9527316757675739</v>
      </c>
      <c r="H253">
        <v>0.71940483524885424</v>
      </c>
    </row>
    <row r="254" spans="1:8" x14ac:dyDescent="0.35">
      <c r="A254" t="s">
        <v>70</v>
      </c>
      <c r="B254" t="s">
        <v>51</v>
      </c>
      <c r="C254" t="s">
        <v>38</v>
      </c>
      <c r="D254">
        <v>2018</v>
      </c>
      <c r="E254">
        <v>2.6543445907794232</v>
      </c>
      <c r="F254">
        <v>1.1858569030435471</v>
      </c>
      <c r="G254">
        <f t="shared" si="3"/>
        <v>-1.4684876877358761</v>
      </c>
      <c r="H254">
        <v>0.33002959137272642</v>
      </c>
    </row>
    <row r="255" spans="1:8" x14ac:dyDescent="0.35">
      <c r="A255" t="s">
        <v>70</v>
      </c>
      <c r="B255" t="s">
        <v>53</v>
      </c>
      <c r="C255" t="s">
        <v>38</v>
      </c>
      <c r="D255">
        <v>2018</v>
      </c>
      <c r="E255">
        <v>2.8893530093298199</v>
      </c>
      <c r="F255">
        <v>1.1858569030435471</v>
      </c>
      <c r="G255">
        <f t="shared" si="3"/>
        <v>-1.7034961062862728</v>
      </c>
      <c r="H255">
        <v>0.33002959137272642</v>
      </c>
    </row>
    <row r="256" spans="1:8" x14ac:dyDescent="0.35">
      <c r="A256" t="s">
        <v>70</v>
      </c>
      <c r="B256" t="s">
        <v>52</v>
      </c>
      <c r="C256" t="s">
        <v>40</v>
      </c>
      <c r="D256">
        <v>2018</v>
      </c>
      <c r="E256">
        <v>1.745345139008192</v>
      </c>
      <c r="F256">
        <v>1.1858569030435471</v>
      </c>
      <c r="G256">
        <f t="shared" si="3"/>
        <v>-0.55948823596464492</v>
      </c>
      <c r="H256">
        <v>0.33002959137272642</v>
      </c>
    </row>
    <row r="257" spans="1:8" x14ac:dyDescent="0.35">
      <c r="A257" t="s">
        <v>70</v>
      </c>
      <c r="B257" t="s">
        <v>54</v>
      </c>
      <c r="C257" t="s">
        <v>40</v>
      </c>
      <c r="D257">
        <v>2018</v>
      </c>
      <c r="E257">
        <v>2.519865182310288</v>
      </c>
      <c r="F257">
        <v>1.1858569030435471</v>
      </c>
      <c r="G257">
        <f t="shared" si="3"/>
        <v>-1.3340082792667409</v>
      </c>
      <c r="H257">
        <v>0.33002959137272642</v>
      </c>
    </row>
    <row r="258" spans="1:8" x14ac:dyDescent="0.35">
      <c r="A258" t="s">
        <v>70</v>
      </c>
      <c r="B258" t="s">
        <v>53</v>
      </c>
      <c r="C258" t="s">
        <v>38</v>
      </c>
      <c r="D258">
        <v>2019</v>
      </c>
      <c r="E258">
        <v>2.1742555460234851</v>
      </c>
      <c r="F258">
        <v>1.3406806953806429</v>
      </c>
      <c r="G258">
        <f t="shared" ref="G258:G321" si="4">IF(OR(F258="",E258=""),"",F258-E258)</f>
        <v>-0.8335748506428422</v>
      </c>
      <c r="H258">
        <v>0.85330044822257167</v>
      </c>
    </row>
    <row r="259" spans="1:8" x14ac:dyDescent="0.35">
      <c r="A259" t="s">
        <v>70</v>
      </c>
      <c r="B259" t="s">
        <v>55</v>
      </c>
      <c r="C259" t="s">
        <v>38</v>
      </c>
      <c r="D259">
        <v>2019</v>
      </c>
      <c r="E259">
        <v>1.354791564440649</v>
      </c>
      <c r="F259">
        <v>1.3406806953806429</v>
      </c>
      <c r="G259">
        <f t="shared" si="4"/>
        <v>-1.4110869060006026E-2</v>
      </c>
      <c r="H259">
        <v>0.85330044822257167</v>
      </c>
    </row>
    <row r="260" spans="1:8" x14ac:dyDescent="0.35">
      <c r="A260" t="s">
        <v>70</v>
      </c>
      <c r="B260" t="s">
        <v>54</v>
      </c>
      <c r="C260" t="s">
        <v>40</v>
      </c>
      <c r="D260">
        <v>2019</v>
      </c>
      <c r="E260">
        <v>2.2702366672909808</v>
      </c>
      <c r="F260">
        <v>1.3406806953806429</v>
      </c>
      <c r="G260">
        <f t="shared" si="4"/>
        <v>-0.9295559719103379</v>
      </c>
      <c r="H260">
        <v>0.85330044822257167</v>
      </c>
    </row>
    <row r="261" spans="1:8" x14ac:dyDescent="0.35">
      <c r="A261" t="s">
        <v>70</v>
      </c>
      <c r="B261" t="s">
        <v>56</v>
      </c>
      <c r="C261" t="s">
        <v>40</v>
      </c>
      <c r="D261">
        <v>2019</v>
      </c>
      <c r="E261">
        <v>1.638521358484613</v>
      </c>
      <c r="F261">
        <v>1.3406806953806429</v>
      </c>
      <c r="G261">
        <f t="shared" si="4"/>
        <v>-0.29784066310397006</v>
      </c>
      <c r="H261">
        <v>0.85330044822257167</v>
      </c>
    </row>
    <row r="262" spans="1:8" x14ac:dyDescent="0.35">
      <c r="A262" t="s">
        <v>70</v>
      </c>
      <c r="B262" t="s">
        <v>55</v>
      </c>
      <c r="C262" t="s">
        <v>38</v>
      </c>
      <c r="D262">
        <v>2020</v>
      </c>
      <c r="E262">
        <v>1.1013866566023991</v>
      </c>
      <c r="F262">
        <v>-2.5216639551613449</v>
      </c>
      <c r="G262">
        <f t="shared" si="4"/>
        <v>-3.6230506117637438</v>
      </c>
      <c r="H262">
        <v>0.9601184888395623</v>
      </c>
    </row>
    <row r="263" spans="1:8" x14ac:dyDescent="0.35">
      <c r="A263" t="s">
        <v>70</v>
      </c>
      <c r="B263" t="s">
        <v>57</v>
      </c>
      <c r="C263" t="s">
        <v>38</v>
      </c>
      <c r="D263">
        <v>2020</v>
      </c>
      <c r="E263">
        <v>-4.2712767573150012</v>
      </c>
      <c r="F263">
        <v>-2.5216639551613449</v>
      </c>
      <c r="G263">
        <f t="shared" si="4"/>
        <v>1.7496128021536563</v>
      </c>
      <c r="H263">
        <v>0.9601184888395623</v>
      </c>
    </row>
    <row r="264" spans="1:8" x14ac:dyDescent="0.35">
      <c r="A264" t="s">
        <v>70</v>
      </c>
      <c r="B264" t="s">
        <v>56</v>
      </c>
      <c r="C264" t="s">
        <v>40</v>
      </c>
      <c r="D264">
        <v>2020</v>
      </c>
      <c r="E264">
        <v>1.1658655715774511</v>
      </c>
      <c r="F264">
        <v>-2.5216639551613449</v>
      </c>
      <c r="G264">
        <f t="shared" si="4"/>
        <v>-3.6875295267387962</v>
      </c>
      <c r="H264">
        <v>0.9601184888395623</v>
      </c>
    </row>
    <row r="265" spans="1:8" x14ac:dyDescent="0.35">
      <c r="A265" t="s">
        <v>70</v>
      </c>
      <c r="B265" t="s">
        <v>58</v>
      </c>
      <c r="C265" t="s">
        <v>40</v>
      </c>
      <c r="D265">
        <v>2020</v>
      </c>
      <c r="E265">
        <v>-6.3340086382144829</v>
      </c>
      <c r="F265">
        <v>-2.5216639551613449</v>
      </c>
      <c r="G265">
        <f t="shared" si="4"/>
        <v>3.812344683053138</v>
      </c>
      <c r="H265">
        <v>0.9601184888395623</v>
      </c>
    </row>
    <row r="266" spans="1:8" x14ac:dyDescent="0.35">
      <c r="A266" t="s">
        <v>70</v>
      </c>
      <c r="B266" t="s">
        <v>57</v>
      </c>
      <c r="C266" t="s">
        <v>38</v>
      </c>
      <c r="D266">
        <v>2021</v>
      </c>
      <c r="E266">
        <v>2.900169440971712</v>
      </c>
      <c r="F266">
        <v>2.6415720090220192</v>
      </c>
      <c r="G266">
        <f t="shared" si="4"/>
        <v>-0.25859743194969287</v>
      </c>
      <c r="H266">
        <v>0.91810496949040077</v>
      </c>
    </row>
    <row r="267" spans="1:8" x14ac:dyDescent="0.35">
      <c r="A267" t="s">
        <v>70</v>
      </c>
      <c r="B267" t="s">
        <v>59</v>
      </c>
      <c r="C267" t="s">
        <v>38</v>
      </c>
      <c r="D267">
        <v>2021</v>
      </c>
      <c r="E267">
        <v>3.4041276267937399</v>
      </c>
      <c r="F267">
        <v>2.6415720090220192</v>
      </c>
      <c r="G267">
        <f t="shared" si="4"/>
        <v>-0.76255561777172076</v>
      </c>
      <c r="H267">
        <v>0.91810496949040077</v>
      </c>
    </row>
    <row r="268" spans="1:8" x14ac:dyDescent="0.35">
      <c r="A268" t="s">
        <v>70</v>
      </c>
      <c r="B268" t="s">
        <v>58</v>
      </c>
      <c r="C268" t="s">
        <v>40</v>
      </c>
      <c r="D268">
        <v>2021</v>
      </c>
      <c r="E268">
        <v>3.6735608188213531</v>
      </c>
      <c r="F268">
        <v>2.6415720090220192</v>
      </c>
      <c r="G268">
        <f t="shared" si="4"/>
        <v>-1.0319888097993339</v>
      </c>
      <c r="H268">
        <v>0.91810496949040077</v>
      </c>
    </row>
    <row r="269" spans="1:8" x14ac:dyDescent="0.35">
      <c r="A269" t="s">
        <v>70</v>
      </c>
      <c r="B269" t="s">
        <v>60</v>
      </c>
      <c r="C269" t="s">
        <v>40</v>
      </c>
      <c r="D269">
        <v>2021</v>
      </c>
      <c r="E269">
        <v>2.739564988065335</v>
      </c>
      <c r="F269">
        <v>2.6415720090220192</v>
      </c>
      <c r="G269">
        <f t="shared" si="4"/>
        <v>-9.7992979043315831E-2</v>
      </c>
      <c r="H269">
        <v>0.91810496949040077</v>
      </c>
    </row>
    <row r="270" spans="1:8" x14ac:dyDescent="0.35">
      <c r="A270" t="s">
        <v>70</v>
      </c>
      <c r="B270" t="s">
        <v>59</v>
      </c>
      <c r="C270" t="s">
        <v>38</v>
      </c>
      <c r="D270">
        <v>2022</v>
      </c>
      <c r="E270">
        <v>2.8272245866406638</v>
      </c>
      <c r="F270">
        <v>0.76006291556467176</v>
      </c>
      <c r="G270">
        <f t="shared" si="4"/>
        <v>-2.0671616710759921</v>
      </c>
      <c r="H270">
        <v>0.84141991326698506</v>
      </c>
    </row>
    <row r="271" spans="1:8" x14ac:dyDescent="0.35">
      <c r="A271" t="s">
        <v>70</v>
      </c>
      <c r="B271" t="s">
        <v>61</v>
      </c>
      <c r="C271" t="s">
        <v>38</v>
      </c>
      <c r="D271">
        <v>2022</v>
      </c>
      <c r="E271">
        <v>2.327853537647107</v>
      </c>
      <c r="F271">
        <v>0.76006291556467176</v>
      </c>
      <c r="G271">
        <f t="shared" si="4"/>
        <v>-1.5677906220824354</v>
      </c>
      <c r="H271">
        <v>0.84141991326698506</v>
      </c>
    </row>
    <row r="272" spans="1:8" x14ac:dyDescent="0.35">
      <c r="A272" t="s">
        <v>70</v>
      </c>
      <c r="B272" t="s">
        <v>60</v>
      </c>
      <c r="C272" t="s">
        <v>40</v>
      </c>
      <c r="D272">
        <v>2022</v>
      </c>
      <c r="E272">
        <v>2.7517012411305108</v>
      </c>
      <c r="F272">
        <v>0.76006291556467176</v>
      </c>
      <c r="G272">
        <f t="shared" si="4"/>
        <v>-1.9916383255658392</v>
      </c>
      <c r="H272">
        <v>0.84141991326698506</v>
      </c>
    </row>
    <row r="273" spans="1:8" x14ac:dyDescent="0.35">
      <c r="A273" t="s">
        <v>70</v>
      </c>
      <c r="B273" t="s">
        <v>62</v>
      </c>
      <c r="C273" t="s">
        <v>40</v>
      </c>
      <c r="D273">
        <v>2022</v>
      </c>
      <c r="E273">
        <v>1.603112304026943</v>
      </c>
      <c r="F273">
        <v>0.76006291556467176</v>
      </c>
      <c r="G273">
        <f t="shared" si="4"/>
        <v>-0.84304938846227129</v>
      </c>
      <c r="H273">
        <v>0.84141991326698506</v>
      </c>
    </row>
    <row r="274" spans="1:8" x14ac:dyDescent="0.35">
      <c r="A274" t="s">
        <v>70</v>
      </c>
      <c r="B274" t="s">
        <v>61</v>
      </c>
      <c r="C274" t="s">
        <v>38</v>
      </c>
      <c r="D274">
        <v>2023</v>
      </c>
      <c r="E274">
        <v>0.23998786112824361</v>
      </c>
      <c r="F274">
        <v>-1.2980054053073831</v>
      </c>
      <c r="G274">
        <f t="shared" si="4"/>
        <v>-1.5379932664356266</v>
      </c>
      <c r="H274">
        <v>0.58353512654831619</v>
      </c>
    </row>
    <row r="275" spans="1:8" x14ac:dyDescent="0.35">
      <c r="A275" t="s">
        <v>70</v>
      </c>
      <c r="B275" t="s">
        <v>63</v>
      </c>
      <c r="C275" t="s">
        <v>38</v>
      </c>
      <c r="D275">
        <v>2023</v>
      </c>
      <c r="E275">
        <v>0.13705974715647609</v>
      </c>
      <c r="F275">
        <v>-1.2980054053073831</v>
      </c>
      <c r="G275">
        <f t="shared" si="4"/>
        <v>-1.4350651524638591</v>
      </c>
      <c r="H275">
        <v>0.58353512654831619</v>
      </c>
    </row>
    <row r="276" spans="1:8" x14ac:dyDescent="0.35">
      <c r="A276" t="s">
        <v>70</v>
      </c>
      <c r="B276" t="s">
        <v>62</v>
      </c>
      <c r="C276" t="s">
        <v>40</v>
      </c>
      <c r="D276">
        <v>2023</v>
      </c>
      <c r="E276">
        <v>1.664320363648697</v>
      </c>
      <c r="F276">
        <v>-1.2980054053073831</v>
      </c>
      <c r="G276">
        <f t="shared" si="4"/>
        <v>-2.96232576895608</v>
      </c>
      <c r="H276">
        <v>0.58353512654831619</v>
      </c>
    </row>
    <row r="277" spans="1:8" x14ac:dyDescent="0.35">
      <c r="A277" t="s">
        <v>70</v>
      </c>
      <c r="B277" t="s">
        <v>64</v>
      </c>
      <c r="C277" t="s">
        <v>40</v>
      </c>
      <c r="D277">
        <v>2023</v>
      </c>
      <c r="E277">
        <v>0.1978909161836295</v>
      </c>
      <c r="F277">
        <v>-1.2980054053073831</v>
      </c>
      <c r="G277">
        <f t="shared" si="4"/>
        <v>-1.4958963214910126</v>
      </c>
      <c r="H277">
        <v>0.58353512654831619</v>
      </c>
    </row>
    <row r="278" spans="1:8" x14ac:dyDescent="0.35">
      <c r="A278" t="s">
        <v>70</v>
      </c>
      <c r="B278" t="s">
        <v>63</v>
      </c>
      <c r="C278" t="s">
        <v>38</v>
      </c>
      <c r="D278">
        <v>2024</v>
      </c>
      <c r="E278">
        <v>0.82599219561030335</v>
      </c>
      <c r="F278">
        <v>0.8814466149882676</v>
      </c>
      <c r="G278">
        <f t="shared" si="4"/>
        <v>5.5454419377964248E-2</v>
      </c>
      <c r="H278">
        <v>0.19885093325215261</v>
      </c>
    </row>
    <row r="279" spans="1:8" x14ac:dyDescent="0.35">
      <c r="A279" t="s">
        <v>70</v>
      </c>
      <c r="B279" t="s">
        <v>65</v>
      </c>
      <c r="C279" t="s">
        <v>38</v>
      </c>
      <c r="D279">
        <v>2024</v>
      </c>
      <c r="E279">
        <v>-0.27816035844419051</v>
      </c>
      <c r="F279">
        <v>0.8814466149882676</v>
      </c>
      <c r="G279">
        <f t="shared" si="4"/>
        <v>1.1596069734324581</v>
      </c>
      <c r="H279">
        <v>0.19885093325215261</v>
      </c>
    </row>
    <row r="280" spans="1:8" x14ac:dyDescent="0.35">
      <c r="A280" t="s">
        <v>70</v>
      </c>
      <c r="B280" t="s">
        <v>64</v>
      </c>
      <c r="C280" t="s">
        <v>40</v>
      </c>
      <c r="D280">
        <v>2024</v>
      </c>
      <c r="E280">
        <v>1.375433393552461</v>
      </c>
      <c r="F280">
        <v>0.8814466149882676</v>
      </c>
      <c r="G280">
        <f t="shared" si="4"/>
        <v>-0.49398677856419337</v>
      </c>
      <c r="H280">
        <v>0.19885093325215261</v>
      </c>
    </row>
    <row r="281" spans="1:8" x14ac:dyDescent="0.35">
      <c r="A281" t="s">
        <v>70</v>
      </c>
      <c r="B281" t="s">
        <v>66</v>
      </c>
      <c r="C281" t="s">
        <v>40</v>
      </c>
      <c r="D281">
        <v>2024</v>
      </c>
      <c r="E281">
        <v>3.9573385924840387E-2</v>
      </c>
      <c r="F281">
        <v>0.8814466149882676</v>
      </c>
      <c r="G281">
        <f t="shared" si="4"/>
        <v>0.84187322906342721</v>
      </c>
      <c r="H281">
        <v>0.19885093325215261</v>
      </c>
    </row>
    <row r="282" spans="1:8" x14ac:dyDescent="0.35">
      <c r="A282" t="s">
        <v>70</v>
      </c>
      <c r="B282" t="s">
        <v>65</v>
      </c>
      <c r="C282" t="s">
        <v>38</v>
      </c>
      <c r="D282">
        <v>2025</v>
      </c>
      <c r="E282">
        <v>1.544507858030109</v>
      </c>
      <c r="F282">
        <v>0.79990149121373022</v>
      </c>
      <c r="G282">
        <f t="shared" si="4"/>
        <v>-0.74460636681637882</v>
      </c>
      <c r="H282">
        <v>0.1653796609584316</v>
      </c>
    </row>
    <row r="283" spans="1:8" x14ac:dyDescent="0.35">
      <c r="A283" t="s">
        <v>70</v>
      </c>
      <c r="B283" t="s">
        <v>71</v>
      </c>
      <c r="C283" t="s">
        <v>38</v>
      </c>
      <c r="D283">
        <v>2025</v>
      </c>
      <c r="E283">
        <v>7.5720238361931536E-2</v>
      </c>
      <c r="F283">
        <v>0.79990149121373022</v>
      </c>
      <c r="G283">
        <f t="shared" si="4"/>
        <v>0.72418125285179868</v>
      </c>
      <c r="H283">
        <v>0.1653796609584316</v>
      </c>
    </row>
    <row r="284" spans="1:8" x14ac:dyDescent="0.35">
      <c r="A284" t="s">
        <v>70</v>
      </c>
      <c r="B284" t="s">
        <v>66</v>
      </c>
      <c r="C284" t="s">
        <v>40</v>
      </c>
      <c r="D284">
        <v>2025</v>
      </c>
      <c r="E284">
        <v>1.3606562692519699</v>
      </c>
      <c r="F284">
        <v>0.79990149121373022</v>
      </c>
      <c r="G284">
        <f t="shared" si="4"/>
        <v>-0.5607547780382397</v>
      </c>
      <c r="H284">
        <v>0.1653796609584316</v>
      </c>
    </row>
    <row r="285" spans="1:8" x14ac:dyDescent="0.35">
      <c r="A285" t="s">
        <v>70</v>
      </c>
      <c r="B285" t="s">
        <v>72</v>
      </c>
      <c r="C285" t="s">
        <v>40</v>
      </c>
      <c r="D285">
        <v>2025</v>
      </c>
      <c r="E285">
        <v>0.97596362509042578</v>
      </c>
      <c r="F285">
        <v>0.79990149121373022</v>
      </c>
      <c r="G285">
        <f t="shared" si="4"/>
        <v>-0.17606213387669556</v>
      </c>
      <c r="H285">
        <v>0.1653796609584316</v>
      </c>
    </row>
    <row r="286" spans="1:8" x14ac:dyDescent="0.35">
      <c r="A286" t="s">
        <v>70</v>
      </c>
      <c r="B286" t="s">
        <v>71</v>
      </c>
      <c r="C286" t="s">
        <v>38</v>
      </c>
      <c r="D286">
        <v>2026</v>
      </c>
      <c r="E286">
        <v>0.90576609482633241</v>
      </c>
      <c r="G286" t="str">
        <f t="shared" si="4"/>
        <v/>
      </c>
      <c r="H286">
        <v>0.29060327203809921</v>
      </c>
    </row>
    <row r="287" spans="1:8" x14ac:dyDescent="0.35">
      <c r="A287" t="s">
        <v>70</v>
      </c>
      <c r="B287" t="s">
        <v>72</v>
      </c>
      <c r="C287" t="s">
        <v>40</v>
      </c>
      <c r="D287">
        <v>2026</v>
      </c>
      <c r="E287">
        <v>1.2769044165836569</v>
      </c>
      <c r="G287" t="str">
        <f t="shared" si="4"/>
        <v/>
      </c>
      <c r="H287">
        <v>0.29060327203809921</v>
      </c>
    </row>
    <row r="288" spans="1:8" x14ac:dyDescent="0.35">
      <c r="A288" t="s">
        <v>73</v>
      </c>
      <c r="B288" t="s">
        <v>37</v>
      </c>
      <c r="C288" t="s">
        <v>38</v>
      </c>
      <c r="D288">
        <v>2011</v>
      </c>
      <c r="E288">
        <v>1.6159410538217229</v>
      </c>
      <c r="F288">
        <v>2.4520659404670382</v>
      </c>
      <c r="G288">
        <f t="shared" si="4"/>
        <v>0.83612488664531526</v>
      </c>
      <c r="H288">
        <v>0.86455349240999857</v>
      </c>
    </row>
    <row r="289" spans="1:8" x14ac:dyDescent="0.35">
      <c r="A289" t="s">
        <v>73</v>
      </c>
      <c r="B289" t="s">
        <v>39</v>
      </c>
      <c r="C289" t="s">
        <v>40</v>
      </c>
      <c r="D289">
        <v>2011</v>
      </c>
      <c r="E289">
        <v>1.7720935903862369</v>
      </c>
      <c r="F289">
        <v>2.4520659404670382</v>
      </c>
      <c r="G289">
        <f t="shared" si="4"/>
        <v>0.67997235008080126</v>
      </c>
      <c r="H289">
        <v>0.86455349240999857</v>
      </c>
    </row>
    <row r="290" spans="1:8" x14ac:dyDescent="0.35">
      <c r="A290" t="s">
        <v>73</v>
      </c>
      <c r="B290" t="s">
        <v>37</v>
      </c>
      <c r="C290" t="s">
        <v>38</v>
      </c>
      <c r="D290">
        <v>2012</v>
      </c>
      <c r="E290">
        <v>0.55167308327404019</v>
      </c>
      <c r="F290">
        <v>0.226946609537066</v>
      </c>
      <c r="G290">
        <f t="shared" si="4"/>
        <v>-0.32472647373697416</v>
      </c>
      <c r="H290">
        <v>0.83359266727057346</v>
      </c>
    </row>
    <row r="291" spans="1:8" x14ac:dyDescent="0.35">
      <c r="A291" t="s">
        <v>73</v>
      </c>
      <c r="B291" t="s">
        <v>41</v>
      </c>
      <c r="C291" t="s">
        <v>38</v>
      </c>
      <c r="D291">
        <v>2012</v>
      </c>
      <c r="E291">
        <v>0.191602674222735</v>
      </c>
      <c r="F291">
        <v>0.226946609537066</v>
      </c>
      <c r="G291">
        <f t="shared" si="4"/>
        <v>3.5343935314330999E-2</v>
      </c>
      <c r="H291">
        <v>0.83359266727057346</v>
      </c>
    </row>
    <row r="292" spans="1:8" x14ac:dyDescent="0.35">
      <c r="A292" t="s">
        <v>73</v>
      </c>
      <c r="B292" t="s">
        <v>39</v>
      </c>
      <c r="C292" t="s">
        <v>40</v>
      </c>
      <c r="D292">
        <v>2012</v>
      </c>
      <c r="E292">
        <v>2.040883011076966</v>
      </c>
      <c r="F292">
        <v>0.226946609537066</v>
      </c>
      <c r="G292">
        <f t="shared" si="4"/>
        <v>-1.8139364015399</v>
      </c>
      <c r="H292">
        <v>0.83359266727057346</v>
      </c>
    </row>
    <row r="293" spans="1:8" x14ac:dyDescent="0.35">
      <c r="A293" t="s">
        <v>73</v>
      </c>
      <c r="B293" t="s">
        <v>42</v>
      </c>
      <c r="C293" t="s">
        <v>40</v>
      </c>
      <c r="D293">
        <v>2012</v>
      </c>
      <c r="E293">
        <v>0.47308017111291623</v>
      </c>
      <c r="F293">
        <v>0.226946609537066</v>
      </c>
      <c r="G293">
        <f t="shared" si="4"/>
        <v>-0.24613356157585023</v>
      </c>
      <c r="H293">
        <v>0.83359266727057346</v>
      </c>
    </row>
    <row r="294" spans="1:8" x14ac:dyDescent="0.35">
      <c r="A294" t="s">
        <v>73</v>
      </c>
      <c r="B294" t="s">
        <v>41</v>
      </c>
      <c r="C294" t="s">
        <v>38</v>
      </c>
      <c r="D294">
        <v>2013</v>
      </c>
      <c r="E294">
        <v>0.38047816820923058</v>
      </c>
      <c r="F294">
        <v>0.92634815984379837</v>
      </c>
      <c r="G294">
        <f t="shared" si="4"/>
        <v>0.54586999163456773</v>
      </c>
      <c r="H294">
        <v>0.6952933760342126</v>
      </c>
    </row>
    <row r="295" spans="1:8" x14ac:dyDescent="0.35">
      <c r="A295" t="s">
        <v>73</v>
      </c>
      <c r="B295" t="s">
        <v>43</v>
      </c>
      <c r="C295" t="s">
        <v>38</v>
      </c>
      <c r="D295">
        <v>2013</v>
      </c>
      <c r="E295">
        <v>0.21992165083872811</v>
      </c>
      <c r="F295">
        <v>0.92634815984379837</v>
      </c>
      <c r="G295">
        <f t="shared" si="4"/>
        <v>0.70642650900507031</v>
      </c>
      <c r="H295">
        <v>0.6952933760342126</v>
      </c>
    </row>
    <row r="296" spans="1:8" x14ac:dyDescent="0.35">
      <c r="A296" t="s">
        <v>73</v>
      </c>
      <c r="B296" t="s">
        <v>42</v>
      </c>
      <c r="C296" t="s">
        <v>40</v>
      </c>
      <c r="D296">
        <v>2013</v>
      </c>
      <c r="E296">
        <v>1.3369944796204569</v>
      </c>
      <c r="F296">
        <v>0.92634815984379837</v>
      </c>
      <c r="G296">
        <f t="shared" si="4"/>
        <v>-0.41064631977665855</v>
      </c>
      <c r="H296">
        <v>0.6952933760342126</v>
      </c>
    </row>
    <row r="297" spans="1:8" x14ac:dyDescent="0.35">
      <c r="A297" t="s">
        <v>73</v>
      </c>
      <c r="B297" t="s">
        <v>44</v>
      </c>
      <c r="C297" t="s">
        <v>40</v>
      </c>
      <c r="D297">
        <v>2013</v>
      </c>
      <c r="E297">
        <v>-9.6293692429949562E-2</v>
      </c>
      <c r="F297">
        <v>0.92634815984379837</v>
      </c>
      <c r="G297">
        <f t="shared" si="4"/>
        <v>1.0226418522737479</v>
      </c>
      <c r="H297">
        <v>0.6952933760342126</v>
      </c>
    </row>
    <row r="298" spans="1:8" x14ac:dyDescent="0.35">
      <c r="A298" t="s">
        <v>73</v>
      </c>
      <c r="B298" t="s">
        <v>43</v>
      </c>
      <c r="C298" t="s">
        <v>38</v>
      </c>
      <c r="D298">
        <v>2014</v>
      </c>
      <c r="E298">
        <v>0.91019216638974498</v>
      </c>
      <c r="F298">
        <v>0.99281792910282507</v>
      </c>
      <c r="G298">
        <f t="shared" si="4"/>
        <v>8.2625762713080086E-2</v>
      </c>
      <c r="H298">
        <v>-7.1145736829973161E-2</v>
      </c>
    </row>
    <row r="299" spans="1:8" x14ac:dyDescent="0.35">
      <c r="A299" t="s">
        <v>73</v>
      </c>
      <c r="B299" t="s">
        <v>45</v>
      </c>
      <c r="C299" t="s">
        <v>38</v>
      </c>
      <c r="D299">
        <v>2014</v>
      </c>
      <c r="E299">
        <v>0.31811884101464738</v>
      </c>
      <c r="F299">
        <v>0.99281792910282507</v>
      </c>
      <c r="G299">
        <f t="shared" si="4"/>
        <v>0.67469908808817769</v>
      </c>
      <c r="H299">
        <v>-7.1145736829973161E-2</v>
      </c>
    </row>
    <row r="300" spans="1:8" x14ac:dyDescent="0.35">
      <c r="A300" t="s">
        <v>73</v>
      </c>
      <c r="B300" t="s">
        <v>44</v>
      </c>
      <c r="C300" t="s">
        <v>40</v>
      </c>
      <c r="D300">
        <v>2014</v>
      </c>
      <c r="E300">
        <v>1.095437649770115</v>
      </c>
      <c r="F300">
        <v>0.99281792910282507</v>
      </c>
      <c r="G300">
        <f t="shared" si="4"/>
        <v>-0.10261972066728997</v>
      </c>
      <c r="H300">
        <v>-7.1145736829973161E-2</v>
      </c>
    </row>
    <row r="301" spans="1:8" x14ac:dyDescent="0.35">
      <c r="A301" t="s">
        <v>73</v>
      </c>
      <c r="B301" t="s">
        <v>46</v>
      </c>
      <c r="C301" t="s">
        <v>40</v>
      </c>
      <c r="D301">
        <v>2014</v>
      </c>
      <c r="E301">
        <v>0.97562348050159731</v>
      </c>
      <c r="F301">
        <v>0.99281792910282507</v>
      </c>
      <c r="G301">
        <f t="shared" si="4"/>
        <v>1.7194448601227763E-2</v>
      </c>
      <c r="H301">
        <v>-7.1145736829973161E-2</v>
      </c>
    </row>
    <row r="302" spans="1:8" x14ac:dyDescent="0.35">
      <c r="A302" t="s">
        <v>73</v>
      </c>
      <c r="B302" t="s">
        <v>45</v>
      </c>
      <c r="C302" t="s">
        <v>38</v>
      </c>
      <c r="D302">
        <v>2015</v>
      </c>
      <c r="E302">
        <v>0.69497120757255892</v>
      </c>
      <c r="F302">
        <v>0.99352475042418931</v>
      </c>
      <c r="G302">
        <f t="shared" si="4"/>
        <v>0.29855354285163038</v>
      </c>
      <c r="H302">
        <v>6.2533223926305753E-2</v>
      </c>
    </row>
    <row r="303" spans="1:8" x14ac:dyDescent="0.35">
      <c r="A303" t="s">
        <v>73</v>
      </c>
      <c r="B303" t="s">
        <v>47</v>
      </c>
      <c r="C303" t="s">
        <v>38</v>
      </c>
      <c r="D303">
        <v>2015</v>
      </c>
      <c r="E303">
        <v>1.0829396488476919</v>
      </c>
      <c r="F303">
        <v>0.99352475042418931</v>
      </c>
      <c r="G303">
        <f t="shared" si="4"/>
        <v>-8.9414898423502587E-2</v>
      </c>
      <c r="H303">
        <v>6.2533223926305753E-2</v>
      </c>
    </row>
    <row r="304" spans="1:8" x14ac:dyDescent="0.35">
      <c r="A304" t="s">
        <v>73</v>
      </c>
      <c r="B304" t="s">
        <v>46</v>
      </c>
      <c r="C304" t="s">
        <v>40</v>
      </c>
      <c r="D304">
        <v>2015</v>
      </c>
      <c r="E304">
        <v>1.4732524317461191</v>
      </c>
      <c r="F304">
        <v>0.99352475042418931</v>
      </c>
      <c r="G304">
        <f t="shared" si="4"/>
        <v>-0.47972768132192978</v>
      </c>
      <c r="H304">
        <v>6.2533223926305753E-2</v>
      </c>
    </row>
    <row r="305" spans="1:8" x14ac:dyDescent="0.35">
      <c r="A305" t="s">
        <v>73</v>
      </c>
      <c r="B305" t="s">
        <v>48</v>
      </c>
      <c r="C305" t="s">
        <v>40</v>
      </c>
      <c r="D305">
        <v>2015</v>
      </c>
      <c r="E305">
        <v>1.081963871443703</v>
      </c>
      <c r="F305">
        <v>0.99352475042418931</v>
      </c>
      <c r="G305">
        <f t="shared" si="4"/>
        <v>-8.8439121019513678E-2</v>
      </c>
      <c r="H305">
        <v>6.2533223926305753E-2</v>
      </c>
    </row>
    <row r="306" spans="1:8" x14ac:dyDescent="0.35">
      <c r="A306" t="s">
        <v>73</v>
      </c>
      <c r="B306" t="s">
        <v>47</v>
      </c>
      <c r="C306" t="s">
        <v>38</v>
      </c>
      <c r="D306">
        <v>2016</v>
      </c>
      <c r="E306">
        <v>1.4293943423307589</v>
      </c>
      <c r="F306">
        <v>0.7341997048160207</v>
      </c>
      <c r="G306">
        <f t="shared" si="4"/>
        <v>-0.6951946375147382</v>
      </c>
      <c r="H306">
        <v>0.40116276873655787</v>
      </c>
    </row>
    <row r="307" spans="1:8" x14ac:dyDescent="0.35">
      <c r="A307" t="s">
        <v>73</v>
      </c>
      <c r="B307" t="s">
        <v>49</v>
      </c>
      <c r="C307" t="s">
        <v>38</v>
      </c>
      <c r="D307">
        <v>2016</v>
      </c>
      <c r="E307">
        <v>1.254473785454957</v>
      </c>
      <c r="F307">
        <v>0.7341997048160207</v>
      </c>
      <c r="G307">
        <f t="shared" si="4"/>
        <v>-0.52027408063893632</v>
      </c>
      <c r="H307">
        <v>0.40116276873655787</v>
      </c>
    </row>
    <row r="308" spans="1:8" x14ac:dyDescent="0.35">
      <c r="A308" t="s">
        <v>73</v>
      </c>
      <c r="B308" t="s">
        <v>48</v>
      </c>
      <c r="C308" t="s">
        <v>40</v>
      </c>
      <c r="D308">
        <v>2016</v>
      </c>
      <c r="E308">
        <v>1.6816047146198001</v>
      </c>
      <c r="F308">
        <v>0.7341997048160207</v>
      </c>
      <c r="G308">
        <f t="shared" si="4"/>
        <v>-0.9474050098037794</v>
      </c>
      <c r="H308">
        <v>0.40116276873655787</v>
      </c>
    </row>
    <row r="309" spans="1:8" x14ac:dyDescent="0.35">
      <c r="A309" t="s">
        <v>73</v>
      </c>
      <c r="B309" t="s">
        <v>50</v>
      </c>
      <c r="C309" t="s">
        <v>40</v>
      </c>
      <c r="D309">
        <v>2016</v>
      </c>
      <c r="E309">
        <v>1.331417785335498</v>
      </c>
      <c r="F309">
        <v>0.7341997048160207</v>
      </c>
      <c r="G309">
        <f t="shared" si="4"/>
        <v>-0.59721808051947733</v>
      </c>
      <c r="H309">
        <v>0.40116276873655787</v>
      </c>
    </row>
    <row r="310" spans="1:8" x14ac:dyDescent="0.35">
      <c r="A310" t="s">
        <v>73</v>
      </c>
      <c r="B310" t="s">
        <v>49</v>
      </c>
      <c r="C310" t="s">
        <v>38</v>
      </c>
      <c r="D310">
        <v>2017</v>
      </c>
      <c r="E310">
        <v>1.3568331696729889</v>
      </c>
      <c r="F310">
        <v>2.2441414587468929</v>
      </c>
      <c r="G310">
        <f t="shared" si="4"/>
        <v>0.88730828907390391</v>
      </c>
      <c r="H310">
        <v>0.74423388640620014</v>
      </c>
    </row>
    <row r="311" spans="1:8" x14ac:dyDescent="0.35">
      <c r="A311" t="s">
        <v>73</v>
      </c>
      <c r="B311" t="s">
        <v>51</v>
      </c>
      <c r="C311" t="s">
        <v>38</v>
      </c>
      <c r="D311">
        <v>2017</v>
      </c>
      <c r="E311">
        <v>1.6108305416448809</v>
      </c>
      <c r="F311">
        <v>2.2441414587468929</v>
      </c>
      <c r="G311">
        <f t="shared" si="4"/>
        <v>0.63331091710201193</v>
      </c>
      <c r="H311">
        <v>0.74423388640620014</v>
      </c>
    </row>
    <row r="312" spans="1:8" x14ac:dyDescent="0.35">
      <c r="A312" t="s">
        <v>73</v>
      </c>
      <c r="B312" t="s">
        <v>50</v>
      </c>
      <c r="C312" t="s">
        <v>40</v>
      </c>
      <c r="D312">
        <v>2017</v>
      </c>
      <c r="E312">
        <v>1.686145619472357</v>
      </c>
      <c r="F312">
        <v>2.2441414587468929</v>
      </c>
      <c r="G312">
        <f t="shared" si="4"/>
        <v>0.55799583927453589</v>
      </c>
      <c r="H312">
        <v>0.74423388640620014</v>
      </c>
    </row>
    <row r="313" spans="1:8" x14ac:dyDescent="0.35">
      <c r="A313" t="s">
        <v>73</v>
      </c>
      <c r="B313" t="s">
        <v>52</v>
      </c>
      <c r="C313" t="s">
        <v>40</v>
      </c>
      <c r="D313">
        <v>2017</v>
      </c>
      <c r="E313">
        <v>1.353609964652547</v>
      </c>
      <c r="F313">
        <v>2.2441414587468929</v>
      </c>
      <c r="G313">
        <f t="shared" si="4"/>
        <v>0.89053149409434584</v>
      </c>
      <c r="H313">
        <v>0.74423388640620014</v>
      </c>
    </row>
    <row r="314" spans="1:8" x14ac:dyDescent="0.35">
      <c r="A314" t="s">
        <v>73</v>
      </c>
      <c r="B314" t="s">
        <v>51</v>
      </c>
      <c r="C314" t="s">
        <v>38</v>
      </c>
      <c r="D314">
        <v>2018</v>
      </c>
      <c r="E314">
        <v>1.745757461080699</v>
      </c>
      <c r="F314">
        <v>1.5720137685547519</v>
      </c>
      <c r="G314">
        <f t="shared" si="4"/>
        <v>-0.17374369252594701</v>
      </c>
      <c r="H314">
        <v>0.5622454958802221</v>
      </c>
    </row>
    <row r="315" spans="1:8" x14ac:dyDescent="0.35">
      <c r="A315" t="s">
        <v>73</v>
      </c>
      <c r="B315" t="s">
        <v>53</v>
      </c>
      <c r="C315" t="s">
        <v>38</v>
      </c>
      <c r="D315">
        <v>2018</v>
      </c>
      <c r="E315">
        <v>1.6664324661772369</v>
      </c>
      <c r="F315">
        <v>1.5720137685547519</v>
      </c>
      <c r="G315">
        <f t="shared" si="4"/>
        <v>-9.4418697622485004E-2</v>
      </c>
      <c r="H315">
        <v>0.5622454958802221</v>
      </c>
    </row>
    <row r="316" spans="1:8" x14ac:dyDescent="0.35">
      <c r="A316" t="s">
        <v>73</v>
      </c>
      <c r="B316" t="s">
        <v>52</v>
      </c>
      <c r="C316" t="s">
        <v>40</v>
      </c>
      <c r="D316">
        <v>2018</v>
      </c>
      <c r="E316">
        <v>1.72584962487905</v>
      </c>
      <c r="F316">
        <v>1.5720137685547519</v>
      </c>
      <c r="G316">
        <f t="shared" si="4"/>
        <v>-0.15383585632429808</v>
      </c>
      <c r="H316">
        <v>0.5622454958802221</v>
      </c>
    </row>
    <row r="317" spans="1:8" x14ac:dyDescent="0.35">
      <c r="A317" t="s">
        <v>73</v>
      </c>
      <c r="B317" t="s">
        <v>54</v>
      </c>
      <c r="C317" t="s">
        <v>40</v>
      </c>
      <c r="D317">
        <v>2018</v>
      </c>
      <c r="E317">
        <v>1.989603282667241</v>
      </c>
      <c r="F317">
        <v>1.5720137685547519</v>
      </c>
      <c r="G317">
        <f t="shared" si="4"/>
        <v>-0.41758951411248901</v>
      </c>
      <c r="H317">
        <v>0.5622454958802221</v>
      </c>
    </row>
    <row r="318" spans="1:8" x14ac:dyDescent="0.35">
      <c r="A318" t="s">
        <v>73</v>
      </c>
      <c r="B318" t="s">
        <v>53</v>
      </c>
      <c r="C318" t="s">
        <v>38</v>
      </c>
      <c r="D318">
        <v>2019</v>
      </c>
      <c r="E318">
        <v>1.641202261320762</v>
      </c>
      <c r="F318">
        <v>2.0796189403330492</v>
      </c>
      <c r="G318">
        <f t="shared" si="4"/>
        <v>0.4384166790122872</v>
      </c>
      <c r="H318">
        <v>0.89455061740559294</v>
      </c>
    </row>
    <row r="319" spans="1:8" x14ac:dyDescent="0.35">
      <c r="A319" t="s">
        <v>73</v>
      </c>
      <c r="B319" t="s">
        <v>55</v>
      </c>
      <c r="C319" t="s">
        <v>38</v>
      </c>
      <c r="D319">
        <v>2019</v>
      </c>
      <c r="E319">
        <v>1.2870082454169649</v>
      </c>
      <c r="F319">
        <v>2.0796189403330492</v>
      </c>
      <c r="G319">
        <f t="shared" si="4"/>
        <v>0.79261069491608427</v>
      </c>
      <c r="H319">
        <v>0.89455061740559294</v>
      </c>
    </row>
    <row r="320" spans="1:8" x14ac:dyDescent="0.35">
      <c r="A320" t="s">
        <v>73</v>
      </c>
      <c r="B320" t="s">
        <v>54</v>
      </c>
      <c r="C320" t="s">
        <v>40</v>
      </c>
      <c r="D320">
        <v>2019</v>
      </c>
      <c r="E320">
        <v>1.837933157898797</v>
      </c>
      <c r="F320">
        <v>2.0796189403330492</v>
      </c>
      <c r="G320">
        <f t="shared" si="4"/>
        <v>0.24168578243425221</v>
      </c>
      <c r="H320">
        <v>0.89455061740559294</v>
      </c>
    </row>
    <row r="321" spans="1:8" x14ac:dyDescent="0.35">
      <c r="A321" t="s">
        <v>73</v>
      </c>
      <c r="B321" t="s">
        <v>56</v>
      </c>
      <c r="C321" t="s">
        <v>40</v>
      </c>
      <c r="D321">
        <v>2019</v>
      </c>
      <c r="E321">
        <v>1.333589129915191</v>
      </c>
      <c r="F321">
        <v>2.0796189403330492</v>
      </c>
      <c r="G321">
        <f t="shared" si="4"/>
        <v>0.74602981041785821</v>
      </c>
      <c r="H321">
        <v>0.89455061740559294</v>
      </c>
    </row>
    <row r="322" spans="1:8" x14ac:dyDescent="0.35">
      <c r="A322" t="s">
        <v>73</v>
      </c>
      <c r="B322" t="s">
        <v>55</v>
      </c>
      <c r="C322" t="s">
        <v>38</v>
      </c>
      <c r="D322">
        <v>2020</v>
      </c>
      <c r="E322">
        <v>1.285387661815784</v>
      </c>
      <c r="F322">
        <v>-7.9120138942178206</v>
      </c>
      <c r="G322">
        <f t="shared" ref="G322:G385" si="5">IF(OR(F322="",E322=""),"",F322-E322)</f>
        <v>-9.1974015560336042</v>
      </c>
      <c r="H322">
        <v>0.92712779855354743</v>
      </c>
    </row>
    <row r="323" spans="1:8" x14ac:dyDescent="0.35">
      <c r="A323" t="s">
        <v>73</v>
      </c>
      <c r="B323" t="s">
        <v>57</v>
      </c>
      <c r="C323" t="s">
        <v>38</v>
      </c>
      <c r="D323">
        <v>2020</v>
      </c>
      <c r="E323">
        <v>-9.3511426009976422</v>
      </c>
      <c r="F323">
        <v>-7.9120138942178206</v>
      </c>
      <c r="G323">
        <f t="shared" si="5"/>
        <v>1.4391287067798215</v>
      </c>
      <c r="H323">
        <v>0.92712779855354743</v>
      </c>
    </row>
    <row r="324" spans="1:8" x14ac:dyDescent="0.35">
      <c r="A324" t="s">
        <v>73</v>
      </c>
      <c r="B324" t="s">
        <v>56</v>
      </c>
      <c r="C324" t="s">
        <v>40</v>
      </c>
      <c r="D324">
        <v>2020</v>
      </c>
      <c r="E324">
        <v>1.503749975943047</v>
      </c>
      <c r="F324">
        <v>-7.9120138942178206</v>
      </c>
      <c r="G324">
        <f t="shared" si="5"/>
        <v>-9.4157638701608679</v>
      </c>
      <c r="H324">
        <v>0.92712779855354743</v>
      </c>
    </row>
    <row r="325" spans="1:8" x14ac:dyDescent="0.35">
      <c r="A325" t="s">
        <v>73</v>
      </c>
      <c r="B325" t="s">
        <v>58</v>
      </c>
      <c r="C325" t="s">
        <v>40</v>
      </c>
      <c r="D325">
        <v>2020</v>
      </c>
      <c r="E325">
        <v>-8.2482980854368328</v>
      </c>
      <c r="F325">
        <v>-7.9120138942178206</v>
      </c>
      <c r="G325">
        <f t="shared" si="5"/>
        <v>0.33628419121901221</v>
      </c>
      <c r="H325">
        <v>0.92712779855354743</v>
      </c>
    </row>
    <row r="326" spans="1:8" x14ac:dyDescent="0.35">
      <c r="A326" t="s">
        <v>73</v>
      </c>
      <c r="B326" t="s">
        <v>57</v>
      </c>
      <c r="C326" t="s">
        <v>38</v>
      </c>
      <c r="D326">
        <v>2021</v>
      </c>
      <c r="E326">
        <v>5.7952659026178077</v>
      </c>
      <c r="F326">
        <v>6.5701884772546428</v>
      </c>
      <c r="G326">
        <f t="shared" si="5"/>
        <v>0.77492257463683512</v>
      </c>
      <c r="H326">
        <v>0.90405876958573828</v>
      </c>
    </row>
    <row r="327" spans="1:8" x14ac:dyDescent="0.35">
      <c r="A327" t="s">
        <v>73</v>
      </c>
      <c r="B327" t="s">
        <v>59</v>
      </c>
      <c r="C327" t="s">
        <v>38</v>
      </c>
      <c r="D327">
        <v>2021</v>
      </c>
      <c r="E327">
        <v>6.5425794292067074</v>
      </c>
      <c r="F327">
        <v>6.5701884772546428</v>
      </c>
      <c r="G327">
        <f t="shared" si="5"/>
        <v>2.7609048047935403E-2</v>
      </c>
      <c r="H327">
        <v>0.90405876958573828</v>
      </c>
    </row>
    <row r="328" spans="1:8" x14ac:dyDescent="0.35">
      <c r="A328" t="s">
        <v>73</v>
      </c>
      <c r="B328" t="s">
        <v>58</v>
      </c>
      <c r="C328" t="s">
        <v>40</v>
      </c>
      <c r="D328">
        <v>2021</v>
      </c>
      <c r="E328">
        <v>7.4011344913377686</v>
      </c>
      <c r="F328">
        <v>6.5701884772546428</v>
      </c>
      <c r="G328">
        <f t="shared" si="5"/>
        <v>-0.83094601408312574</v>
      </c>
      <c r="H328">
        <v>0.90405876958573828</v>
      </c>
    </row>
    <row r="329" spans="1:8" x14ac:dyDescent="0.35">
      <c r="A329" t="s">
        <v>73</v>
      </c>
      <c r="B329" t="s">
        <v>60</v>
      </c>
      <c r="C329" t="s">
        <v>40</v>
      </c>
      <c r="D329">
        <v>2021</v>
      </c>
      <c r="E329">
        <v>5.7147026734028614</v>
      </c>
      <c r="F329">
        <v>6.5701884772546428</v>
      </c>
      <c r="G329">
        <f t="shared" si="5"/>
        <v>0.85548580385178141</v>
      </c>
      <c r="H329">
        <v>0.90405876958573828</v>
      </c>
    </row>
    <row r="330" spans="1:8" x14ac:dyDescent="0.35">
      <c r="A330" t="s">
        <v>73</v>
      </c>
      <c r="B330" t="s">
        <v>59</v>
      </c>
      <c r="C330" t="s">
        <v>38</v>
      </c>
      <c r="D330">
        <v>2022</v>
      </c>
      <c r="E330">
        <v>3.7661475579403141</v>
      </c>
      <c r="F330">
        <v>2.761671160127166</v>
      </c>
      <c r="G330">
        <f t="shared" si="5"/>
        <v>-1.0044763978131481</v>
      </c>
      <c r="H330">
        <v>0.92165748687256943</v>
      </c>
    </row>
    <row r="331" spans="1:8" x14ac:dyDescent="0.35">
      <c r="A331" t="s">
        <v>73</v>
      </c>
      <c r="B331" t="s">
        <v>61</v>
      </c>
      <c r="C331" t="s">
        <v>38</v>
      </c>
      <c r="D331">
        <v>2022</v>
      </c>
      <c r="E331">
        <v>2.6294584401195249</v>
      </c>
      <c r="F331">
        <v>2.761671160127166</v>
      </c>
      <c r="G331">
        <f t="shared" si="5"/>
        <v>0.13221272000764106</v>
      </c>
      <c r="H331">
        <v>0.92165748687256943</v>
      </c>
    </row>
    <row r="332" spans="1:8" x14ac:dyDescent="0.35">
      <c r="A332" t="s">
        <v>73</v>
      </c>
      <c r="B332" t="s">
        <v>60</v>
      </c>
      <c r="C332" t="s">
        <v>40</v>
      </c>
      <c r="D332">
        <v>2022</v>
      </c>
      <c r="E332">
        <v>4.2114770737248453</v>
      </c>
      <c r="F332">
        <v>2.761671160127166</v>
      </c>
      <c r="G332">
        <f t="shared" si="5"/>
        <v>-1.4498059135976793</v>
      </c>
      <c r="H332">
        <v>0.92165748687256943</v>
      </c>
    </row>
    <row r="333" spans="1:8" x14ac:dyDescent="0.35">
      <c r="A333" t="s">
        <v>73</v>
      </c>
      <c r="B333" t="s">
        <v>62</v>
      </c>
      <c r="C333" t="s">
        <v>40</v>
      </c>
      <c r="D333">
        <v>2022</v>
      </c>
      <c r="E333">
        <v>3.0989524183168582</v>
      </c>
      <c r="F333">
        <v>2.761671160127166</v>
      </c>
      <c r="G333">
        <f t="shared" si="5"/>
        <v>-0.33728125818969223</v>
      </c>
      <c r="H333">
        <v>0.92165748687256943</v>
      </c>
    </row>
    <row r="334" spans="1:8" x14ac:dyDescent="0.35">
      <c r="A334" t="s">
        <v>73</v>
      </c>
      <c r="B334" t="s">
        <v>61</v>
      </c>
      <c r="C334" t="s">
        <v>38</v>
      </c>
      <c r="D334">
        <v>2023</v>
      </c>
      <c r="E334">
        <v>0.43950651458626311</v>
      </c>
      <c r="F334">
        <v>1.8022470831755071</v>
      </c>
      <c r="G334">
        <f t="shared" si="5"/>
        <v>1.362740568589244</v>
      </c>
      <c r="H334">
        <v>0.93042435960578862</v>
      </c>
    </row>
    <row r="335" spans="1:8" x14ac:dyDescent="0.35">
      <c r="A335" t="s">
        <v>73</v>
      </c>
      <c r="B335" t="s">
        <v>63</v>
      </c>
      <c r="C335" t="s">
        <v>38</v>
      </c>
      <c r="D335">
        <v>2023</v>
      </c>
      <c r="E335">
        <v>1.0022762950343991</v>
      </c>
      <c r="F335">
        <v>1.8022470831755071</v>
      </c>
      <c r="G335">
        <f t="shared" si="5"/>
        <v>0.799970788141108</v>
      </c>
      <c r="H335">
        <v>0.93042435960578862</v>
      </c>
    </row>
    <row r="336" spans="1:8" x14ac:dyDescent="0.35">
      <c r="A336" t="s">
        <v>73</v>
      </c>
      <c r="B336" t="s">
        <v>62</v>
      </c>
      <c r="C336" t="s">
        <v>40</v>
      </c>
      <c r="D336">
        <v>2023</v>
      </c>
      <c r="E336">
        <v>1.7691091240616961</v>
      </c>
      <c r="F336">
        <v>1.8022470831755071</v>
      </c>
      <c r="G336">
        <f t="shared" si="5"/>
        <v>3.3137959113811011E-2</v>
      </c>
      <c r="H336">
        <v>0.93042435960578862</v>
      </c>
    </row>
    <row r="337" spans="1:8" x14ac:dyDescent="0.35">
      <c r="A337" t="s">
        <v>73</v>
      </c>
      <c r="B337" t="s">
        <v>64</v>
      </c>
      <c r="C337" t="s">
        <v>40</v>
      </c>
      <c r="D337">
        <v>2023</v>
      </c>
      <c r="E337">
        <v>0.72426026364131868</v>
      </c>
      <c r="F337">
        <v>1.8022470831755071</v>
      </c>
      <c r="G337">
        <f t="shared" si="5"/>
        <v>1.0779868195341884</v>
      </c>
      <c r="H337">
        <v>0.93042435960578862</v>
      </c>
    </row>
    <row r="338" spans="1:8" x14ac:dyDescent="0.35">
      <c r="A338" t="s">
        <v>73</v>
      </c>
      <c r="B338" t="s">
        <v>63</v>
      </c>
      <c r="C338" t="s">
        <v>38</v>
      </c>
      <c r="D338">
        <v>2024</v>
      </c>
      <c r="E338">
        <v>1.2470954330068731</v>
      </c>
      <c r="F338">
        <v>1.4144828845553741</v>
      </c>
      <c r="G338">
        <f t="shared" si="5"/>
        <v>0.16738745154850099</v>
      </c>
      <c r="H338">
        <v>0.65431551417529998</v>
      </c>
    </row>
    <row r="339" spans="1:8" x14ac:dyDescent="0.35">
      <c r="A339" t="s">
        <v>73</v>
      </c>
      <c r="B339" t="s">
        <v>65</v>
      </c>
      <c r="C339" t="s">
        <v>38</v>
      </c>
      <c r="D339">
        <v>2024</v>
      </c>
      <c r="E339">
        <v>1.13903040986485</v>
      </c>
      <c r="F339">
        <v>1.4144828845553741</v>
      </c>
      <c r="G339">
        <f t="shared" si="5"/>
        <v>0.27545247469052403</v>
      </c>
      <c r="H339">
        <v>0.65431551417529998</v>
      </c>
    </row>
    <row r="340" spans="1:8" x14ac:dyDescent="0.35">
      <c r="A340" t="s">
        <v>73</v>
      </c>
      <c r="B340" t="s">
        <v>64</v>
      </c>
      <c r="C340" t="s">
        <v>40</v>
      </c>
      <c r="D340">
        <v>2024</v>
      </c>
      <c r="E340">
        <v>1.41860461240253</v>
      </c>
      <c r="F340">
        <v>1.4144828845553741</v>
      </c>
      <c r="G340">
        <f t="shared" si="5"/>
        <v>-4.1217278471559204E-3</v>
      </c>
      <c r="H340">
        <v>0.65431551417529998</v>
      </c>
    </row>
    <row r="341" spans="1:8" x14ac:dyDescent="0.35">
      <c r="A341" t="s">
        <v>73</v>
      </c>
      <c r="B341" t="s">
        <v>66</v>
      </c>
      <c r="C341" t="s">
        <v>40</v>
      </c>
      <c r="D341">
        <v>2024</v>
      </c>
      <c r="E341">
        <v>0.72851910514837304</v>
      </c>
      <c r="F341">
        <v>1.4144828845553741</v>
      </c>
      <c r="G341">
        <f t="shared" si="5"/>
        <v>0.68596377940700104</v>
      </c>
      <c r="H341">
        <v>0.65431551417529998</v>
      </c>
    </row>
    <row r="342" spans="1:8" x14ac:dyDescent="0.35">
      <c r="A342" t="s">
        <v>73</v>
      </c>
      <c r="B342" t="s">
        <v>65</v>
      </c>
      <c r="C342" t="s">
        <v>38</v>
      </c>
      <c r="D342">
        <v>2025</v>
      </c>
      <c r="E342">
        <v>0.82258828244963222</v>
      </c>
      <c r="F342">
        <v>0.88561946045636819</v>
      </c>
      <c r="G342">
        <f t="shared" si="5"/>
        <v>6.3031178006735966E-2</v>
      </c>
      <c r="H342">
        <v>7.4630748449780043E-3</v>
      </c>
    </row>
    <row r="343" spans="1:8" x14ac:dyDescent="0.35">
      <c r="A343" t="s">
        <v>73</v>
      </c>
      <c r="B343" t="s">
        <v>71</v>
      </c>
      <c r="C343" t="s">
        <v>38</v>
      </c>
      <c r="D343">
        <v>2025</v>
      </c>
      <c r="E343">
        <v>0.69714532745484004</v>
      </c>
      <c r="F343">
        <v>0.88561946045636819</v>
      </c>
      <c r="G343">
        <f t="shared" si="5"/>
        <v>0.18847413300152815</v>
      </c>
      <c r="H343">
        <v>7.4630748449780043E-3</v>
      </c>
    </row>
    <row r="344" spans="1:8" x14ac:dyDescent="0.35">
      <c r="A344" t="s">
        <v>73</v>
      </c>
      <c r="B344" t="s">
        <v>66</v>
      </c>
      <c r="C344" t="s">
        <v>40</v>
      </c>
      <c r="D344">
        <v>2025</v>
      </c>
      <c r="E344">
        <v>1.2594069979400271</v>
      </c>
      <c r="F344">
        <v>0.88561946045636819</v>
      </c>
      <c r="G344">
        <f t="shared" si="5"/>
        <v>-0.37378753748365889</v>
      </c>
      <c r="H344">
        <v>7.4630748449780043E-3</v>
      </c>
    </row>
    <row r="345" spans="1:8" x14ac:dyDescent="0.35">
      <c r="A345" t="s">
        <v>73</v>
      </c>
      <c r="B345" t="s">
        <v>72</v>
      </c>
      <c r="C345" t="s">
        <v>40</v>
      </c>
      <c r="D345">
        <v>2025</v>
      </c>
      <c r="E345">
        <v>0.57266269658549085</v>
      </c>
      <c r="F345">
        <v>0.88561946045636819</v>
      </c>
      <c r="G345">
        <f t="shared" si="5"/>
        <v>0.31295676387087734</v>
      </c>
      <c r="H345">
        <v>7.4630748449780043E-3</v>
      </c>
    </row>
    <row r="346" spans="1:8" x14ac:dyDescent="0.35">
      <c r="A346" t="s">
        <v>73</v>
      </c>
      <c r="B346" t="s">
        <v>71</v>
      </c>
      <c r="C346" t="s">
        <v>38</v>
      </c>
      <c r="D346">
        <v>2026</v>
      </c>
      <c r="E346">
        <v>0.92447634895047592</v>
      </c>
      <c r="G346" t="str">
        <f t="shared" si="5"/>
        <v/>
      </c>
      <c r="H346">
        <v>-2.2259896152862169E-2</v>
      </c>
    </row>
    <row r="347" spans="1:8" x14ac:dyDescent="0.35">
      <c r="A347" t="s">
        <v>73</v>
      </c>
      <c r="B347" t="s">
        <v>72</v>
      </c>
      <c r="C347" t="s">
        <v>40</v>
      </c>
      <c r="D347">
        <v>2026</v>
      </c>
      <c r="E347">
        <v>1.332665672326838</v>
      </c>
      <c r="G347" t="str">
        <f t="shared" si="5"/>
        <v/>
      </c>
      <c r="H347">
        <v>-2.2259896152862169E-2</v>
      </c>
    </row>
    <row r="348" spans="1:8" x14ac:dyDescent="0.35">
      <c r="A348" t="s">
        <v>74</v>
      </c>
      <c r="B348" t="s">
        <v>37</v>
      </c>
      <c r="C348" t="s">
        <v>38</v>
      </c>
      <c r="D348">
        <v>2011</v>
      </c>
      <c r="E348">
        <v>1.085473342594079</v>
      </c>
      <c r="F348">
        <v>1.585963389687955</v>
      </c>
      <c r="G348">
        <f t="shared" si="5"/>
        <v>0.50049004709387601</v>
      </c>
      <c r="H348">
        <v>0.62946516501811001</v>
      </c>
    </row>
    <row r="349" spans="1:8" x14ac:dyDescent="0.35">
      <c r="A349" t="s">
        <v>74</v>
      </c>
      <c r="B349" t="s">
        <v>39</v>
      </c>
      <c r="C349" t="s">
        <v>40</v>
      </c>
      <c r="D349">
        <v>2011</v>
      </c>
      <c r="E349">
        <v>0.64463752068673053</v>
      </c>
      <c r="F349">
        <v>1.585963389687955</v>
      </c>
      <c r="G349">
        <f t="shared" si="5"/>
        <v>0.9413258690012245</v>
      </c>
      <c r="H349">
        <v>0.62946516501811001</v>
      </c>
    </row>
    <row r="350" spans="1:8" x14ac:dyDescent="0.35">
      <c r="A350" t="s">
        <v>74</v>
      </c>
      <c r="B350" t="s">
        <v>37</v>
      </c>
      <c r="C350" t="s">
        <v>38</v>
      </c>
      <c r="D350">
        <v>2012</v>
      </c>
      <c r="E350">
        <v>1.0901130974096951</v>
      </c>
      <c r="F350">
        <v>-0.53795048916406796</v>
      </c>
      <c r="G350">
        <f t="shared" si="5"/>
        <v>-1.6280635865737629</v>
      </c>
      <c r="H350">
        <v>0.80455270009552871</v>
      </c>
    </row>
    <row r="351" spans="1:8" x14ac:dyDescent="0.35">
      <c r="A351" t="s">
        <v>74</v>
      </c>
      <c r="B351" t="s">
        <v>41</v>
      </c>
      <c r="C351" t="s">
        <v>38</v>
      </c>
      <c r="D351">
        <v>2012</v>
      </c>
      <c r="E351">
        <v>0.43127476645701268</v>
      </c>
      <c r="F351">
        <v>-0.53795048916406796</v>
      </c>
      <c r="G351">
        <f t="shared" si="5"/>
        <v>-0.96922525562108064</v>
      </c>
      <c r="H351">
        <v>0.80455270009552871</v>
      </c>
    </row>
    <row r="352" spans="1:8" x14ac:dyDescent="0.35">
      <c r="A352" t="s">
        <v>74</v>
      </c>
      <c r="B352" t="s">
        <v>39</v>
      </c>
      <c r="C352" t="s">
        <v>40</v>
      </c>
      <c r="D352">
        <v>2012</v>
      </c>
      <c r="E352">
        <v>1.915684733449208</v>
      </c>
      <c r="F352">
        <v>-0.53795048916406796</v>
      </c>
      <c r="G352">
        <f t="shared" si="5"/>
        <v>-2.453635222613276</v>
      </c>
      <c r="H352">
        <v>0.80455270009552871</v>
      </c>
    </row>
    <row r="353" spans="1:8" x14ac:dyDescent="0.35">
      <c r="A353" t="s">
        <v>74</v>
      </c>
      <c r="B353" t="s">
        <v>42</v>
      </c>
      <c r="C353" t="s">
        <v>40</v>
      </c>
      <c r="D353">
        <v>2012</v>
      </c>
      <c r="E353">
        <v>0.53448290594637626</v>
      </c>
      <c r="F353">
        <v>-0.53795048916406796</v>
      </c>
      <c r="G353">
        <f t="shared" si="5"/>
        <v>-1.0724333951104441</v>
      </c>
      <c r="H353">
        <v>0.80455270009552871</v>
      </c>
    </row>
    <row r="354" spans="1:8" x14ac:dyDescent="0.35">
      <c r="A354" t="s">
        <v>74</v>
      </c>
      <c r="B354" t="s">
        <v>41</v>
      </c>
      <c r="C354" t="s">
        <v>38</v>
      </c>
      <c r="D354">
        <v>2013</v>
      </c>
      <c r="E354">
        <v>1.055742969234341</v>
      </c>
      <c r="F354">
        <v>2.260800070139938</v>
      </c>
      <c r="G354">
        <f t="shared" si="5"/>
        <v>1.205057100905597</v>
      </c>
      <c r="H354">
        <v>0.8458141491316713</v>
      </c>
    </row>
    <row r="355" spans="1:8" x14ac:dyDescent="0.35">
      <c r="A355" t="s">
        <v>74</v>
      </c>
      <c r="B355" t="s">
        <v>43</v>
      </c>
      <c r="C355" t="s">
        <v>38</v>
      </c>
      <c r="D355">
        <v>2013</v>
      </c>
      <c r="E355">
        <v>0.30402131855349351</v>
      </c>
      <c r="F355">
        <v>2.260800070139938</v>
      </c>
      <c r="G355">
        <f t="shared" si="5"/>
        <v>1.9567787515864445</v>
      </c>
      <c r="H355">
        <v>0.8458141491316713</v>
      </c>
    </row>
    <row r="356" spans="1:8" x14ac:dyDescent="0.35">
      <c r="A356" t="s">
        <v>74</v>
      </c>
      <c r="B356" t="s">
        <v>42</v>
      </c>
      <c r="C356" t="s">
        <v>40</v>
      </c>
      <c r="D356">
        <v>2013</v>
      </c>
      <c r="E356">
        <v>1.9060651556646271</v>
      </c>
      <c r="F356">
        <v>2.260800070139938</v>
      </c>
      <c r="G356">
        <f t="shared" si="5"/>
        <v>0.35473491447531091</v>
      </c>
      <c r="H356">
        <v>0.8458141491316713</v>
      </c>
    </row>
    <row r="357" spans="1:8" x14ac:dyDescent="0.35">
      <c r="A357" t="s">
        <v>74</v>
      </c>
      <c r="B357" t="s">
        <v>44</v>
      </c>
      <c r="C357" t="s">
        <v>40</v>
      </c>
      <c r="D357">
        <v>2013</v>
      </c>
      <c r="E357">
        <v>1.069987927348115</v>
      </c>
      <c r="F357">
        <v>2.260800070139938</v>
      </c>
      <c r="G357">
        <f t="shared" si="5"/>
        <v>1.190812142791823</v>
      </c>
      <c r="H357">
        <v>0.8458141491316713</v>
      </c>
    </row>
    <row r="358" spans="1:8" x14ac:dyDescent="0.35">
      <c r="A358" t="s">
        <v>74</v>
      </c>
      <c r="B358" t="s">
        <v>43</v>
      </c>
      <c r="C358" t="s">
        <v>38</v>
      </c>
      <c r="D358">
        <v>2014</v>
      </c>
      <c r="E358">
        <v>1.703044407164489</v>
      </c>
      <c r="F358">
        <v>9.0504209935939262</v>
      </c>
      <c r="G358">
        <f t="shared" si="5"/>
        <v>7.3473765864294371</v>
      </c>
      <c r="H358">
        <v>0.49439163876765568</v>
      </c>
    </row>
    <row r="359" spans="1:8" x14ac:dyDescent="0.35">
      <c r="A359" t="s">
        <v>74</v>
      </c>
      <c r="B359" t="s">
        <v>45</v>
      </c>
      <c r="C359" t="s">
        <v>38</v>
      </c>
      <c r="D359">
        <v>2014</v>
      </c>
      <c r="E359">
        <v>4.6151910205822766</v>
      </c>
      <c r="F359">
        <v>9.0504209935939262</v>
      </c>
      <c r="G359">
        <f t="shared" si="5"/>
        <v>4.4352299730116496</v>
      </c>
      <c r="H359">
        <v>0.49439163876765568</v>
      </c>
    </row>
    <row r="360" spans="1:8" x14ac:dyDescent="0.35">
      <c r="A360" t="s">
        <v>74</v>
      </c>
      <c r="B360" t="s">
        <v>44</v>
      </c>
      <c r="C360" t="s">
        <v>40</v>
      </c>
      <c r="D360">
        <v>2014</v>
      </c>
      <c r="E360">
        <v>2.1762610607392712</v>
      </c>
      <c r="F360">
        <v>9.0504209935939262</v>
      </c>
      <c r="G360">
        <f t="shared" si="5"/>
        <v>6.8741599328546545</v>
      </c>
      <c r="H360">
        <v>0.49439163876765568</v>
      </c>
    </row>
    <row r="361" spans="1:8" x14ac:dyDescent="0.35">
      <c r="A361" t="s">
        <v>74</v>
      </c>
      <c r="B361" t="s">
        <v>46</v>
      </c>
      <c r="C361" t="s">
        <v>40</v>
      </c>
      <c r="D361">
        <v>2014</v>
      </c>
      <c r="E361">
        <v>1.740487538042057</v>
      </c>
      <c r="F361">
        <v>9.0504209935939262</v>
      </c>
      <c r="G361">
        <f t="shared" si="5"/>
        <v>7.3099334555518691</v>
      </c>
      <c r="H361">
        <v>0.49439163876765568</v>
      </c>
    </row>
    <row r="362" spans="1:8" x14ac:dyDescent="0.35">
      <c r="A362" t="s">
        <v>74</v>
      </c>
      <c r="B362" t="s">
        <v>45</v>
      </c>
      <c r="C362" t="s">
        <v>38</v>
      </c>
      <c r="D362">
        <v>2015</v>
      </c>
      <c r="E362">
        <v>3.6221665910883831</v>
      </c>
      <c r="F362">
        <v>21.950744654507421</v>
      </c>
      <c r="G362">
        <f t="shared" si="5"/>
        <v>18.328578063419037</v>
      </c>
      <c r="H362">
        <v>2.5527266581010271E-2</v>
      </c>
    </row>
    <row r="363" spans="1:8" x14ac:dyDescent="0.35">
      <c r="A363" t="s">
        <v>74</v>
      </c>
      <c r="B363" t="s">
        <v>47</v>
      </c>
      <c r="C363" t="s">
        <v>38</v>
      </c>
      <c r="D363">
        <v>2015</v>
      </c>
      <c r="E363">
        <v>6.0449344943167782</v>
      </c>
      <c r="F363">
        <v>21.950744654507421</v>
      </c>
      <c r="G363">
        <f t="shared" si="5"/>
        <v>15.905810160190644</v>
      </c>
      <c r="H363">
        <v>2.5527266581010271E-2</v>
      </c>
    </row>
    <row r="364" spans="1:8" x14ac:dyDescent="0.35">
      <c r="A364" t="s">
        <v>74</v>
      </c>
      <c r="B364" t="s">
        <v>46</v>
      </c>
      <c r="C364" t="s">
        <v>40</v>
      </c>
      <c r="D364">
        <v>2015</v>
      </c>
      <c r="E364">
        <v>2.99572233370986</v>
      </c>
      <c r="F364">
        <v>21.950744654507421</v>
      </c>
      <c r="G364">
        <f t="shared" si="5"/>
        <v>18.955022320797561</v>
      </c>
      <c r="H364">
        <v>2.5527266581010271E-2</v>
      </c>
    </row>
    <row r="365" spans="1:8" x14ac:dyDescent="0.35">
      <c r="A365" t="s">
        <v>74</v>
      </c>
      <c r="B365" t="s">
        <v>48</v>
      </c>
      <c r="C365" t="s">
        <v>40</v>
      </c>
      <c r="D365">
        <v>2015</v>
      </c>
      <c r="E365">
        <v>3.6070418929936339</v>
      </c>
      <c r="F365">
        <v>21.950744654507421</v>
      </c>
      <c r="G365">
        <f t="shared" si="5"/>
        <v>18.343702761513786</v>
      </c>
      <c r="H365">
        <v>2.5527266581010271E-2</v>
      </c>
    </row>
    <row r="366" spans="1:8" x14ac:dyDescent="0.35">
      <c r="A366" t="s">
        <v>74</v>
      </c>
      <c r="B366" t="s">
        <v>47</v>
      </c>
      <c r="C366" t="s">
        <v>38</v>
      </c>
      <c r="D366">
        <v>2016</v>
      </c>
      <c r="E366">
        <v>4.4841243342324866</v>
      </c>
      <c r="F366">
        <v>1.1725462785856491</v>
      </c>
      <c r="G366">
        <f t="shared" si="5"/>
        <v>-3.3115780556468373</v>
      </c>
      <c r="H366">
        <v>0.25910164240467398</v>
      </c>
    </row>
    <row r="367" spans="1:8" x14ac:dyDescent="0.35">
      <c r="A367" t="s">
        <v>74</v>
      </c>
      <c r="B367" t="s">
        <v>49</v>
      </c>
      <c r="C367" t="s">
        <v>38</v>
      </c>
      <c r="D367">
        <v>2016</v>
      </c>
      <c r="E367">
        <v>4.0884411162628984</v>
      </c>
      <c r="F367">
        <v>1.1725462785856491</v>
      </c>
      <c r="G367">
        <f t="shared" si="5"/>
        <v>-2.9158948376772491</v>
      </c>
      <c r="H367">
        <v>0.25910164240467398</v>
      </c>
    </row>
    <row r="368" spans="1:8" x14ac:dyDescent="0.35">
      <c r="A368" t="s">
        <v>74</v>
      </c>
      <c r="B368" t="s">
        <v>48</v>
      </c>
      <c r="C368" t="s">
        <v>40</v>
      </c>
      <c r="D368">
        <v>2016</v>
      </c>
      <c r="E368">
        <v>3.4764574668220138</v>
      </c>
      <c r="F368">
        <v>1.1725462785856491</v>
      </c>
      <c r="G368">
        <f t="shared" si="5"/>
        <v>-2.3039111882363645</v>
      </c>
      <c r="H368">
        <v>0.25910164240467398</v>
      </c>
    </row>
    <row r="369" spans="1:8" x14ac:dyDescent="0.35">
      <c r="A369" t="s">
        <v>74</v>
      </c>
      <c r="B369" t="s">
        <v>50</v>
      </c>
      <c r="C369" t="s">
        <v>40</v>
      </c>
      <c r="D369">
        <v>2016</v>
      </c>
      <c r="E369">
        <v>4.8687098071762858</v>
      </c>
      <c r="F369">
        <v>1.1725462785856491</v>
      </c>
      <c r="G369">
        <f t="shared" si="5"/>
        <v>-3.6961635285906365</v>
      </c>
      <c r="H369">
        <v>0.25910164240467398</v>
      </c>
    </row>
    <row r="370" spans="1:8" x14ac:dyDescent="0.35">
      <c r="A370" t="s">
        <v>74</v>
      </c>
      <c r="B370" t="s">
        <v>49</v>
      </c>
      <c r="C370" t="s">
        <v>38</v>
      </c>
      <c r="D370">
        <v>2017</v>
      </c>
      <c r="E370">
        <v>3.6014209648164601</v>
      </c>
      <c r="F370">
        <v>9.6242949957613337</v>
      </c>
      <c r="G370">
        <f t="shared" si="5"/>
        <v>6.0228740309448732</v>
      </c>
      <c r="H370">
        <v>0.54612187050093675</v>
      </c>
    </row>
    <row r="371" spans="1:8" x14ac:dyDescent="0.35">
      <c r="A371" t="s">
        <v>74</v>
      </c>
      <c r="B371" t="s">
        <v>51</v>
      </c>
      <c r="C371" t="s">
        <v>38</v>
      </c>
      <c r="D371">
        <v>2017</v>
      </c>
      <c r="E371">
        <v>4.8263025218790556</v>
      </c>
      <c r="F371">
        <v>9.6242949957613337</v>
      </c>
      <c r="G371">
        <f t="shared" si="5"/>
        <v>4.7979924738822781</v>
      </c>
      <c r="H371">
        <v>0.54612187050093675</v>
      </c>
    </row>
    <row r="372" spans="1:8" x14ac:dyDescent="0.35">
      <c r="A372" t="s">
        <v>74</v>
      </c>
      <c r="B372" t="s">
        <v>50</v>
      </c>
      <c r="C372" t="s">
        <v>40</v>
      </c>
      <c r="D372">
        <v>2017</v>
      </c>
      <c r="E372">
        <v>3.6717987560630938</v>
      </c>
      <c r="F372">
        <v>9.6242949957613337</v>
      </c>
      <c r="G372">
        <f t="shared" si="5"/>
        <v>5.9524962396982399</v>
      </c>
      <c r="H372">
        <v>0.54612187050093675</v>
      </c>
    </row>
    <row r="373" spans="1:8" x14ac:dyDescent="0.35">
      <c r="A373" t="s">
        <v>74</v>
      </c>
      <c r="B373" t="s">
        <v>52</v>
      </c>
      <c r="C373" t="s">
        <v>40</v>
      </c>
      <c r="D373">
        <v>2017</v>
      </c>
      <c r="E373">
        <v>3.9509452446526701</v>
      </c>
      <c r="F373">
        <v>9.6242949957613337</v>
      </c>
      <c r="G373">
        <f t="shared" si="5"/>
        <v>5.6733497511086632</v>
      </c>
      <c r="H373">
        <v>0.54612187050093675</v>
      </c>
    </row>
    <row r="374" spans="1:8" x14ac:dyDescent="0.35">
      <c r="A374" t="s">
        <v>74</v>
      </c>
      <c r="B374" t="s">
        <v>51</v>
      </c>
      <c r="C374" t="s">
        <v>38</v>
      </c>
      <c r="D374">
        <v>2018</v>
      </c>
      <c r="E374">
        <v>3.9055452515839528</v>
      </c>
      <c r="F374">
        <v>7.4446874521163222</v>
      </c>
      <c r="G374">
        <f t="shared" si="5"/>
        <v>3.5391422005323694</v>
      </c>
      <c r="H374">
        <v>0.34414813760761909</v>
      </c>
    </row>
    <row r="375" spans="1:8" x14ac:dyDescent="0.35">
      <c r="A375" t="s">
        <v>74</v>
      </c>
      <c r="B375" t="s">
        <v>53</v>
      </c>
      <c r="C375" t="s">
        <v>38</v>
      </c>
      <c r="D375">
        <v>2018</v>
      </c>
      <c r="E375">
        <v>7.8117760082768486</v>
      </c>
      <c r="F375">
        <v>7.4446874521163222</v>
      </c>
      <c r="G375">
        <f t="shared" si="5"/>
        <v>-0.36708855616052638</v>
      </c>
      <c r="H375">
        <v>0.34414813760761909</v>
      </c>
    </row>
    <row r="376" spans="1:8" x14ac:dyDescent="0.35">
      <c r="A376" t="s">
        <v>74</v>
      </c>
      <c r="B376" t="s">
        <v>52</v>
      </c>
      <c r="C376" t="s">
        <v>40</v>
      </c>
      <c r="D376">
        <v>2018</v>
      </c>
      <c r="E376">
        <v>3.6432271266646499</v>
      </c>
      <c r="F376">
        <v>7.4446874521163222</v>
      </c>
      <c r="G376">
        <f t="shared" si="5"/>
        <v>3.8014603254516723</v>
      </c>
      <c r="H376">
        <v>0.34414813760761909</v>
      </c>
    </row>
    <row r="377" spans="1:8" x14ac:dyDescent="0.35">
      <c r="A377" t="s">
        <v>74</v>
      </c>
      <c r="B377" t="s">
        <v>54</v>
      </c>
      <c r="C377" t="s">
        <v>40</v>
      </c>
      <c r="D377">
        <v>2018</v>
      </c>
      <c r="E377">
        <v>5.6808928025538163</v>
      </c>
      <c r="F377">
        <v>7.4446874521163222</v>
      </c>
      <c r="G377">
        <f t="shared" si="5"/>
        <v>1.7637946495625059</v>
      </c>
      <c r="H377">
        <v>0.34414813760761909</v>
      </c>
    </row>
    <row r="378" spans="1:8" x14ac:dyDescent="0.35">
      <c r="A378" t="s">
        <v>74</v>
      </c>
      <c r="B378" t="s">
        <v>53</v>
      </c>
      <c r="C378" t="s">
        <v>38</v>
      </c>
      <c r="D378">
        <v>2019</v>
      </c>
      <c r="E378">
        <v>4.5299756937161373</v>
      </c>
      <c r="F378">
        <v>4.8237638263446936</v>
      </c>
      <c r="G378">
        <f t="shared" si="5"/>
        <v>0.2937881326285563</v>
      </c>
      <c r="H378">
        <v>0.79719383190250992</v>
      </c>
    </row>
    <row r="379" spans="1:8" x14ac:dyDescent="0.35">
      <c r="A379" t="s">
        <v>74</v>
      </c>
      <c r="B379" t="s">
        <v>55</v>
      </c>
      <c r="C379" t="s">
        <v>38</v>
      </c>
      <c r="D379">
        <v>2019</v>
      </c>
      <c r="E379">
        <v>5.6355935792373302</v>
      </c>
      <c r="F379">
        <v>4.8237638263446936</v>
      </c>
      <c r="G379">
        <f t="shared" si="5"/>
        <v>-0.81182975289263659</v>
      </c>
      <c r="H379">
        <v>0.79719383190250992</v>
      </c>
    </row>
    <row r="380" spans="1:8" x14ac:dyDescent="0.35">
      <c r="A380" t="s">
        <v>74</v>
      </c>
      <c r="B380" t="s">
        <v>54</v>
      </c>
      <c r="C380" t="s">
        <v>40</v>
      </c>
      <c r="D380">
        <v>2019</v>
      </c>
      <c r="E380">
        <v>4.058674421459818</v>
      </c>
      <c r="F380">
        <v>4.8237638263446936</v>
      </c>
      <c r="G380">
        <f t="shared" si="5"/>
        <v>0.76508940488487553</v>
      </c>
      <c r="H380">
        <v>0.79719383190250992</v>
      </c>
    </row>
    <row r="381" spans="1:8" x14ac:dyDescent="0.35">
      <c r="A381" t="s">
        <v>74</v>
      </c>
      <c r="B381" t="s">
        <v>56</v>
      </c>
      <c r="C381" t="s">
        <v>40</v>
      </c>
      <c r="D381">
        <v>2019</v>
      </c>
      <c r="E381">
        <v>3.759569376747196</v>
      </c>
      <c r="F381">
        <v>4.8237638263446936</v>
      </c>
      <c r="G381">
        <f t="shared" si="5"/>
        <v>1.0641944495974975</v>
      </c>
      <c r="H381">
        <v>0.79719383190250992</v>
      </c>
    </row>
    <row r="382" spans="1:8" x14ac:dyDescent="0.35">
      <c r="A382" t="s">
        <v>74</v>
      </c>
      <c r="B382" t="s">
        <v>55</v>
      </c>
      <c r="C382" t="s">
        <v>38</v>
      </c>
      <c r="D382">
        <v>2020</v>
      </c>
      <c r="E382">
        <v>3.528571869780794</v>
      </c>
      <c r="F382">
        <v>6.9863814303713827</v>
      </c>
      <c r="G382">
        <f t="shared" si="5"/>
        <v>3.4578095605905887</v>
      </c>
      <c r="H382">
        <v>0.95435812659996266</v>
      </c>
    </row>
    <row r="383" spans="1:8" x14ac:dyDescent="0.35">
      <c r="A383" t="s">
        <v>74</v>
      </c>
      <c r="B383" t="s">
        <v>57</v>
      </c>
      <c r="C383" t="s">
        <v>38</v>
      </c>
      <c r="D383">
        <v>2020</v>
      </c>
      <c r="E383">
        <v>-2.3373996171914708</v>
      </c>
      <c r="F383">
        <v>6.9863814303713827</v>
      </c>
      <c r="G383">
        <f t="shared" si="5"/>
        <v>9.3237810475628535</v>
      </c>
      <c r="H383">
        <v>0.95435812659996266</v>
      </c>
    </row>
    <row r="384" spans="1:8" x14ac:dyDescent="0.35">
      <c r="A384" t="s">
        <v>74</v>
      </c>
      <c r="B384" t="s">
        <v>56</v>
      </c>
      <c r="C384" t="s">
        <v>40</v>
      </c>
      <c r="D384">
        <v>2020</v>
      </c>
      <c r="E384">
        <v>3.3676156234285992</v>
      </c>
      <c r="F384">
        <v>6.9863814303713827</v>
      </c>
      <c r="G384">
        <f t="shared" si="5"/>
        <v>3.6187658069427835</v>
      </c>
      <c r="H384">
        <v>0.95435812659996266</v>
      </c>
    </row>
    <row r="385" spans="1:8" x14ac:dyDescent="0.35">
      <c r="A385" t="s">
        <v>74</v>
      </c>
      <c r="B385" t="s">
        <v>58</v>
      </c>
      <c r="C385" t="s">
        <v>40</v>
      </c>
      <c r="D385">
        <v>2020</v>
      </c>
      <c r="E385">
        <v>-7.9470480138547073</v>
      </c>
      <c r="F385">
        <v>6.9863814303713827</v>
      </c>
      <c r="G385">
        <f t="shared" si="5"/>
        <v>14.933429444226089</v>
      </c>
      <c r="H385">
        <v>0.95435812659996266</v>
      </c>
    </row>
    <row r="386" spans="1:8" x14ac:dyDescent="0.35">
      <c r="A386" t="s">
        <v>74</v>
      </c>
      <c r="B386" t="s">
        <v>57</v>
      </c>
      <c r="C386" t="s">
        <v>38</v>
      </c>
      <c r="D386">
        <v>2021</v>
      </c>
      <c r="E386">
        <v>2.947813244873676</v>
      </c>
      <c r="F386">
        <v>15.1246997065809</v>
      </c>
      <c r="G386">
        <f t="shared" ref="G386:G449" si="6">IF(OR(F386="",E386=""),"",F386-E386)</f>
        <v>12.176886461707223</v>
      </c>
      <c r="H386">
        <v>0.9340270359183438</v>
      </c>
    </row>
    <row r="387" spans="1:8" x14ac:dyDescent="0.35">
      <c r="A387" t="s">
        <v>74</v>
      </c>
      <c r="B387" t="s">
        <v>59</v>
      </c>
      <c r="C387" t="s">
        <v>38</v>
      </c>
      <c r="D387">
        <v>2021</v>
      </c>
      <c r="E387">
        <v>14.562981111404421</v>
      </c>
      <c r="F387">
        <v>15.1246997065809</v>
      </c>
      <c r="G387">
        <f t="shared" si="6"/>
        <v>0.5617185951764796</v>
      </c>
      <c r="H387">
        <v>0.9340270359183438</v>
      </c>
    </row>
    <row r="388" spans="1:8" x14ac:dyDescent="0.35">
      <c r="A388" t="s">
        <v>74</v>
      </c>
      <c r="B388" t="s">
        <v>58</v>
      </c>
      <c r="C388" t="s">
        <v>40</v>
      </c>
      <c r="D388">
        <v>2021</v>
      </c>
      <c r="E388">
        <v>6.0844415228506374</v>
      </c>
      <c r="F388">
        <v>15.1246997065809</v>
      </c>
      <c r="G388">
        <f t="shared" si="6"/>
        <v>9.0402581837302627</v>
      </c>
      <c r="H388">
        <v>0.9340270359183438</v>
      </c>
    </row>
    <row r="389" spans="1:8" x14ac:dyDescent="0.35">
      <c r="A389" t="s">
        <v>74</v>
      </c>
      <c r="B389" t="s">
        <v>60</v>
      </c>
      <c r="C389" t="s">
        <v>40</v>
      </c>
      <c r="D389">
        <v>2021</v>
      </c>
      <c r="E389">
        <v>4.5993257541988797</v>
      </c>
      <c r="F389">
        <v>15.1246997065809</v>
      </c>
      <c r="G389">
        <f t="shared" si="6"/>
        <v>10.52537395238202</v>
      </c>
      <c r="H389">
        <v>0.9340270359183438</v>
      </c>
    </row>
    <row r="390" spans="1:8" x14ac:dyDescent="0.35">
      <c r="A390" t="s">
        <v>74</v>
      </c>
      <c r="B390" t="s">
        <v>59</v>
      </c>
      <c r="C390" t="s">
        <v>38</v>
      </c>
      <c r="D390">
        <v>2022</v>
      </c>
      <c r="E390">
        <v>5.0918722980731523</v>
      </c>
      <c r="F390">
        <v>7.9894443369245964</v>
      </c>
      <c r="G390">
        <f t="shared" si="6"/>
        <v>2.8975720388514441</v>
      </c>
      <c r="H390">
        <v>0.82302044815068109</v>
      </c>
    </row>
    <row r="391" spans="1:8" x14ac:dyDescent="0.35">
      <c r="A391" t="s">
        <v>74</v>
      </c>
      <c r="B391" t="s">
        <v>61</v>
      </c>
      <c r="C391" t="s">
        <v>38</v>
      </c>
      <c r="D391">
        <v>2022</v>
      </c>
      <c r="E391">
        <v>7.8710837662645083</v>
      </c>
      <c r="F391">
        <v>7.9894443369245964</v>
      </c>
      <c r="G391">
        <f t="shared" si="6"/>
        <v>0.11836057066008809</v>
      </c>
      <c r="H391">
        <v>0.82302044815068109</v>
      </c>
    </row>
    <row r="392" spans="1:8" x14ac:dyDescent="0.35">
      <c r="A392" t="s">
        <v>74</v>
      </c>
      <c r="B392" t="s">
        <v>60</v>
      </c>
      <c r="C392" t="s">
        <v>40</v>
      </c>
      <c r="D392">
        <v>2022</v>
      </c>
      <c r="E392">
        <v>4.9759868399277041</v>
      </c>
      <c r="F392">
        <v>7.9894443369245964</v>
      </c>
      <c r="G392">
        <f t="shared" si="6"/>
        <v>3.0134574969968924</v>
      </c>
      <c r="H392">
        <v>0.82302044815068109</v>
      </c>
    </row>
    <row r="393" spans="1:8" x14ac:dyDescent="0.35">
      <c r="A393" t="s">
        <v>74</v>
      </c>
      <c r="B393" t="s">
        <v>62</v>
      </c>
      <c r="C393" t="s">
        <v>40</v>
      </c>
      <c r="D393">
        <v>2022</v>
      </c>
      <c r="E393">
        <v>5.3816861962496354</v>
      </c>
      <c r="F393">
        <v>7.9894443369245964</v>
      </c>
      <c r="G393">
        <f t="shared" si="6"/>
        <v>2.607758140674961</v>
      </c>
      <c r="H393">
        <v>0.82302044815068109</v>
      </c>
    </row>
    <row r="394" spans="1:8" x14ac:dyDescent="0.35">
      <c r="A394" t="s">
        <v>74</v>
      </c>
      <c r="B394" t="s">
        <v>61</v>
      </c>
      <c r="C394" t="s">
        <v>38</v>
      </c>
      <c r="D394">
        <v>2023</v>
      </c>
      <c r="E394">
        <v>3.172255506856847</v>
      </c>
      <c r="F394">
        <v>-3.5205103013764418</v>
      </c>
      <c r="G394">
        <f t="shared" si="6"/>
        <v>-6.6927658082332888</v>
      </c>
      <c r="H394">
        <v>0.83256444009002695</v>
      </c>
    </row>
    <row r="395" spans="1:8" x14ac:dyDescent="0.35">
      <c r="A395" t="s">
        <v>74</v>
      </c>
      <c r="B395" t="s">
        <v>63</v>
      </c>
      <c r="C395" t="s">
        <v>38</v>
      </c>
      <c r="D395">
        <v>2023</v>
      </c>
      <c r="E395">
        <v>-0.93495600507882415</v>
      </c>
      <c r="F395">
        <v>-3.5205103013764418</v>
      </c>
      <c r="G395">
        <f t="shared" si="6"/>
        <v>-2.5855542962976177</v>
      </c>
      <c r="H395">
        <v>0.83256444009002695</v>
      </c>
    </row>
    <row r="396" spans="1:8" x14ac:dyDescent="0.35">
      <c r="A396" t="s">
        <v>74</v>
      </c>
      <c r="B396" t="s">
        <v>62</v>
      </c>
      <c r="C396" t="s">
        <v>40</v>
      </c>
      <c r="D396">
        <v>2023</v>
      </c>
      <c r="E396">
        <v>4.4348314017168322</v>
      </c>
      <c r="F396">
        <v>-3.5205103013764418</v>
      </c>
      <c r="G396">
        <f t="shared" si="6"/>
        <v>-7.955341703093274</v>
      </c>
      <c r="H396">
        <v>0.83256444009002695</v>
      </c>
    </row>
    <row r="397" spans="1:8" x14ac:dyDescent="0.35">
      <c r="A397" t="s">
        <v>74</v>
      </c>
      <c r="B397" t="s">
        <v>64</v>
      </c>
      <c r="C397" t="s">
        <v>40</v>
      </c>
      <c r="D397">
        <v>2023</v>
      </c>
      <c r="E397">
        <v>5.5170730455133654</v>
      </c>
      <c r="F397">
        <v>-3.5205103013764418</v>
      </c>
      <c r="G397">
        <f t="shared" si="6"/>
        <v>-9.0375833468898072</v>
      </c>
      <c r="H397">
        <v>0.83256444009002695</v>
      </c>
    </row>
    <row r="398" spans="1:8" x14ac:dyDescent="0.35">
      <c r="A398" t="s">
        <v>74</v>
      </c>
      <c r="B398" t="s">
        <v>63</v>
      </c>
      <c r="C398" t="s">
        <v>38</v>
      </c>
      <c r="D398">
        <v>2024</v>
      </c>
      <c r="E398">
        <v>3.0440640134462789</v>
      </c>
      <c r="F398">
        <v>3.6203795629134459</v>
      </c>
      <c r="G398">
        <f t="shared" si="6"/>
        <v>0.57631554946716701</v>
      </c>
      <c r="H398">
        <v>0.6431194191189592</v>
      </c>
    </row>
    <row r="399" spans="1:8" x14ac:dyDescent="0.35">
      <c r="A399" t="s">
        <v>74</v>
      </c>
      <c r="B399" t="s">
        <v>65</v>
      </c>
      <c r="C399" t="s">
        <v>38</v>
      </c>
      <c r="D399">
        <v>2024</v>
      </c>
      <c r="E399">
        <v>-0.54062635287741578</v>
      </c>
      <c r="F399">
        <v>3.6203795629134459</v>
      </c>
      <c r="G399">
        <f t="shared" si="6"/>
        <v>4.1610059157908612</v>
      </c>
      <c r="H399">
        <v>0.6431194191189592</v>
      </c>
    </row>
    <row r="400" spans="1:8" x14ac:dyDescent="0.35">
      <c r="A400" t="s">
        <v>74</v>
      </c>
      <c r="B400" t="s">
        <v>64</v>
      </c>
      <c r="C400" t="s">
        <v>40</v>
      </c>
      <c r="D400">
        <v>2024</v>
      </c>
      <c r="E400">
        <v>4.9679452562146009</v>
      </c>
      <c r="F400">
        <v>3.6203795629134459</v>
      </c>
      <c r="G400">
        <f t="shared" si="6"/>
        <v>-1.3475656933011551</v>
      </c>
      <c r="H400">
        <v>0.6431194191189592</v>
      </c>
    </row>
    <row r="401" spans="1:8" x14ac:dyDescent="0.35">
      <c r="A401" t="s">
        <v>74</v>
      </c>
      <c r="B401" t="s">
        <v>66</v>
      </c>
      <c r="C401" t="s">
        <v>40</v>
      </c>
      <c r="D401">
        <v>2024</v>
      </c>
      <c r="E401">
        <v>1.2437124663212009</v>
      </c>
      <c r="F401">
        <v>3.6203795629134459</v>
      </c>
      <c r="G401">
        <f t="shared" si="6"/>
        <v>2.3766670965922447</v>
      </c>
      <c r="H401">
        <v>0.6431194191189592</v>
      </c>
    </row>
    <row r="402" spans="1:8" x14ac:dyDescent="0.35">
      <c r="A402" t="s">
        <v>74</v>
      </c>
      <c r="B402" t="s">
        <v>65</v>
      </c>
      <c r="C402" t="s">
        <v>38</v>
      </c>
      <c r="D402">
        <v>2025</v>
      </c>
      <c r="E402">
        <v>4.023669914633099</v>
      </c>
      <c r="F402">
        <v>7.7791754385506806</v>
      </c>
      <c r="G402">
        <f t="shared" si="6"/>
        <v>3.7555055239175816</v>
      </c>
      <c r="H402">
        <v>0.32092170257034919</v>
      </c>
    </row>
    <row r="403" spans="1:8" x14ac:dyDescent="0.35">
      <c r="A403" t="s">
        <v>74</v>
      </c>
      <c r="B403" t="s">
        <v>71</v>
      </c>
      <c r="C403" t="s">
        <v>38</v>
      </c>
      <c r="D403">
        <v>2025</v>
      </c>
      <c r="E403">
        <v>10.65081995793598</v>
      </c>
      <c r="F403">
        <v>7.7791754385506806</v>
      </c>
      <c r="G403">
        <f t="shared" si="6"/>
        <v>-2.8716445193852991</v>
      </c>
      <c r="H403">
        <v>0.32092170257034919</v>
      </c>
    </row>
    <row r="404" spans="1:8" x14ac:dyDescent="0.35">
      <c r="A404" t="s">
        <v>74</v>
      </c>
      <c r="B404" t="s">
        <v>66</v>
      </c>
      <c r="C404" t="s">
        <v>40</v>
      </c>
      <c r="D404">
        <v>2025</v>
      </c>
      <c r="E404">
        <v>3.5927766013469591</v>
      </c>
      <c r="F404">
        <v>7.7791754385506806</v>
      </c>
      <c r="G404">
        <f t="shared" si="6"/>
        <v>4.186398837203722</v>
      </c>
      <c r="H404">
        <v>0.32092170257034919</v>
      </c>
    </row>
    <row r="405" spans="1:8" x14ac:dyDescent="0.35">
      <c r="A405" t="s">
        <v>74</v>
      </c>
      <c r="B405" t="s">
        <v>72</v>
      </c>
      <c r="C405" t="s">
        <v>40</v>
      </c>
      <c r="D405">
        <v>2025</v>
      </c>
      <c r="E405">
        <v>3.377198218825495</v>
      </c>
      <c r="F405">
        <v>7.7791754385506806</v>
      </c>
      <c r="G405">
        <f t="shared" si="6"/>
        <v>4.4019772197251861</v>
      </c>
      <c r="H405">
        <v>0.32092170257034919</v>
      </c>
    </row>
    <row r="406" spans="1:8" x14ac:dyDescent="0.35">
      <c r="A406" t="s">
        <v>74</v>
      </c>
      <c r="B406" t="s">
        <v>71</v>
      </c>
      <c r="C406" t="s">
        <v>38</v>
      </c>
      <c r="D406">
        <v>2026</v>
      </c>
      <c r="E406">
        <v>0.2094530818921525</v>
      </c>
      <c r="G406" t="str">
        <f t="shared" si="6"/>
        <v/>
      </c>
      <c r="H406">
        <v>0.35395753132631119</v>
      </c>
    </row>
    <row r="407" spans="1:8" x14ac:dyDescent="0.35">
      <c r="A407" t="s">
        <v>74</v>
      </c>
      <c r="B407" t="s">
        <v>72</v>
      </c>
      <c r="C407" t="s">
        <v>40</v>
      </c>
      <c r="D407">
        <v>2026</v>
      </c>
      <c r="E407">
        <v>2.459515994483374</v>
      </c>
      <c r="G407" t="str">
        <f t="shared" si="6"/>
        <v/>
      </c>
      <c r="H407">
        <v>0.35395753132631119</v>
      </c>
    </row>
    <row r="408" spans="1:8" x14ac:dyDescent="0.35">
      <c r="A408" t="s">
        <v>75</v>
      </c>
      <c r="B408" t="s">
        <v>37</v>
      </c>
      <c r="C408" t="s">
        <v>38</v>
      </c>
      <c r="D408">
        <v>2011</v>
      </c>
      <c r="E408">
        <v>0.53999066387708794</v>
      </c>
      <c r="F408">
        <v>0.85331162783846093</v>
      </c>
      <c r="G408">
        <f t="shared" si="6"/>
        <v>0.31332096396137299</v>
      </c>
      <c r="H408">
        <v>0.81763903391524484</v>
      </c>
    </row>
    <row r="409" spans="1:8" x14ac:dyDescent="0.35">
      <c r="A409" t="s">
        <v>75</v>
      </c>
      <c r="B409" t="s">
        <v>39</v>
      </c>
      <c r="C409" t="s">
        <v>40</v>
      </c>
      <c r="D409">
        <v>2011</v>
      </c>
      <c r="E409">
        <v>0.95974398092302238</v>
      </c>
      <c r="F409">
        <v>0.85331162783846093</v>
      </c>
      <c r="G409">
        <f t="shared" si="6"/>
        <v>-0.10643235308456145</v>
      </c>
      <c r="H409">
        <v>0.81763903391524484</v>
      </c>
    </row>
    <row r="410" spans="1:8" x14ac:dyDescent="0.35">
      <c r="A410" t="s">
        <v>75</v>
      </c>
      <c r="B410" t="s">
        <v>37</v>
      </c>
      <c r="C410" t="s">
        <v>38</v>
      </c>
      <c r="D410">
        <v>2012</v>
      </c>
      <c r="E410">
        <v>5.7128352794499897E-2</v>
      </c>
      <c r="F410">
        <v>-3.2265545234223771</v>
      </c>
      <c r="G410">
        <f t="shared" si="6"/>
        <v>-3.283682876216877</v>
      </c>
      <c r="H410">
        <v>0.82627094935362411</v>
      </c>
    </row>
    <row r="411" spans="1:8" x14ac:dyDescent="0.35">
      <c r="A411" t="s">
        <v>75</v>
      </c>
      <c r="B411" t="s">
        <v>41</v>
      </c>
      <c r="C411" t="s">
        <v>38</v>
      </c>
      <c r="D411">
        <v>2012</v>
      </c>
      <c r="E411">
        <v>-2.2867991965167418</v>
      </c>
      <c r="F411">
        <v>-3.2265545234223771</v>
      </c>
      <c r="G411">
        <f t="shared" si="6"/>
        <v>-0.93975532690563535</v>
      </c>
      <c r="H411">
        <v>0.82627094935362411</v>
      </c>
    </row>
    <row r="412" spans="1:8" x14ac:dyDescent="0.35">
      <c r="A412" t="s">
        <v>75</v>
      </c>
      <c r="B412" t="s">
        <v>39</v>
      </c>
      <c r="C412" t="s">
        <v>40</v>
      </c>
      <c r="D412">
        <v>2012</v>
      </c>
      <c r="E412">
        <v>1.314970893331791</v>
      </c>
      <c r="F412">
        <v>-3.2265545234223771</v>
      </c>
      <c r="G412">
        <f t="shared" si="6"/>
        <v>-4.5415254167541681</v>
      </c>
      <c r="H412">
        <v>0.82627094935362411</v>
      </c>
    </row>
    <row r="413" spans="1:8" x14ac:dyDescent="0.35">
      <c r="A413" t="s">
        <v>75</v>
      </c>
      <c r="B413" t="s">
        <v>42</v>
      </c>
      <c r="C413" t="s">
        <v>40</v>
      </c>
      <c r="D413">
        <v>2012</v>
      </c>
      <c r="E413">
        <v>-1.4066091621440899</v>
      </c>
      <c r="F413">
        <v>-3.2265545234223771</v>
      </c>
      <c r="G413">
        <f t="shared" si="6"/>
        <v>-1.8199453612782872</v>
      </c>
      <c r="H413">
        <v>0.82627094935362411</v>
      </c>
    </row>
    <row r="414" spans="1:8" x14ac:dyDescent="0.35">
      <c r="A414" t="s">
        <v>75</v>
      </c>
      <c r="B414" t="s">
        <v>41</v>
      </c>
      <c r="C414" t="s">
        <v>38</v>
      </c>
      <c r="D414">
        <v>2013</v>
      </c>
      <c r="E414">
        <v>-0.54027205249544963</v>
      </c>
      <c r="F414">
        <v>-1.843520911707673</v>
      </c>
      <c r="G414">
        <f t="shared" si="6"/>
        <v>-1.3032488592122233</v>
      </c>
      <c r="H414">
        <v>0.5343188076695039</v>
      </c>
    </row>
    <row r="415" spans="1:8" x14ac:dyDescent="0.35">
      <c r="A415" t="s">
        <v>75</v>
      </c>
      <c r="B415" t="s">
        <v>43</v>
      </c>
      <c r="C415" t="s">
        <v>38</v>
      </c>
      <c r="D415">
        <v>2013</v>
      </c>
      <c r="E415">
        <v>-1.8298929550776939</v>
      </c>
      <c r="F415">
        <v>-1.843520911707673</v>
      </c>
      <c r="G415">
        <f t="shared" si="6"/>
        <v>-1.3627956629979066E-2</v>
      </c>
      <c r="H415">
        <v>0.5343188076695039</v>
      </c>
    </row>
    <row r="416" spans="1:8" x14ac:dyDescent="0.35">
      <c r="A416" t="s">
        <v>75</v>
      </c>
      <c r="B416" t="s">
        <v>42</v>
      </c>
      <c r="C416" t="s">
        <v>40</v>
      </c>
      <c r="D416">
        <v>2013</v>
      </c>
      <c r="E416">
        <v>0.44387559815419753</v>
      </c>
      <c r="F416">
        <v>-1.843520911707673</v>
      </c>
      <c r="G416">
        <f t="shared" si="6"/>
        <v>-2.2873965098618703</v>
      </c>
      <c r="H416">
        <v>0.5343188076695039</v>
      </c>
    </row>
    <row r="417" spans="1:8" x14ac:dyDescent="0.35">
      <c r="A417" t="s">
        <v>75</v>
      </c>
      <c r="B417" t="s">
        <v>44</v>
      </c>
      <c r="C417" t="s">
        <v>40</v>
      </c>
      <c r="D417">
        <v>2013</v>
      </c>
      <c r="E417">
        <v>-1.3409854181595351</v>
      </c>
      <c r="F417">
        <v>-1.843520911707673</v>
      </c>
      <c r="G417">
        <f t="shared" si="6"/>
        <v>-0.50253549354813787</v>
      </c>
      <c r="H417">
        <v>0.5343188076695039</v>
      </c>
    </row>
    <row r="418" spans="1:8" x14ac:dyDescent="0.35">
      <c r="A418" t="s">
        <v>75</v>
      </c>
      <c r="B418" t="s">
        <v>43</v>
      </c>
      <c r="C418" t="s">
        <v>38</v>
      </c>
      <c r="D418">
        <v>2014</v>
      </c>
      <c r="E418">
        <v>0.71082592354936303</v>
      </c>
      <c r="F418">
        <v>7.5233947391528819E-2</v>
      </c>
      <c r="G418">
        <f t="shared" si="6"/>
        <v>-0.63559197615783425</v>
      </c>
      <c r="H418">
        <v>-5.7968247493718331E-2</v>
      </c>
    </row>
    <row r="419" spans="1:8" x14ac:dyDescent="0.35">
      <c r="A419" t="s">
        <v>75</v>
      </c>
      <c r="B419" t="s">
        <v>45</v>
      </c>
      <c r="C419" t="s">
        <v>38</v>
      </c>
      <c r="D419">
        <v>2014</v>
      </c>
      <c r="E419">
        <v>-0.39461096681301377</v>
      </c>
      <c r="F419">
        <v>7.5233947391528819E-2</v>
      </c>
      <c r="G419">
        <f t="shared" si="6"/>
        <v>0.46984491420454261</v>
      </c>
      <c r="H419">
        <v>-5.7968247493718331E-2</v>
      </c>
    </row>
    <row r="420" spans="1:8" x14ac:dyDescent="0.35">
      <c r="A420" t="s">
        <v>75</v>
      </c>
      <c r="B420" t="s">
        <v>44</v>
      </c>
      <c r="C420" t="s">
        <v>40</v>
      </c>
      <c r="D420">
        <v>2014</v>
      </c>
      <c r="E420">
        <v>0.71763548551055933</v>
      </c>
      <c r="F420">
        <v>7.5233947391528819E-2</v>
      </c>
      <c r="G420">
        <f t="shared" si="6"/>
        <v>-0.64240153811903056</v>
      </c>
      <c r="H420">
        <v>-5.7968247493718331E-2</v>
      </c>
    </row>
    <row r="421" spans="1:8" x14ac:dyDescent="0.35">
      <c r="A421" t="s">
        <v>75</v>
      </c>
      <c r="B421" t="s">
        <v>46</v>
      </c>
      <c r="C421" t="s">
        <v>40</v>
      </c>
      <c r="D421">
        <v>2014</v>
      </c>
      <c r="E421">
        <v>0.57096731898795827</v>
      </c>
      <c r="F421">
        <v>7.5233947391528819E-2</v>
      </c>
      <c r="G421">
        <f t="shared" si="6"/>
        <v>-0.49573337159642944</v>
      </c>
      <c r="H421">
        <v>-5.7968247493718331E-2</v>
      </c>
    </row>
    <row r="422" spans="1:8" x14ac:dyDescent="0.35">
      <c r="A422" t="s">
        <v>75</v>
      </c>
      <c r="B422" t="s">
        <v>45</v>
      </c>
      <c r="C422" t="s">
        <v>38</v>
      </c>
      <c r="D422">
        <v>2015</v>
      </c>
      <c r="E422">
        <v>0.62872973894907425</v>
      </c>
      <c r="F422">
        <v>0.74285153390220071</v>
      </c>
      <c r="G422">
        <f t="shared" si="6"/>
        <v>0.11412179495312647</v>
      </c>
      <c r="H422">
        <v>9.8406764384742884E-2</v>
      </c>
    </row>
    <row r="423" spans="1:8" x14ac:dyDescent="0.35">
      <c r="A423" t="s">
        <v>75</v>
      </c>
      <c r="B423" t="s">
        <v>47</v>
      </c>
      <c r="C423" t="s">
        <v>38</v>
      </c>
      <c r="D423">
        <v>2015</v>
      </c>
      <c r="E423">
        <v>0.86665350989461043</v>
      </c>
      <c r="F423">
        <v>0.74285153390220071</v>
      </c>
      <c r="G423">
        <f t="shared" si="6"/>
        <v>-0.12380197599240972</v>
      </c>
      <c r="H423">
        <v>9.8406764384742884E-2</v>
      </c>
    </row>
    <row r="424" spans="1:8" x14ac:dyDescent="0.35">
      <c r="A424" t="s">
        <v>75</v>
      </c>
      <c r="B424" t="s">
        <v>46</v>
      </c>
      <c r="C424" t="s">
        <v>40</v>
      </c>
      <c r="D424">
        <v>2015</v>
      </c>
      <c r="E424">
        <v>1.229987574853153</v>
      </c>
      <c r="F424">
        <v>0.74285153390220071</v>
      </c>
      <c r="G424">
        <f t="shared" si="6"/>
        <v>-0.48713604095095231</v>
      </c>
      <c r="H424">
        <v>9.8406764384742884E-2</v>
      </c>
    </row>
    <row r="425" spans="1:8" x14ac:dyDescent="0.35">
      <c r="A425" t="s">
        <v>75</v>
      </c>
      <c r="B425" t="s">
        <v>48</v>
      </c>
      <c r="C425" t="s">
        <v>40</v>
      </c>
      <c r="D425">
        <v>2015</v>
      </c>
      <c r="E425">
        <v>0.6068597463795955</v>
      </c>
      <c r="F425">
        <v>0.74285153390220071</v>
      </c>
      <c r="G425">
        <f t="shared" si="6"/>
        <v>0.13599178752260521</v>
      </c>
      <c r="H425">
        <v>9.8406764384742884E-2</v>
      </c>
    </row>
    <row r="426" spans="1:8" x14ac:dyDescent="0.35">
      <c r="A426" t="s">
        <v>75</v>
      </c>
      <c r="B426" t="s">
        <v>47</v>
      </c>
      <c r="C426" t="s">
        <v>38</v>
      </c>
      <c r="D426">
        <v>2016</v>
      </c>
      <c r="E426">
        <v>1.4512761867371271</v>
      </c>
      <c r="F426">
        <v>1.34543552139666</v>
      </c>
      <c r="G426">
        <f t="shared" si="6"/>
        <v>-0.1058406653404671</v>
      </c>
      <c r="H426">
        <v>9.8047794412941008E-2</v>
      </c>
    </row>
    <row r="427" spans="1:8" x14ac:dyDescent="0.35">
      <c r="A427" t="s">
        <v>75</v>
      </c>
      <c r="B427" t="s">
        <v>49</v>
      </c>
      <c r="C427" t="s">
        <v>38</v>
      </c>
      <c r="D427">
        <v>2016</v>
      </c>
      <c r="E427">
        <v>0.70784283945437565</v>
      </c>
      <c r="F427">
        <v>1.34543552139666</v>
      </c>
      <c r="G427">
        <f t="shared" si="6"/>
        <v>0.63759268194228436</v>
      </c>
      <c r="H427">
        <v>9.8047794412941008E-2</v>
      </c>
    </row>
    <row r="428" spans="1:8" x14ac:dyDescent="0.35">
      <c r="A428" t="s">
        <v>75</v>
      </c>
      <c r="B428" t="s">
        <v>48</v>
      </c>
      <c r="C428" t="s">
        <v>40</v>
      </c>
      <c r="D428">
        <v>2016</v>
      </c>
      <c r="E428">
        <v>1.4109778499366681</v>
      </c>
      <c r="F428">
        <v>1.34543552139666</v>
      </c>
      <c r="G428">
        <f t="shared" si="6"/>
        <v>-6.5542328540008077E-2</v>
      </c>
      <c r="H428">
        <v>9.8047794412941008E-2</v>
      </c>
    </row>
    <row r="429" spans="1:8" x14ac:dyDescent="0.35">
      <c r="A429" t="s">
        <v>75</v>
      </c>
      <c r="B429" t="s">
        <v>50</v>
      </c>
      <c r="C429" t="s">
        <v>40</v>
      </c>
      <c r="D429">
        <v>2016</v>
      </c>
      <c r="E429">
        <v>1.090462780977397</v>
      </c>
      <c r="F429">
        <v>1.34543552139666</v>
      </c>
      <c r="G429">
        <f t="shared" si="6"/>
        <v>0.25497274041926299</v>
      </c>
      <c r="H429">
        <v>9.8047794412941008E-2</v>
      </c>
    </row>
    <row r="430" spans="1:8" x14ac:dyDescent="0.35">
      <c r="A430" t="s">
        <v>75</v>
      </c>
      <c r="B430" t="s">
        <v>49</v>
      </c>
      <c r="C430" t="s">
        <v>38</v>
      </c>
      <c r="D430">
        <v>2017</v>
      </c>
      <c r="E430">
        <v>0.90288361690229468</v>
      </c>
      <c r="F430">
        <v>1.6777714333363121</v>
      </c>
      <c r="G430">
        <f t="shared" si="6"/>
        <v>0.77488781643401738</v>
      </c>
      <c r="H430">
        <v>0.4915804129855248</v>
      </c>
    </row>
    <row r="431" spans="1:8" x14ac:dyDescent="0.35">
      <c r="A431" t="s">
        <v>75</v>
      </c>
      <c r="B431" t="s">
        <v>51</v>
      </c>
      <c r="C431" t="s">
        <v>38</v>
      </c>
      <c r="D431">
        <v>2017</v>
      </c>
      <c r="E431">
        <v>1.454734323287576</v>
      </c>
      <c r="F431">
        <v>1.6777714333363121</v>
      </c>
      <c r="G431">
        <f t="shared" si="6"/>
        <v>0.22303711004873605</v>
      </c>
      <c r="H431">
        <v>0.4915804129855248</v>
      </c>
    </row>
    <row r="432" spans="1:8" x14ac:dyDescent="0.35">
      <c r="A432" t="s">
        <v>75</v>
      </c>
      <c r="B432" t="s">
        <v>50</v>
      </c>
      <c r="C432" t="s">
        <v>40</v>
      </c>
      <c r="D432">
        <v>2017</v>
      </c>
      <c r="E432">
        <v>1.33546021526687</v>
      </c>
      <c r="F432">
        <v>1.6777714333363121</v>
      </c>
      <c r="G432">
        <f t="shared" si="6"/>
        <v>0.34231121806944209</v>
      </c>
      <c r="H432">
        <v>0.4915804129855248</v>
      </c>
    </row>
    <row r="433" spans="1:8" x14ac:dyDescent="0.35">
      <c r="A433" t="s">
        <v>75</v>
      </c>
      <c r="B433" t="s">
        <v>52</v>
      </c>
      <c r="C433" t="s">
        <v>40</v>
      </c>
      <c r="D433">
        <v>2017</v>
      </c>
      <c r="E433">
        <v>0.92886361941262319</v>
      </c>
      <c r="F433">
        <v>1.6777714333363121</v>
      </c>
      <c r="G433">
        <f t="shared" si="6"/>
        <v>0.74890781392368888</v>
      </c>
      <c r="H433">
        <v>0.4915804129855248</v>
      </c>
    </row>
    <row r="434" spans="1:8" x14ac:dyDescent="0.35">
      <c r="A434" t="s">
        <v>75</v>
      </c>
      <c r="B434" t="s">
        <v>51</v>
      </c>
      <c r="C434" t="s">
        <v>38</v>
      </c>
      <c r="D434">
        <v>2018</v>
      </c>
      <c r="E434">
        <v>1.301033595779133</v>
      </c>
      <c r="F434">
        <v>0.67915616097696463</v>
      </c>
      <c r="G434">
        <f t="shared" si="6"/>
        <v>-0.62187743480216839</v>
      </c>
      <c r="H434">
        <v>0.58027035190863618</v>
      </c>
    </row>
    <row r="435" spans="1:8" x14ac:dyDescent="0.35">
      <c r="A435" t="s">
        <v>75</v>
      </c>
      <c r="B435" t="s">
        <v>53</v>
      </c>
      <c r="C435" t="s">
        <v>38</v>
      </c>
      <c r="D435">
        <v>2018</v>
      </c>
      <c r="E435">
        <v>1.148974792689472</v>
      </c>
      <c r="F435">
        <v>0.67915616097696463</v>
      </c>
      <c r="G435">
        <f t="shared" si="6"/>
        <v>-0.46981863171250737</v>
      </c>
      <c r="H435">
        <v>0.58027035190863618</v>
      </c>
    </row>
    <row r="436" spans="1:8" x14ac:dyDescent="0.35">
      <c r="A436" t="s">
        <v>75</v>
      </c>
      <c r="B436" t="s">
        <v>52</v>
      </c>
      <c r="C436" t="s">
        <v>40</v>
      </c>
      <c r="D436">
        <v>2018</v>
      </c>
      <c r="E436">
        <v>1.1322194305175119</v>
      </c>
      <c r="F436">
        <v>0.67915616097696463</v>
      </c>
      <c r="G436">
        <f t="shared" si="6"/>
        <v>-0.45306326954054732</v>
      </c>
      <c r="H436">
        <v>0.58027035190863618</v>
      </c>
    </row>
    <row r="437" spans="1:8" x14ac:dyDescent="0.35">
      <c r="A437" t="s">
        <v>75</v>
      </c>
      <c r="B437" t="s">
        <v>54</v>
      </c>
      <c r="C437" t="s">
        <v>40</v>
      </c>
      <c r="D437">
        <v>2018</v>
      </c>
      <c r="E437">
        <v>1.453547985332837</v>
      </c>
      <c r="F437">
        <v>0.67915616097696463</v>
      </c>
      <c r="G437">
        <f t="shared" si="6"/>
        <v>-0.77439182435587239</v>
      </c>
      <c r="H437">
        <v>0.58027035190863618</v>
      </c>
    </row>
    <row r="438" spans="1:8" x14ac:dyDescent="0.35">
      <c r="A438" t="s">
        <v>75</v>
      </c>
      <c r="B438" t="s">
        <v>53</v>
      </c>
      <c r="C438" t="s">
        <v>38</v>
      </c>
      <c r="D438">
        <v>2019</v>
      </c>
      <c r="E438">
        <v>1.1508168253350211</v>
      </c>
      <c r="F438">
        <v>0.41751152968335331</v>
      </c>
      <c r="G438">
        <f t="shared" si="6"/>
        <v>-0.73330529565166769</v>
      </c>
      <c r="H438">
        <v>0.91222891503210513</v>
      </c>
    </row>
    <row r="439" spans="1:8" x14ac:dyDescent="0.35">
      <c r="A439" t="s">
        <v>75</v>
      </c>
      <c r="B439" t="s">
        <v>55</v>
      </c>
      <c r="C439" t="s">
        <v>38</v>
      </c>
      <c r="D439">
        <v>2019</v>
      </c>
      <c r="E439">
        <v>0.1046834039854172</v>
      </c>
      <c r="F439">
        <v>0.41751152968335331</v>
      </c>
      <c r="G439">
        <f t="shared" si="6"/>
        <v>0.31282812569793611</v>
      </c>
      <c r="H439">
        <v>0.91222891503210513</v>
      </c>
    </row>
    <row r="440" spans="1:8" x14ac:dyDescent="0.35">
      <c r="A440" t="s">
        <v>75</v>
      </c>
      <c r="B440" t="s">
        <v>54</v>
      </c>
      <c r="C440" t="s">
        <v>40</v>
      </c>
      <c r="D440">
        <v>2019</v>
      </c>
      <c r="E440">
        <v>1.208894526316961</v>
      </c>
      <c r="F440">
        <v>0.41751152968335331</v>
      </c>
      <c r="G440">
        <f t="shared" si="6"/>
        <v>-0.79138299663360767</v>
      </c>
      <c r="H440">
        <v>0.91222891503210513</v>
      </c>
    </row>
    <row r="441" spans="1:8" x14ac:dyDescent="0.35">
      <c r="A441" t="s">
        <v>75</v>
      </c>
      <c r="B441" t="s">
        <v>56</v>
      </c>
      <c r="C441" t="s">
        <v>40</v>
      </c>
      <c r="D441">
        <v>2019</v>
      </c>
      <c r="E441">
        <v>0.1006276066420453</v>
      </c>
      <c r="F441">
        <v>0.41751152968335331</v>
      </c>
      <c r="G441">
        <f t="shared" si="6"/>
        <v>0.31688392304130802</v>
      </c>
      <c r="H441">
        <v>0.91222891503210513</v>
      </c>
    </row>
    <row r="442" spans="1:8" x14ac:dyDescent="0.35">
      <c r="A442" t="s">
        <v>75</v>
      </c>
      <c r="B442" t="s">
        <v>55</v>
      </c>
      <c r="C442" t="s">
        <v>38</v>
      </c>
      <c r="D442">
        <v>2020</v>
      </c>
      <c r="E442">
        <v>0.43236292909316631</v>
      </c>
      <c r="F442">
        <v>-9.3783767522421471</v>
      </c>
      <c r="G442">
        <f t="shared" si="6"/>
        <v>-9.8107396813353134</v>
      </c>
      <c r="H442">
        <v>0.93164971955174003</v>
      </c>
    </row>
    <row r="443" spans="1:8" x14ac:dyDescent="0.35">
      <c r="A443" t="s">
        <v>75</v>
      </c>
      <c r="B443" t="s">
        <v>57</v>
      </c>
      <c r="C443" t="s">
        <v>38</v>
      </c>
      <c r="D443">
        <v>2020</v>
      </c>
      <c r="E443">
        <v>-9.8515454699187543</v>
      </c>
      <c r="F443">
        <v>-9.3783767522421471</v>
      </c>
      <c r="G443">
        <f t="shared" si="6"/>
        <v>0.47316871767660729</v>
      </c>
      <c r="H443">
        <v>0.93164971955174003</v>
      </c>
    </row>
    <row r="444" spans="1:8" x14ac:dyDescent="0.35">
      <c r="A444" t="s">
        <v>75</v>
      </c>
      <c r="B444" t="s">
        <v>56</v>
      </c>
      <c r="C444" t="s">
        <v>40</v>
      </c>
      <c r="D444">
        <v>2020</v>
      </c>
      <c r="E444">
        <v>0.71178912334750599</v>
      </c>
      <c r="F444">
        <v>-9.3783767522421471</v>
      </c>
      <c r="G444">
        <f t="shared" si="6"/>
        <v>-10.090165875589653</v>
      </c>
      <c r="H444">
        <v>0.93164971955174003</v>
      </c>
    </row>
    <row r="445" spans="1:8" x14ac:dyDescent="0.35">
      <c r="A445" t="s">
        <v>75</v>
      </c>
      <c r="B445" t="s">
        <v>58</v>
      </c>
      <c r="C445" t="s">
        <v>40</v>
      </c>
      <c r="D445">
        <v>2020</v>
      </c>
      <c r="E445">
        <v>-9.517990850094149</v>
      </c>
      <c r="F445">
        <v>-9.3783767522421471</v>
      </c>
      <c r="G445">
        <f t="shared" si="6"/>
        <v>0.13961409785200196</v>
      </c>
      <c r="H445">
        <v>0.93164971955174003</v>
      </c>
    </row>
    <row r="446" spans="1:8" x14ac:dyDescent="0.35">
      <c r="A446" t="s">
        <v>75</v>
      </c>
      <c r="B446" t="s">
        <v>57</v>
      </c>
      <c r="C446" t="s">
        <v>38</v>
      </c>
      <c r="D446">
        <v>2021</v>
      </c>
      <c r="E446">
        <v>4.051033813756133</v>
      </c>
      <c r="F446">
        <v>8.4370671759064813</v>
      </c>
      <c r="G446">
        <f t="shared" si="6"/>
        <v>4.3860333621503482</v>
      </c>
      <c r="H446">
        <v>0.91416680466678835</v>
      </c>
    </row>
    <row r="447" spans="1:8" x14ac:dyDescent="0.35">
      <c r="A447" t="s">
        <v>75</v>
      </c>
      <c r="B447" t="s">
        <v>59</v>
      </c>
      <c r="C447" t="s">
        <v>38</v>
      </c>
      <c r="D447">
        <v>2021</v>
      </c>
      <c r="E447">
        <v>6.2292733128945343</v>
      </c>
      <c r="F447">
        <v>8.4370671759064813</v>
      </c>
      <c r="G447">
        <f t="shared" si="6"/>
        <v>2.2077938630119469</v>
      </c>
      <c r="H447">
        <v>0.91416680466678835</v>
      </c>
    </row>
    <row r="448" spans="1:8" x14ac:dyDescent="0.35">
      <c r="A448" t="s">
        <v>75</v>
      </c>
      <c r="B448" t="s">
        <v>58</v>
      </c>
      <c r="C448" t="s">
        <v>40</v>
      </c>
      <c r="D448">
        <v>2021</v>
      </c>
      <c r="E448">
        <v>6.5496569028856699</v>
      </c>
      <c r="F448">
        <v>8.4370671759064813</v>
      </c>
      <c r="G448">
        <f t="shared" si="6"/>
        <v>1.8874102730208113</v>
      </c>
      <c r="H448">
        <v>0.91416680466678835</v>
      </c>
    </row>
    <row r="449" spans="1:8" x14ac:dyDescent="0.35">
      <c r="A449" t="s">
        <v>75</v>
      </c>
      <c r="B449" t="s">
        <v>60</v>
      </c>
      <c r="C449" t="s">
        <v>40</v>
      </c>
      <c r="D449">
        <v>2021</v>
      </c>
      <c r="E449">
        <v>4.2068723885489323</v>
      </c>
      <c r="F449">
        <v>8.4370671759064813</v>
      </c>
      <c r="G449">
        <f t="shared" si="6"/>
        <v>4.2301947873575489</v>
      </c>
      <c r="H449">
        <v>0.91416680466678835</v>
      </c>
    </row>
    <row r="450" spans="1:8" x14ac:dyDescent="0.35">
      <c r="A450" t="s">
        <v>75</v>
      </c>
      <c r="B450" t="s">
        <v>59</v>
      </c>
      <c r="C450" t="s">
        <v>38</v>
      </c>
      <c r="D450">
        <v>2022</v>
      </c>
      <c r="E450">
        <v>4.2689191687874661</v>
      </c>
      <c r="F450">
        <v>4.8546134866977511</v>
      </c>
      <c r="G450">
        <f t="shared" ref="G450:G513" si="7">IF(OR(F450="",E450=""),"",F450-E450)</f>
        <v>0.58569431791028492</v>
      </c>
      <c r="H450">
        <v>0.90204063425666803</v>
      </c>
    </row>
    <row r="451" spans="1:8" x14ac:dyDescent="0.35">
      <c r="A451" t="s">
        <v>75</v>
      </c>
      <c r="B451" t="s">
        <v>61</v>
      </c>
      <c r="C451" t="s">
        <v>38</v>
      </c>
      <c r="D451">
        <v>2022</v>
      </c>
      <c r="E451">
        <v>3.8268920279536989</v>
      </c>
      <c r="F451">
        <v>4.8546134866977511</v>
      </c>
      <c r="G451">
        <f t="shared" si="7"/>
        <v>1.0277214587440522</v>
      </c>
      <c r="H451">
        <v>0.90204063425666803</v>
      </c>
    </row>
    <row r="452" spans="1:8" x14ac:dyDescent="0.35">
      <c r="A452" t="s">
        <v>75</v>
      </c>
      <c r="B452" t="s">
        <v>60</v>
      </c>
      <c r="C452" t="s">
        <v>40</v>
      </c>
      <c r="D452">
        <v>2022</v>
      </c>
      <c r="E452">
        <v>4.3934586282645904</v>
      </c>
      <c r="F452">
        <v>4.8546134866977511</v>
      </c>
      <c r="G452">
        <f t="shared" si="7"/>
        <v>0.46115485843316062</v>
      </c>
      <c r="H452">
        <v>0.90204063425666803</v>
      </c>
    </row>
    <row r="453" spans="1:8" x14ac:dyDescent="0.35">
      <c r="A453" t="s">
        <v>75</v>
      </c>
      <c r="B453" t="s">
        <v>62</v>
      </c>
      <c r="C453" t="s">
        <v>40</v>
      </c>
      <c r="D453">
        <v>2022</v>
      </c>
      <c r="E453">
        <v>2.4256542804822261</v>
      </c>
      <c r="F453">
        <v>4.8546134866977511</v>
      </c>
      <c r="G453">
        <f t="shared" si="7"/>
        <v>2.428959206215525</v>
      </c>
      <c r="H453">
        <v>0.90204063425666803</v>
      </c>
    </row>
    <row r="454" spans="1:8" x14ac:dyDescent="0.35">
      <c r="A454" t="s">
        <v>75</v>
      </c>
      <c r="B454" t="s">
        <v>61</v>
      </c>
      <c r="C454" t="s">
        <v>38</v>
      </c>
      <c r="D454">
        <v>2023</v>
      </c>
      <c r="E454">
        <v>0.31473715860916851</v>
      </c>
      <c r="F454">
        <v>1.014274087639002</v>
      </c>
      <c r="G454">
        <f t="shared" si="7"/>
        <v>0.69953692902983344</v>
      </c>
      <c r="H454">
        <v>0.92248033597353918</v>
      </c>
    </row>
    <row r="455" spans="1:8" x14ac:dyDescent="0.35">
      <c r="A455" t="s">
        <v>75</v>
      </c>
      <c r="B455" t="s">
        <v>63</v>
      </c>
      <c r="C455" t="s">
        <v>38</v>
      </c>
      <c r="D455">
        <v>2023</v>
      </c>
      <c r="E455">
        <v>0.69157318051265015</v>
      </c>
      <c r="F455">
        <v>1.014274087639002</v>
      </c>
      <c r="G455">
        <f t="shared" si="7"/>
        <v>0.3227009071263518</v>
      </c>
      <c r="H455">
        <v>0.92248033597353918</v>
      </c>
    </row>
    <row r="456" spans="1:8" x14ac:dyDescent="0.35">
      <c r="A456" t="s">
        <v>75</v>
      </c>
      <c r="B456" t="s">
        <v>62</v>
      </c>
      <c r="C456" t="s">
        <v>40</v>
      </c>
      <c r="D456">
        <v>2023</v>
      </c>
      <c r="E456">
        <v>1.851291422718337</v>
      </c>
      <c r="F456">
        <v>1.014274087639002</v>
      </c>
      <c r="G456">
        <f t="shared" si="7"/>
        <v>-0.83701733507933507</v>
      </c>
      <c r="H456">
        <v>0.92248033597353918</v>
      </c>
    </row>
    <row r="457" spans="1:8" x14ac:dyDescent="0.35">
      <c r="A457" t="s">
        <v>75</v>
      </c>
      <c r="B457" t="s">
        <v>64</v>
      </c>
      <c r="C457" t="s">
        <v>40</v>
      </c>
      <c r="D457">
        <v>2023</v>
      </c>
      <c r="E457">
        <v>1.206598132351089</v>
      </c>
      <c r="F457">
        <v>1.014274087639002</v>
      </c>
      <c r="G457">
        <f t="shared" si="7"/>
        <v>-0.19232404471208708</v>
      </c>
      <c r="H457">
        <v>0.92248033597353918</v>
      </c>
    </row>
    <row r="458" spans="1:8" x14ac:dyDescent="0.35">
      <c r="A458" t="s">
        <v>75</v>
      </c>
      <c r="B458" t="s">
        <v>63</v>
      </c>
      <c r="C458" t="s">
        <v>38</v>
      </c>
      <c r="D458">
        <v>2024</v>
      </c>
      <c r="E458">
        <v>0.85219564942633497</v>
      </c>
      <c r="F458">
        <v>0.58463257989526929</v>
      </c>
      <c r="G458">
        <f t="shared" si="7"/>
        <v>-0.26756306953106568</v>
      </c>
      <c r="H458">
        <v>0.69071195379939176</v>
      </c>
    </row>
    <row r="459" spans="1:8" x14ac:dyDescent="0.35">
      <c r="A459" t="s">
        <v>75</v>
      </c>
      <c r="B459" t="s">
        <v>65</v>
      </c>
      <c r="C459" t="s">
        <v>38</v>
      </c>
      <c r="D459">
        <v>2024</v>
      </c>
      <c r="E459">
        <v>0.66875073104093463</v>
      </c>
      <c r="F459">
        <v>0.58463257989526929</v>
      </c>
      <c r="G459">
        <f t="shared" si="7"/>
        <v>-8.4118151145665343E-2</v>
      </c>
      <c r="H459">
        <v>0.69071195379939176</v>
      </c>
    </row>
    <row r="460" spans="1:8" x14ac:dyDescent="0.35">
      <c r="A460" t="s">
        <v>75</v>
      </c>
      <c r="B460" t="s">
        <v>64</v>
      </c>
      <c r="C460" t="s">
        <v>40</v>
      </c>
      <c r="D460">
        <v>2024</v>
      </c>
      <c r="E460">
        <v>1.088219792885559</v>
      </c>
      <c r="F460">
        <v>0.58463257989526929</v>
      </c>
      <c r="G460">
        <f t="shared" si="7"/>
        <v>-0.50358721299028975</v>
      </c>
      <c r="H460">
        <v>0.69071195379939176</v>
      </c>
    </row>
    <row r="461" spans="1:8" x14ac:dyDescent="0.35">
      <c r="A461" t="s">
        <v>75</v>
      </c>
      <c r="B461" t="s">
        <v>66</v>
      </c>
      <c r="C461" t="s">
        <v>40</v>
      </c>
      <c r="D461">
        <v>2024</v>
      </c>
      <c r="E461">
        <v>0.93648338218597083</v>
      </c>
      <c r="F461">
        <v>0.58463257989526929</v>
      </c>
      <c r="G461">
        <f t="shared" si="7"/>
        <v>-0.35185080229070154</v>
      </c>
      <c r="H461">
        <v>0.69071195379939176</v>
      </c>
    </row>
    <row r="462" spans="1:8" x14ac:dyDescent="0.35">
      <c r="A462" t="s">
        <v>75</v>
      </c>
      <c r="B462" t="s">
        <v>65</v>
      </c>
      <c r="C462" t="s">
        <v>38</v>
      </c>
      <c r="D462">
        <v>2025</v>
      </c>
      <c r="E462">
        <v>1.0376492446310339</v>
      </c>
      <c r="F462">
        <v>0.66135842759176278</v>
      </c>
      <c r="G462">
        <f t="shared" si="7"/>
        <v>-0.37629081703927114</v>
      </c>
      <c r="H462">
        <v>6.0061203852044547E-2</v>
      </c>
    </row>
    <row r="463" spans="1:8" x14ac:dyDescent="0.35">
      <c r="A463" t="s">
        <v>75</v>
      </c>
      <c r="B463" t="s">
        <v>71</v>
      </c>
      <c r="C463" t="s">
        <v>38</v>
      </c>
      <c r="D463">
        <v>2025</v>
      </c>
      <c r="E463">
        <v>0.35981622121454843</v>
      </c>
      <c r="F463">
        <v>0.66135842759176278</v>
      </c>
      <c r="G463">
        <f t="shared" si="7"/>
        <v>0.30154220637721435</v>
      </c>
      <c r="H463">
        <v>6.0061203852044547E-2</v>
      </c>
    </row>
    <row r="464" spans="1:8" x14ac:dyDescent="0.35">
      <c r="A464" t="s">
        <v>75</v>
      </c>
      <c r="B464" t="s">
        <v>66</v>
      </c>
      <c r="C464" t="s">
        <v>40</v>
      </c>
      <c r="D464">
        <v>2025</v>
      </c>
      <c r="E464">
        <v>1.0979449050216421</v>
      </c>
      <c r="F464">
        <v>0.66135842759176278</v>
      </c>
      <c r="G464">
        <f t="shared" si="7"/>
        <v>-0.43658647742987933</v>
      </c>
      <c r="H464">
        <v>6.0061203852044547E-2</v>
      </c>
    </row>
    <row r="465" spans="1:8" x14ac:dyDescent="0.35">
      <c r="A465" t="s">
        <v>75</v>
      </c>
      <c r="B465" t="s">
        <v>72</v>
      </c>
      <c r="C465" t="s">
        <v>40</v>
      </c>
      <c r="D465">
        <v>2025</v>
      </c>
      <c r="E465">
        <v>0.66447930597219873</v>
      </c>
      <c r="F465">
        <v>0.66135842759176278</v>
      </c>
      <c r="G465">
        <f t="shared" si="7"/>
        <v>-3.1208783804359541E-3</v>
      </c>
      <c r="H465">
        <v>6.0061203852044547E-2</v>
      </c>
    </row>
    <row r="466" spans="1:8" x14ac:dyDescent="0.35">
      <c r="A466" t="s">
        <v>75</v>
      </c>
      <c r="B466" t="s">
        <v>71</v>
      </c>
      <c r="C466" t="s">
        <v>38</v>
      </c>
      <c r="D466">
        <v>2026</v>
      </c>
      <c r="E466">
        <v>0.79212128922647729</v>
      </c>
      <c r="G466" t="str">
        <f t="shared" si="7"/>
        <v/>
      </c>
      <c r="H466">
        <v>0.13475190754493399</v>
      </c>
    </row>
    <row r="467" spans="1:8" x14ac:dyDescent="0.35">
      <c r="A467" t="s">
        <v>75</v>
      </c>
      <c r="B467" t="s">
        <v>72</v>
      </c>
      <c r="C467" t="s">
        <v>40</v>
      </c>
      <c r="D467">
        <v>2026</v>
      </c>
      <c r="E467">
        <v>0.94654087888825789</v>
      </c>
      <c r="G467" t="str">
        <f t="shared" si="7"/>
        <v/>
      </c>
      <c r="H467">
        <v>0.13475190754493399</v>
      </c>
    </row>
    <row r="468" spans="1:8" x14ac:dyDescent="0.35">
      <c r="A468" t="s">
        <v>76</v>
      </c>
      <c r="B468" t="s">
        <v>37</v>
      </c>
      <c r="C468" t="s">
        <v>38</v>
      </c>
      <c r="D468">
        <v>2011</v>
      </c>
      <c r="E468">
        <v>1.8081352289394561</v>
      </c>
      <c r="F468">
        <v>1.763265804751377</v>
      </c>
      <c r="G468">
        <f t="shared" si="7"/>
        <v>-4.4869424188079154E-2</v>
      </c>
      <c r="H468">
        <v>0.93333849233642174</v>
      </c>
    </row>
    <row r="469" spans="1:8" x14ac:dyDescent="0.35">
      <c r="A469" t="s">
        <v>76</v>
      </c>
      <c r="B469" t="s">
        <v>39</v>
      </c>
      <c r="C469" t="s">
        <v>40</v>
      </c>
      <c r="D469">
        <v>2011</v>
      </c>
      <c r="E469">
        <v>1.926005162138456</v>
      </c>
      <c r="F469">
        <v>1.763265804751377</v>
      </c>
      <c r="G469">
        <f t="shared" si="7"/>
        <v>-0.16273935738707901</v>
      </c>
      <c r="H469">
        <v>0.93333849233642174</v>
      </c>
    </row>
    <row r="470" spans="1:8" x14ac:dyDescent="0.35">
      <c r="A470" t="s">
        <v>76</v>
      </c>
      <c r="B470" t="s">
        <v>37</v>
      </c>
      <c r="C470" t="s">
        <v>38</v>
      </c>
      <c r="D470">
        <v>2012</v>
      </c>
      <c r="E470">
        <v>0.49861923570131422</v>
      </c>
      <c r="F470">
        <v>-0.98761966818776048</v>
      </c>
      <c r="G470">
        <f t="shared" si="7"/>
        <v>-1.4862389038890746</v>
      </c>
      <c r="H470">
        <v>0.8351428698232144</v>
      </c>
    </row>
    <row r="471" spans="1:8" x14ac:dyDescent="0.35">
      <c r="A471" t="s">
        <v>76</v>
      </c>
      <c r="B471" t="s">
        <v>41</v>
      </c>
      <c r="C471" t="s">
        <v>38</v>
      </c>
      <c r="D471">
        <v>2012</v>
      </c>
      <c r="E471">
        <v>-0.28000741980042099</v>
      </c>
      <c r="F471">
        <v>-0.98761966818776048</v>
      </c>
      <c r="G471">
        <f t="shared" si="7"/>
        <v>-0.70761224838733949</v>
      </c>
      <c r="H471">
        <v>0.8351428698232144</v>
      </c>
    </row>
    <row r="472" spans="1:8" x14ac:dyDescent="0.35">
      <c r="A472" t="s">
        <v>76</v>
      </c>
      <c r="B472" t="s">
        <v>39</v>
      </c>
      <c r="C472" t="s">
        <v>40</v>
      </c>
      <c r="D472">
        <v>2012</v>
      </c>
      <c r="E472">
        <v>1.661047212655653</v>
      </c>
      <c r="F472">
        <v>-0.98761966818776048</v>
      </c>
      <c r="G472">
        <f t="shared" si="7"/>
        <v>-2.6486668808434137</v>
      </c>
      <c r="H472">
        <v>0.8351428698232144</v>
      </c>
    </row>
    <row r="473" spans="1:8" x14ac:dyDescent="0.35">
      <c r="A473" t="s">
        <v>76</v>
      </c>
      <c r="B473" t="s">
        <v>42</v>
      </c>
      <c r="C473" t="s">
        <v>40</v>
      </c>
      <c r="D473">
        <v>2012</v>
      </c>
      <c r="E473">
        <v>-0.88737458554019044</v>
      </c>
      <c r="F473">
        <v>-0.98761966818776048</v>
      </c>
      <c r="G473">
        <f t="shared" si="7"/>
        <v>-0.10024508264757004</v>
      </c>
      <c r="H473">
        <v>0.8351428698232144</v>
      </c>
    </row>
    <row r="474" spans="1:8" x14ac:dyDescent="0.35">
      <c r="A474" t="s">
        <v>76</v>
      </c>
      <c r="B474" t="s">
        <v>41</v>
      </c>
      <c r="C474" t="s">
        <v>38</v>
      </c>
      <c r="D474">
        <v>2013</v>
      </c>
      <c r="E474">
        <v>0.25101306409311958</v>
      </c>
      <c r="F474">
        <v>1.2707283722487859E-2</v>
      </c>
      <c r="G474">
        <f t="shared" si="7"/>
        <v>-0.23830578037063171</v>
      </c>
      <c r="H474">
        <v>0.56214323194141969</v>
      </c>
    </row>
    <row r="475" spans="1:8" x14ac:dyDescent="0.35">
      <c r="A475" t="s">
        <v>76</v>
      </c>
      <c r="B475" t="s">
        <v>43</v>
      </c>
      <c r="C475" t="s">
        <v>38</v>
      </c>
      <c r="D475">
        <v>2013</v>
      </c>
      <c r="E475">
        <v>-0.9800045037945293</v>
      </c>
      <c r="F475">
        <v>1.2707283722487859E-2</v>
      </c>
      <c r="G475">
        <f t="shared" si="7"/>
        <v>0.99271178751701716</v>
      </c>
      <c r="H475">
        <v>0.56214323194141969</v>
      </c>
    </row>
    <row r="476" spans="1:8" x14ac:dyDescent="0.35">
      <c r="A476" t="s">
        <v>76</v>
      </c>
      <c r="B476" t="s">
        <v>42</v>
      </c>
      <c r="C476" t="s">
        <v>40</v>
      </c>
      <c r="D476">
        <v>2013</v>
      </c>
      <c r="E476">
        <v>0.70707026821927865</v>
      </c>
      <c r="F476">
        <v>1.2707283722487859E-2</v>
      </c>
      <c r="G476">
        <f t="shared" si="7"/>
        <v>-0.69436298449679079</v>
      </c>
      <c r="H476">
        <v>0.56214323194141969</v>
      </c>
    </row>
    <row r="477" spans="1:8" x14ac:dyDescent="0.35">
      <c r="A477" t="s">
        <v>76</v>
      </c>
      <c r="B477" t="s">
        <v>44</v>
      </c>
      <c r="C477" t="s">
        <v>40</v>
      </c>
      <c r="D477">
        <v>2013</v>
      </c>
      <c r="E477">
        <v>-0.79000434577850553</v>
      </c>
      <c r="F477">
        <v>1.2707283722487859E-2</v>
      </c>
      <c r="G477">
        <f t="shared" si="7"/>
        <v>0.8027116295009934</v>
      </c>
      <c r="H477">
        <v>0.56214323194141969</v>
      </c>
    </row>
    <row r="478" spans="1:8" x14ac:dyDescent="0.35">
      <c r="A478" t="s">
        <v>76</v>
      </c>
      <c r="B478" t="s">
        <v>43</v>
      </c>
      <c r="C478" t="s">
        <v>38</v>
      </c>
      <c r="D478">
        <v>2014</v>
      </c>
      <c r="E478">
        <v>0.2460103096358246</v>
      </c>
      <c r="F478">
        <v>1.6013721912486829</v>
      </c>
      <c r="G478">
        <f t="shared" si="7"/>
        <v>1.3553618816128583</v>
      </c>
      <c r="H478">
        <v>-0.14283084201054749</v>
      </c>
    </row>
    <row r="479" spans="1:8" x14ac:dyDescent="0.35">
      <c r="A479" t="s">
        <v>76</v>
      </c>
      <c r="B479" t="s">
        <v>45</v>
      </c>
      <c r="C479" t="s">
        <v>38</v>
      </c>
      <c r="D479">
        <v>2014</v>
      </c>
      <c r="E479">
        <v>0.87813009513062479</v>
      </c>
      <c r="F479">
        <v>1.6013721912486829</v>
      </c>
      <c r="G479">
        <f t="shared" si="7"/>
        <v>0.72324209611805812</v>
      </c>
      <c r="H479">
        <v>-0.14283084201054749</v>
      </c>
    </row>
    <row r="480" spans="1:8" x14ac:dyDescent="0.35">
      <c r="A480" t="s">
        <v>76</v>
      </c>
      <c r="B480" t="s">
        <v>44</v>
      </c>
      <c r="C480" t="s">
        <v>40</v>
      </c>
      <c r="D480">
        <v>2014</v>
      </c>
      <c r="E480">
        <v>0.89594425952546075</v>
      </c>
      <c r="F480">
        <v>1.6013721912486829</v>
      </c>
      <c r="G480">
        <f t="shared" si="7"/>
        <v>0.70542793172322216</v>
      </c>
      <c r="H480">
        <v>-0.14283084201054749</v>
      </c>
    </row>
    <row r="481" spans="1:8" x14ac:dyDescent="0.35">
      <c r="A481" t="s">
        <v>76</v>
      </c>
      <c r="B481" t="s">
        <v>46</v>
      </c>
      <c r="C481" t="s">
        <v>40</v>
      </c>
      <c r="D481">
        <v>2014</v>
      </c>
      <c r="E481">
        <v>1.1634467886850299</v>
      </c>
      <c r="F481">
        <v>1.6013721912486829</v>
      </c>
      <c r="G481">
        <f t="shared" si="7"/>
        <v>0.43792540256365298</v>
      </c>
      <c r="H481">
        <v>-0.14283084201054749</v>
      </c>
    </row>
    <row r="482" spans="1:8" x14ac:dyDescent="0.35">
      <c r="A482" t="s">
        <v>76</v>
      </c>
      <c r="B482" t="s">
        <v>45</v>
      </c>
      <c r="C482" t="s">
        <v>38</v>
      </c>
      <c r="D482">
        <v>2015</v>
      </c>
      <c r="E482">
        <v>1.4152411951803721</v>
      </c>
      <c r="F482">
        <v>2.075992985655045</v>
      </c>
      <c r="G482">
        <f t="shared" si="7"/>
        <v>0.66075179047467292</v>
      </c>
      <c r="H482">
        <v>0.17899868226077459</v>
      </c>
    </row>
    <row r="483" spans="1:8" x14ac:dyDescent="0.35">
      <c r="A483" t="s">
        <v>76</v>
      </c>
      <c r="B483" t="s">
        <v>47</v>
      </c>
      <c r="C483" t="s">
        <v>38</v>
      </c>
      <c r="D483">
        <v>2015</v>
      </c>
      <c r="E483">
        <v>2.048080115775686</v>
      </c>
      <c r="F483">
        <v>2.075992985655045</v>
      </c>
      <c r="G483">
        <f t="shared" si="7"/>
        <v>2.7912869879358926E-2</v>
      </c>
      <c r="H483">
        <v>0.17899868226077459</v>
      </c>
    </row>
    <row r="484" spans="1:8" x14ac:dyDescent="0.35">
      <c r="A484" t="s">
        <v>76</v>
      </c>
      <c r="B484" t="s">
        <v>46</v>
      </c>
      <c r="C484" t="s">
        <v>40</v>
      </c>
      <c r="D484">
        <v>2015</v>
      </c>
      <c r="E484">
        <v>1.3587126188379759</v>
      </c>
      <c r="F484">
        <v>2.075992985655045</v>
      </c>
      <c r="G484">
        <f t="shared" si="7"/>
        <v>0.71728036681706908</v>
      </c>
      <c r="H484">
        <v>0.17899868226077459</v>
      </c>
    </row>
    <row r="485" spans="1:8" x14ac:dyDescent="0.35">
      <c r="A485" t="s">
        <v>76</v>
      </c>
      <c r="B485" t="s">
        <v>48</v>
      </c>
      <c r="C485" t="s">
        <v>40</v>
      </c>
      <c r="D485">
        <v>2015</v>
      </c>
      <c r="E485">
        <v>1.634744403265187</v>
      </c>
      <c r="F485">
        <v>2.075992985655045</v>
      </c>
      <c r="G485">
        <f t="shared" si="7"/>
        <v>0.44124858238985798</v>
      </c>
      <c r="H485">
        <v>0.17899868226077459</v>
      </c>
    </row>
    <row r="486" spans="1:8" x14ac:dyDescent="0.35">
      <c r="A486" t="s">
        <v>76</v>
      </c>
      <c r="B486" t="s">
        <v>47</v>
      </c>
      <c r="C486" t="s">
        <v>38</v>
      </c>
      <c r="D486">
        <v>2016</v>
      </c>
      <c r="E486">
        <v>2.1325986777734669</v>
      </c>
      <c r="F486">
        <v>2.3909782656438301</v>
      </c>
      <c r="G486">
        <f t="shared" si="7"/>
        <v>0.25837958787036319</v>
      </c>
      <c r="H486">
        <v>0.60727245053268153</v>
      </c>
    </row>
    <row r="487" spans="1:8" x14ac:dyDescent="0.35">
      <c r="A487" t="s">
        <v>76</v>
      </c>
      <c r="B487" t="s">
        <v>49</v>
      </c>
      <c r="C487" t="s">
        <v>38</v>
      </c>
      <c r="D487">
        <v>2016</v>
      </c>
      <c r="E487">
        <v>1.6589744219452249</v>
      </c>
      <c r="F487">
        <v>2.3909782656438301</v>
      </c>
      <c r="G487">
        <f t="shared" si="7"/>
        <v>0.73200384369860516</v>
      </c>
      <c r="H487">
        <v>0.60727245053268153</v>
      </c>
    </row>
    <row r="488" spans="1:8" x14ac:dyDescent="0.35">
      <c r="A488" t="s">
        <v>76</v>
      </c>
      <c r="B488" t="s">
        <v>48</v>
      </c>
      <c r="C488" t="s">
        <v>40</v>
      </c>
      <c r="D488">
        <v>2016</v>
      </c>
      <c r="E488">
        <v>1.7327119888610909</v>
      </c>
      <c r="F488">
        <v>2.3909782656438301</v>
      </c>
      <c r="G488">
        <f t="shared" si="7"/>
        <v>0.65826627678273919</v>
      </c>
      <c r="H488">
        <v>0.60727245053268153</v>
      </c>
    </row>
    <row r="489" spans="1:8" x14ac:dyDescent="0.35">
      <c r="A489" t="s">
        <v>76</v>
      </c>
      <c r="B489" t="s">
        <v>50</v>
      </c>
      <c r="C489" t="s">
        <v>40</v>
      </c>
      <c r="D489">
        <v>2016</v>
      </c>
      <c r="E489">
        <v>1.6774792555238389</v>
      </c>
      <c r="F489">
        <v>2.3909782656438301</v>
      </c>
      <c r="G489">
        <f t="shared" si="7"/>
        <v>0.71349901011999117</v>
      </c>
      <c r="H489">
        <v>0.60727245053268153</v>
      </c>
    </row>
    <row r="490" spans="1:8" x14ac:dyDescent="0.35">
      <c r="A490" t="s">
        <v>76</v>
      </c>
      <c r="B490" t="s">
        <v>49</v>
      </c>
      <c r="C490" t="s">
        <v>38</v>
      </c>
      <c r="D490">
        <v>2017</v>
      </c>
      <c r="E490">
        <v>1.6517530585588249</v>
      </c>
      <c r="F490">
        <v>2.7431906089065579</v>
      </c>
      <c r="G490">
        <f t="shared" si="7"/>
        <v>1.0914375503477329</v>
      </c>
      <c r="H490">
        <v>0.79840954303689304</v>
      </c>
    </row>
    <row r="491" spans="1:8" x14ac:dyDescent="0.35">
      <c r="A491" t="s">
        <v>76</v>
      </c>
      <c r="B491" t="s">
        <v>51</v>
      </c>
      <c r="C491" t="s">
        <v>38</v>
      </c>
      <c r="D491">
        <v>2017</v>
      </c>
      <c r="E491">
        <v>3.2081591137887999</v>
      </c>
      <c r="F491">
        <v>2.7431906089065579</v>
      </c>
      <c r="G491">
        <f t="shared" si="7"/>
        <v>-0.46496850488224206</v>
      </c>
      <c r="H491">
        <v>0.79840954303689304</v>
      </c>
    </row>
    <row r="492" spans="1:8" x14ac:dyDescent="0.35">
      <c r="A492" t="s">
        <v>76</v>
      </c>
      <c r="B492" t="s">
        <v>50</v>
      </c>
      <c r="C492" t="s">
        <v>40</v>
      </c>
      <c r="D492">
        <v>2017</v>
      </c>
      <c r="E492">
        <v>1.9694041267229729</v>
      </c>
      <c r="F492">
        <v>2.7431906089065579</v>
      </c>
      <c r="G492">
        <f t="shared" si="7"/>
        <v>0.77378648218358492</v>
      </c>
      <c r="H492">
        <v>0.79840954303689304</v>
      </c>
    </row>
    <row r="493" spans="1:8" x14ac:dyDescent="0.35">
      <c r="A493" t="s">
        <v>76</v>
      </c>
      <c r="B493" t="s">
        <v>52</v>
      </c>
      <c r="C493" t="s">
        <v>40</v>
      </c>
      <c r="D493">
        <v>2017</v>
      </c>
      <c r="E493">
        <v>2.1108256212513781</v>
      </c>
      <c r="F493">
        <v>2.7431906089065579</v>
      </c>
      <c r="G493">
        <f t="shared" si="7"/>
        <v>0.63236498765517979</v>
      </c>
      <c r="H493">
        <v>0.79840954303689304</v>
      </c>
    </row>
    <row r="494" spans="1:8" x14ac:dyDescent="0.35">
      <c r="A494" t="s">
        <v>76</v>
      </c>
      <c r="B494" t="s">
        <v>51</v>
      </c>
      <c r="C494" t="s">
        <v>38</v>
      </c>
      <c r="D494">
        <v>2018</v>
      </c>
      <c r="E494">
        <v>2.719855882122268</v>
      </c>
      <c r="F494">
        <v>2.2276489335745251</v>
      </c>
      <c r="G494">
        <f t="shared" si="7"/>
        <v>-0.49220694854774294</v>
      </c>
      <c r="H494">
        <v>0.59845318384970081</v>
      </c>
    </row>
    <row r="495" spans="1:8" x14ac:dyDescent="0.35">
      <c r="A495" t="s">
        <v>76</v>
      </c>
      <c r="B495" t="s">
        <v>53</v>
      </c>
      <c r="C495" t="s">
        <v>38</v>
      </c>
      <c r="D495">
        <v>2018</v>
      </c>
      <c r="E495">
        <v>2.836804692292016</v>
      </c>
      <c r="F495">
        <v>2.2276489335745251</v>
      </c>
      <c r="G495">
        <f t="shared" si="7"/>
        <v>-0.60915575871749095</v>
      </c>
      <c r="H495">
        <v>0.59845318384970081</v>
      </c>
    </row>
    <row r="496" spans="1:8" x14ac:dyDescent="0.35">
      <c r="A496" t="s">
        <v>76</v>
      </c>
      <c r="B496" t="s">
        <v>52</v>
      </c>
      <c r="C496" t="s">
        <v>40</v>
      </c>
      <c r="D496">
        <v>2018</v>
      </c>
      <c r="E496">
        <v>1.81696463155987</v>
      </c>
      <c r="F496">
        <v>2.2276489335745251</v>
      </c>
      <c r="G496">
        <f t="shared" si="7"/>
        <v>0.41068430201465511</v>
      </c>
      <c r="H496">
        <v>0.59845318384970081</v>
      </c>
    </row>
    <row r="497" spans="1:8" x14ac:dyDescent="0.35">
      <c r="A497" t="s">
        <v>76</v>
      </c>
      <c r="B497" t="s">
        <v>54</v>
      </c>
      <c r="C497" t="s">
        <v>40</v>
      </c>
      <c r="D497">
        <v>2018</v>
      </c>
      <c r="E497">
        <v>2.9504045313044398</v>
      </c>
      <c r="F497">
        <v>2.2276489335745251</v>
      </c>
      <c r="G497">
        <f t="shared" si="7"/>
        <v>-0.72275559772991471</v>
      </c>
      <c r="H497">
        <v>0.59845318384970081</v>
      </c>
    </row>
    <row r="498" spans="1:8" x14ac:dyDescent="0.35">
      <c r="A498" t="s">
        <v>76</v>
      </c>
      <c r="B498" t="s">
        <v>53</v>
      </c>
      <c r="C498" t="s">
        <v>38</v>
      </c>
      <c r="D498">
        <v>2019</v>
      </c>
      <c r="E498">
        <v>2.3973855170303038</v>
      </c>
      <c r="F498">
        <v>2.2687921571426761</v>
      </c>
      <c r="G498">
        <f t="shared" si="7"/>
        <v>-0.12859335988762766</v>
      </c>
      <c r="H498">
        <v>0.87784580819211311</v>
      </c>
    </row>
    <row r="499" spans="1:8" x14ac:dyDescent="0.35">
      <c r="A499" t="s">
        <v>76</v>
      </c>
      <c r="B499" t="s">
        <v>55</v>
      </c>
      <c r="C499" t="s">
        <v>38</v>
      </c>
      <c r="D499">
        <v>2019</v>
      </c>
      <c r="E499">
        <v>1.699934171052897</v>
      </c>
      <c r="F499">
        <v>2.2687921571426761</v>
      </c>
      <c r="G499">
        <f t="shared" si="7"/>
        <v>0.56885798608977911</v>
      </c>
      <c r="H499">
        <v>0.87784580819211311</v>
      </c>
    </row>
    <row r="500" spans="1:8" x14ac:dyDescent="0.35">
      <c r="A500" t="s">
        <v>76</v>
      </c>
      <c r="B500" t="s">
        <v>54</v>
      </c>
      <c r="C500" t="s">
        <v>40</v>
      </c>
      <c r="D500">
        <v>2019</v>
      </c>
      <c r="E500">
        <v>2.5903398154754731</v>
      </c>
      <c r="F500">
        <v>2.2687921571426761</v>
      </c>
      <c r="G500">
        <f t="shared" si="7"/>
        <v>-0.32154765833279697</v>
      </c>
      <c r="H500">
        <v>0.87784580819211311</v>
      </c>
    </row>
    <row r="501" spans="1:8" x14ac:dyDescent="0.35">
      <c r="A501" t="s">
        <v>76</v>
      </c>
      <c r="B501" t="s">
        <v>56</v>
      </c>
      <c r="C501" t="s">
        <v>40</v>
      </c>
      <c r="D501">
        <v>2019</v>
      </c>
      <c r="E501">
        <v>1.627911133653104</v>
      </c>
      <c r="F501">
        <v>2.2687921571426761</v>
      </c>
      <c r="G501">
        <f t="shared" si="7"/>
        <v>0.6408810234895721</v>
      </c>
      <c r="H501">
        <v>0.87784580819211311</v>
      </c>
    </row>
    <row r="502" spans="1:8" x14ac:dyDescent="0.35">
      <c r="A502" t="s">
        <v>76</v>
      </c>
      <c r="B502" t="s">
        <v>55</v>
      </c>
      <c r="C502" t="s">
        <v>38</v>
      </c>
      <c r="D502">
        <v>2020</v>
      </c>
      <c r="E502">
        <v>1.2831214058191649</v>
      </c>
      <c r="F502">
        <v>-3.9039509434828492</v>
      </c>
      <c r="G502">
        <f t="shared" si="7"/>
        <v>-5.1870723493020137</v>
      </c>
      <c r="H502">
        <v>0.94574295007118003</v>
      </c>
    </row>
    <row r="503" spans="1:8" x14ac:dyDescent="0.35">
      <c r="A503" t="s">
        <v>76</v>
      </c>
      <c r="B503" t="s">
        <v>57</v>
      </c>
      <c r="C503" t="s">
        <v>38</v>
      </c>
      <c r="D503">
        <v>2020</v>
      </c>
      <c r="E503">
        <v>-5.3222217587985954</v>
      </c>
      <c r="F503">
        <v>-3.9039509434828492</v>
      </c>
      <c r="G503">
        <f t="shared" si="7"/>
        <v>1.4182708153157462</v>
      </c>
      <c r="H503">
        <v>0.94574295007118003</v>
      </c>
    </row>
    <row r="504" spans="1:8" x14ac:dyDescent="0.35">
      <c r="A504" t="s">
        <v>76</v>
      </c>
      <c r="B504" t="s">
        <v>56</v>
      </c>
      <c r="C504" t="s">
        <v>40</v>
      </c>
      <c r="D504">
        <v>2020</v>
      </c>
      <c r="E504">
        <v>1.619436814413677</v>
      </c>
      <c r="F504">
        <v>-3.9039509434828492</v>
      </c>
      <c r="G504">
        <f t="shared" si="7"/>
        <v>-5.5233877578965265</v>
      </c>
      <c r="H504">
        <v>0.94574295007118003</v>
      </c>
    </row>
    <row r="505" spans="1:8" x14ac:dyDescent="0.35">
      <c r="A505" t="s">
        <v>76</v>
      </c>
      <c r="B505" t="s">
        <v>58</v>
      </c>
      <c r="C505" t="s">
        <v>40</v>
      </c>
      <c r="D505">
        <v>2020</v>
      </c>
      <c r="E505">
        <v>-6.8478963820636896</v>
      </c>
      <c r="F505">
        <v>-3.9039509434828492</v>
      </c>
      <c r="G505">
        <f t="shared" si="7"/>
        <v>2.9439454385808403</v>
      </c>
      <c r="H505">
        <v>0.94574295007118003</v>
      </c>
    </row>
    <row r="506" spans="1:8" x14ac:dyDescent="0.35">
      <c r="A506" t="s">
        <v>76</v>
      </c>
      <c r="B506" t="s">
        <v>57</v>
      </c>
      <c r="C506" t="s">
        <v>38</v>
      </c>
      <c r="D506">
        <v>2021</v>
      </c>
      <c r="E506">
        <v>2.161323818880434</v>
      </c>
      <c r="F506">
        <v>6.0197643563294596</v>
      </c>
      <c r="G506">
        <f t="shared" si="7"/>
        <v>3.8584405374490256</v>
      </c>
      <c r="H506">
        <v>0.88432599874750706</v>
      </c>
    </row>
    <row r="507" spans="1:8" x14ac:dyDescent="0.35">
      <c r="A507" t="s">
        <v>76</v>
      </c>
      <c r="B507" t="s">
        <v>59</v>
      </c>
      <c r="C507" t="s">
        <v>38</v>
      </c>
      <c r="D507">
        <v>2021</v>
      </c>
      <c r="E507">
        <v>3.9728248180522558</v>
      </c>
      <c r="F507">
        <v>6.0197643563294596</v>
      </c>
      <c r="G507">
        <f t="shared" si="7"/>
        <v>2.0469395382772038</v>
      </c>
      <c r="H507">
        <v>0.88432599874750706</v>
      </c>
    </row>
    <row r="508" spans="1:8" x14ac:dyDescent="0.35">
      <c r="A508" t="s">
        <v>76</v>
      </c>
      <c r="B508" t="s">
        <v>58</v>
      </c>
      <c r="C508" t="s">
        <v>40</v>
      </c>
      <c r="D508">
        <v>2021</v>
      </c>
      <c r="E508">
        <v>4.963640025345617</v>
      </c>
      <c r="F508">
        <v>6.0197643563294596</v>
      </c>
      <c r="G508">
        <f t="shared" si="7"/>
        <v>1.0561243309838426</v>
      </c>
      <c r="H508">
        <v>0.88432599874750706</v>
      </c>
    </row>
    <row r="509" spans="1:8" x14ac:dyDescent="0.35">
      <c r="A509" t="s">
        <v>76</v>
      </c>
      <c r="B509" t="s">
        <v>60</v>
      </c>
      <c r="C509" t="s">
        <v>40</v>
      </c>
      <c r="D509">
        <v>2021</v>
      </c>
      <c r="E509">
        <v>2.3382369164345769</v>
      </c>
      <c r="F509">
        <v>6.0197643563294596</v>
      </c>
      <c r="G509">
        <f t="shared" si="7"/>
        <v>3.6815274398948827</v>
      </c>
      <c r="H509">
        <v>0.88432599874750706</v>
      </c>
    </row>
    <row r="510" spans="1:8" x14ac:dyDescent="0.35">
      <c r="A510" t="s">
        <v>76</v>
      </c>
      <c r="B510" t="s">
        <v>59</v>
      </c>
      <c r="C510" t="s">
        <v>38</v>
      </c>
      <c r="D510">
        <v>2022</v>
      </c>
      <c r="E510">
        <v>3.3489770835561039</v>
      </c>
      <c r="F510">
        <v>4.8892912104023152</v>
      </c>
      <c r="G510">
        <f t="shared" si="7"/>
        <v>1.5403141268462113</v>
      </c>
      <c r="H510">
        <v>0.81381208879363764</v>
      </c>
    </row>
    <row r="511" spans="1:8" x14ac:dyDescent="0.35">
      <c r="A511" t="s">
        <v>76</v>
      </c>
      <c r="B511" t="s">
        <v>61</v>
      </c>
      <c r="C511" t="s">
        <v>38</v>
      </c>
      <c r="D511">
        <v>2022</v>
      </c>
      <c r="E511">
        <v>4.6490196630740721</v>
      </c>
      <c r="F511">
        <v>4.8892912104023152</v>
      </c>
      <c r="G511">
        <f t="shared" si="7"/>
        <v>0.24027154732824307</v>
      </c>
      <c r="H511">
        <v>0.81381208879363764</v>
      </c>
    </row>
    <row r="512" spans="1:8" x14ac:dyDescent="0.35">
      <c r="A512" t="s">
        <v>76</v>
      </c>
      <c r="B512" t="s">
        <v>60</v>
      </c>
      <c r="C512" t="s">
        <v>40</v>
      </c>
      <c r="D512">
        <v>2022</v>
      </c>
      <c r="E512">
        <v>3.5790486712876879</v>
      </c>
      <c r="F512">
        <v>4.8892912104023152</v>
      </c>
      <c r="G512">
        <f t="shared" si="7"/>
        <v>1.3102425391146273</v>
      </c>
      <c r="H512">
        <v>0.81381208879363764</v>
      </c>
    </row>
    <row r="513" spans="1:8" x14ac:dyDescent="0.35">
      <c r="A513" t="s">
        <v>76</v>
      </c>
      <c r="B513" t="s">
        <v>62</v>
      </c>
      <c r="C513" t="s">
        <v>40</v>
      </c>
      <c r="D513">
        <v>2022</v>
      </c>
      <c r="E513">
        <v>3.271330674458595</v>
      </c>
      <c r="F513">
        <v>4.8892912104023152</v>
      </c>
      <c r="G513">
        <f t="shared" si="7"/>
        <v>1.6179605359437201</v>
      </c>
      <c r="H513">
        <v>0.81381208879363764</v>
      </c>
    </row>
    <row r="514" spans="1:8" x14ac:dyDescent="0.35">
      <c r="A514" t="s">
        <v>76</v>
      </c>
      <c r="B514" t="s">
        <v>61</v>
      </c>
      <c r="C514" t="s">
        <v>38</v>
      </c>
      <c r="D514">
        <v>2023</v>
      </c>
      <c r="E514">
        <v>0.64857323528075828</v>
      </c>
      <c r="F514">
        <v>-0.58469355622177965</v>
      </c>
      <c r="G514">
        <f t="shared" ref="G514:G573" si="8">IF(OR(F514="",E514=""),"",F514-E514)</f>
        <v>-1.2332667915025379</v>
      </c>
      <c r="H514">
        <v>0.89381893378563049</v>
      </c>
    </row>
    <row r="515" spans="1:8" x14ac:dyDescent="0.35">
      <c r="A515" t="s">
        <v>76</v>
      </c>
      <c r="B515" t="s">
        <v>63</v>
      </c>
      <c r="C515" t="s">
        <v>38</v>
      </c>
      <c r="D515">
        <v>2023</v>
      </c>
      <c r="E515">
        <v>0.5799247285826814</v>
      </c>
      <c r="F515">
        <v>-0.58469355622177965</v>
      </c>
      <c r="G515">
        <f t="shared" si="8"/>
        <v>-1.1646182848044611</v>
      </c>
      <c r="H515">
        <v>0.89381893378563049</v>
      </c>
    </row>
    <row r="516" spans="1:8" x14ac:dyDescent="0.35">
      <c r="A516" t="s">
        <v>76</v>
      </c>
      <c r="B516" t="s">
        <v>62</v>
      </c>
      <c r="C516" t="s">
        <v>40</v>
      </c>
      <c r="D516">
        <v>2023</v>
      </c>
      <c r="E516">
        <v>1.5682500170195011</v>
      </c>
      <c r="F516">
        <v>-0.58469355622177965</v>
      </c>
      <c r="G516">
        <f t="shared" si="8"/>
        <v>-2.1529435732412807</v>
      </c>
      <c r="H516">
        <v>0.89381893378563049</v>
      </c>
    </row>
    <row r="517" spans="1:8" x14ac:dyDescent="0.35">
      <c r="A517" t="s">
        <v>76</v>
      </c>
      <c r="B517" t="s">
        <v>64</v>
      </c>
      <c r="C517" t="s">
        <v>40</v>
      </c>
      <c r="D517">
        <v>2023</v>
      </c>
      <c r="E517">
        <v>1.8009941751683021</v>
      </c>
      <c r="F517">
        <v>-0.58469355622177965</v>
      </c>
      <c r="G517">
        <f t="shared" si="8"/>
        <v>-2.3856877313900817</v>
      </c>
      <c r="H517">
        <v>0.89381893378563049</v>
      </c>
    </row>
    <row r="518" spans="1:8" x14ac:dyDescent="0.35">
      <c r="A518" t="s">
        <v>76</v>
      </c>
      <c r="B518" t="s">
        <v>63</v>
      </c>
      <c r="C518" t="s">
        <v>38</v>
      </c>
      <c r="D518">
        <v>2024</v>
      </c>
      <c r="E518">
        <v>1.090974188365412</v>
      </c>
      <c r="F518">
        <v>1.058640812818894</v>
      </c>
      <c r="G518">
        <f t="shared" si="8"/>
        <v>-3.2333375546518051E-2</v>
      </c>
      <c r="H518">
        <v>0.90524855781111691</v>
      </c>
    </row>
    <row r="519" spans="1:8" x14ac:dyDescent="0.35">
      <c r="A519" t="s">
        <v>76</v>
      </c>
      <c r="B519" t="s">
        <v>65</v>
      </c>
      <c r="C519" t="s">
        <v>38</v>
      </c>
      <c r="D519">
        <v>2024</v>
      </c>
      <c r="E519">
        <v>0.84134331866276835</v>
      </c>
      <c r="F519">
        <v>1.058640812818894</v>
      </c>
      <c r="G519">
        <f t="shared" si="8"/>
        <v>0.21729749415612565</v>
      </c>
      <c r="H519">
        <v>0.90524855781111691</v>
      </c>
    </row>
    <row r="520" spans="1:8" x14ac:dyDescent="0.35">
      <c r="A520" t="s">
        <v>76</v>
      </c>
      <c r="B520" t="s">
        <v>64</v>
      </c>
      <c r="C520" t="s">
        <v>40</v>
      </c>
      <c r="D520">
        <v>2024</v>
      </c>
      <c r="E520">
        <v>1.181076174566176</v>
      </c>
      <c r="F520">
        <v>1.058640812818894</v>
      </c>
      <c r="G520">
        <f t="shared" si="8"/>
        <v>-0.12243536174728198</v>
      </c>
      <c r="H520">
        <v>0.90524855781111691</v>
      </c>
    </row>
    <row r="521" spans="1:8" x14ac:dyDescent="0.35">
      <c r="A521" t="s">
        <v>76</v>
      </c>
      <c r="B521" t="s">
        <v>66</v>
      </c>
      <c r="C521" t="s">
        <v>40</v>
      </c>
      <c r="D521">
        <v>2024</v>
      </c>
      <c r="E521">
        <v>0.76042118074215459</v>
      </c>
      <c r="F521">
        <v>1.058640812818894</v>
      </c>
      <c r="G521">
        <f t="shared" si="8"/>
        <v>0.2982196320767394</v>
      </c>
      <c r="H521">
        <v>0.90524855781111691</v>
      </c>
    </row>
    <row r="522" spans="1:8" x14ac:dyDescent="0.35">
      <c r="A522" t="s">
        <v>76</v>
      </c>
      <c r="B522" t="s">
        <v>65</v>
      </c>
      <c r="C522" t="s">
        <v>38</v>
      </c>
      <c r="D522">
        <v>2025</v>
      </c>
      <c r="E522">
        <v>1.551316113361789</v>
      </c>
      <c r="F522">
        <v>1.5629801711020599</v>
      </c>
      <c r="G522">
        <f t="shared" si="8"/>
        <v>1.1664057740270906E-2</v>
      </c>
      <c r="H522">
        <v>0.58193671258721102</v>
      </c>
    </row>
    <row r="523" spans="1:8" x14ac:dyDescent="0.35">
      <c r="A523" t="s">
        <v>76</v>
      </c>
      <c r="B523" t="s">
        <v>71</v>
      </c>
      <c r="C523" t="s">
        <v>38</v>
      </c>
      <c r="D523">
        <v>2025</v>
      </c>
      <c r="E523">
        <v>1.6966708374271939</v>
      </c>
      <c r="F523">
        <v>1.5629801711020599</v>
      </c>
      <c r="G523">
        <f t="shared" si="8"/>
        <v>-0.13369066632513404</v>
      </c>
      <c r="H523">
        <v>0.58193671258721102</v>
      </c>
    </row>
    <row r="524" spans="1:8" x14ac:dyDescent="0.35">
      <c r="A524" t="s">
        <v>76</v>
      </c>
      <c r="B524" t="s">
        <v>66</v>
      </c>
      <c r="C524" t="s">
        <v>40</v>
      </c>
      <c r="D524">
        <v>2025</v>
      </c>
      <c r="E524">
        <v>1.4664182247055459</v>
      </c>
      <c r="F524">
        <v>1.5629801711020599</v>
      </c>
      <c r="G524">
        <f t="shared" si="8"/>
        <v>9.6561946396513942E-2</v>
      </c>
      <c r="H524">
        <v>0.58193671258721102</v>
      </c>
    </row>
    <row r="525" spans="1:8" x14ac:dyDescent="0.35">
      <c r="A525" t="s">
        <v>76</v>
      </c>
      <c r="B525" t="s">
        <v>72</v>
      </c>
      <c r="C525" t="s">
        <v>40</v>
      </c>
      <c r="D525">
        <v>2025</v>
      </c>
      <c r="E525">
        <v>1.282511180567347</v>
      </c>
      <c r="F525">
        <v>1.5629801711020599</v>
      </c>
      <c r="G525">
        <f t="shared" si="8"/>
        <v>0.28046899053471286</v>
      </c>
      <c r="H525">
        <v>0.58193671258721102</v>
      </c>
    </row>
    <row r="526" spans="1:8" x14ac:dyDescent="0.35">
      <c r="A526" t="s">
        <v>76</v>
      </c>
      <c r="B526" t="s">
        <v>71</v>
      </c>
      <c r="C526" t="s">
        <v>38</v>
      </c>
      <c r="D526">
        <v>2026</v>
      </c>
      <c r="E526">
        <v>1.2965999194465061</v>
      </c>
      <c r="G526" t="str">
        <f t="shared" si="8"/>
        <v/>
      </c>
      <c r="H526">
        <v>0.60408164837066136</v>
      </c>
    </row>
    <row r="527" spans="1:8" x14ac:dyDescent="0.35">
      <c r="A527" t="s">
        <v>76</v>
      </c>
      <c r="B527" t="s">
        <v>72</v>
      </c>
      <c r="C527" t="s">
        <v>40</v>
      </c>
      <c r="D527">
        <v>2026</v>
      </c>
      <c r="E527">
        <v>1.244771632095754</v>
      </c>
      <c r="G527" t="str">
        <f t="shared" si="8"/>
        <v/>
      </c>
      <c r="H527">
        <v>0.60408164837066136</v>
      </c>
    </row>
    <row r="528" spans="1:8" x14ac:dyDescent="0.35">
      <c r="A528" t="s">
        <v>77</v>
      </c>
      <c r="B528" t="s">
        <v>45</v>
      </c>
      <c r="C528" t="s">
        <v>38</v>
      </c>
      <c r="D528">
        <v>2015</v>
      </c>
      <c r="E528">
        <v>1.29819266835165</v>
      </c>
      <c r="F528">
        <v>1.5772755552952269</v>
      </c>
      <c r="G528">
        <f t="shared" si="8"/>
        <v>0.27908288694357686</v>
      </c>
      <c r="H528">
        <v>0.20562428135181771</v>
      </c>
    </row>
    <row r="529" spans="1:8" x14ac:dyDescent="0.35">
      <c r="A529" t="s">
        <v>77</v>
      </c>
      <c r="B529" t="s">
        <v>47</v>
      </c>
      <c r="C529" t="s">
        <v>38</v>
      </c>
      <c r="D529">
        <v>2015</v>
      </c>
      <c r="E529">
        <v>1.741329419958926</v>
      </c>
      <c r="F529">
        <v>1.5772755552952269</v>
      </c>
      <c r="G529">
        <f t="shared" si="8"/>
        <v>-0.16405386466369909</v>
      </c>
      <c r="H529">
        <v>0.20562428135181771</v>
      </c>
    </row>
    <row r="530" spans="1:8" x14ac:dyDescent="0.35">
      <c r="A530" t="s">
        <v>77</v>
      </c>
      <c r="B530" t="s">
        <v>46</v>
      </c>
      <c r="C530" t="s">
        <v>40</v>
      </c>
      <c r="D530">
        <v>2015</v>
      </c>
      <c r="E530">
        <v>1.4931874273763861</v>
      </c>
      <c r="F530">
        <v>1.5772755552952269</v>
      </c>
      <c r="G530">
        <f t="shared" si="8"/>
        <v>8.4088127918840794E-2</v>
      </c>
      <c r="H530">
        <v>0.20562428135181771</v>
      </c>
    </row>
    <row r="531" spans="1:8" x14ac:dyDescent="0.35">
      <c r="A531" t="s">
        <v>77</v>
      </c>
      <c r="B531" t="s">
        <v>48</v>
      </c>
      <c r="C531" t="s">
        <v>40</v>
      </c>
      <c r="D531">
        <v>2015</v>
      </c>
      <c r="E531">
        <v>1.6418853965775471</v>
      </c>
      <c r="F531">
        <v>1.5772755552952269</v>
      </c>
      <c r="G531">
        <f t="shared" si="8"/>
        <v>-6.4609841282320168E-2</v>
      </c>
      <c r="H531">
        <v>0.20562428135181771</v>
      </c>
    </row>
    <row r="532" spans="1:8" x14ac:dyDescent="0.35">
      <c r="A532" t="s">
        <v>77</v>
      </c>
      <c r="B532" t="s">
        <v>47</v>
      </c>
      <c r="C532" t="s">
        <v>38</v>
      </c>
      <c r="D532">
        <v>2016</v>
      </c>
      <c r="E532">
        <v>1.659048842216615</v>
      </c>
      <c r="F532">
        <v>1.9843922204112789</v>
      </c>
      <c r="G532">
        <f t="shared" si="8"/>
        <v>0.32534337819466397</v>
      </c>
      <c r="H532">
        <v>0.19529332020678619</v>
      </c>
    </row>
    <row r="533" spans="1:8" x14ac:dyDescent="0.35">
      <c r="A533" t="s">
        <v>77</v>
      </c>
      <c r="B533" t="s">
        <v>49</v>
      </c>
      <c r="C533" t="s">
        <v>38</v>
      </c>
      <c r="D533">
        <v>2016</v>
      </c>
      <c r="E533">
        <v>0.92930181879138374</v>
      </c>
      <c r="F533">
        <v>1.9843922204112789</v>
      </c>
      <c r="G533">
        <f t="shared" si="8"/>
        <v>1.0550904016198952</v>
      </c>
      <c r="H533">
        <v>0.19529332020678619</v>
      </c>
    </row>
    <row r="534" spans="1:8" x14ac:dyDescent="0.35">
      <c r="A534" t="s">
        <v>77</v>
      </c>
      <c r="B534" t="s">
        <v>48</v>
      </c>
      <c r="C534" t="s">
        <v>40</v>
      </c>
      <c r="D534">
        <v>2016</v>
      </c>
      <c r="E534">
        <v>1.838363161189682</v>
      </c>
      <c r="F534">
        <v>1.9843922204112789</v>
      </c>
      <c r="G534">
        <f t="shared" si="8"/>
        <v>0.14602905922159692</v>
      </c>
      <c r="H534">
        <v>0.19529332020678619</v>
      </c>
    </row>
    <row r="535" spans="1:8" x14ac:dyDescent="0.35">
      <c r="A535" t="s">
        <v>77</v>
      </c>
      <c r="B535" t="s">
        <v>50</v>
      </c>
      <c r="C535" t="s">
        <v>40</v>
      </c>
      <c r="D535">
        <v>2016</v>
      </c>
      <c r="E535">
        <v>1.458222731677794</v>
      </c>
      <c r="F535">
        <v>1.9843922204112789</v>
      </c>
      <c r="G535">
        <f t="shared" si="8"/>
        <v>0.5261694887334849</v>
      </c>
      <c r="H535">
        <v>0.19529332020678619</v>
      </c>
    </row>
    <row r="536" spans="1:8" x14ac:dyDescent="0.35">
      <c r="A536" t="s">
        <v>77</v>
      </c>
      <c r="B536" t="s">
        <v>49</v>
      </c>
      <c r="C536" t="s">
        <v>38</v>
      </c>
      <c r="D536">
        <v>2017</v>
      </c>
      <c r="E536">
        <v>1.2443844685501531</v>
      </c>
      <c r="F536">
        <v>3.260896558994415</v>
      </c>
      <c r="G536">
        <f t="shared" si="8"/>
        <v>2.0165120904442619</v>
      </c>
      <c r="H536">
        <v>0.69181063344816107</v>
      </c>
    </row>
    <row r="537" spans="1:8" x14ac:dyDescent="0.35">
      <c r="A537" t="s">
        <v>77</v>
      </c>
      <c r="B537" t="s">
        <v>51</v>
      </c>
      <c r="C537" t="s">
        <v>38</v>
      </c>
      <c r="D537">
        <v>2017</v>
      </c>
      <c r="E537">
        <v>2.6293844522458749</v>
      </c>
      <c r="F537">
        <v>3.260896558994415</v>
      </c>
      <c r="G537">
        <f t="shared" si="8"/>
        <v>0.63151210674854008</v>
      </c>
      <c r="H537">
        <v>0.69181063344816107</v>
      </c>
    </row>
    <row r="538" spans="1:8" x14ac:dyDescent="0.35">
      <c r="A538" t="s">
        <v>77</v>
      </c>
      <c r="B538" t="s">
        <v>50</v>
      </c>
      <c r="C538" t="s">
        <v>40</v>
      </c>
      <c r="D538">
        <v>2017</v>
      </c>
      <c r="E538">
        <v>1.7439816750679069</v>
      </c>
      <c r="F538">
        <v>3.260896558994415</v>
      </c>
      <c r="G538">
        <f t="shared" si="8"/>
        <v>1.5169148839265081</v>
      </c>
      <c r="H538">
        <v>0.69181063344816107</v>
      </c>
    </row>
    <row r="539" spans="1:8" x14ac:dyDescent="0.35">
      <c r="A539" t="s">
        <v>77</v>
      </c>
      <c r="B539" t="s">
        <v>52</v>
      </c>
      <c r="C539" t="s">
        <v>40</v>
      </c>
      <c r="D539">
        <v>2017</v>
      </c>
      <c r="E539">
        <v>1.838683940143615</v>
      </c>
      <c r="F539">
        <v>3.260896558994415</v>
      </c>
      <c r="G539">
        <f t="shared" si="8"/>
        <v>1.4222126188508</v>
      </c>
      <c r="H539">
        <v>0.69181063344816107</v>
      </c>
    </row>
    <row r="540" spans="1:8" x14ac:dyDescent="0.35">
      <c r="A540" t="s">
        <v>77</v>
      </c>
      <c r="B540" t="s">
        <v>51</v>
      </c>
      <c r="C540" t="s">
        <v>38</v>
      </c>
      <c r="D540">
        <v>2018</v>
      </c>
      <c r="E540">
        <v>2.0625112156605669</v>
      </c>
      <c r="F540">
        <v>2.903725267458769</v>
      </c>
      <c r="G540">
        <f t="shared" si="8"/>
        <v>0.84121405179820208</v>
      </c>
      <c r="H540">
        <v>0.57431309132740549</v>
      </c>
    </row>
    <row r="541" spans="1:8" x14ac:dyDescent="0.35">
      <c r="A541" t="s">
        <v>77</v>
      </c>
      <c r="B541" t="s">
        <v>53</v>
      </c>
      <c r="C541" t="s">
        <v>38</v>
      </c>
      <c r="D541">
        <v>2018</v>
      </c>
      <c r="E541">
        <v>2.1672748154352162</v>
      </c>
      <c r="F541">
        <v>2.903725267458769</v>
      </c>
      <c r="G541">
        <f t="shared" si="8"/>
        <v>0.73645045202355286</v>
      </c>
      <c r="H541">
        <v>0.57431309132740549</v>
      </c>
    </row>
    <row r="542" spans="1:8" x14ac:dyDescent="0.35">
      <c r="A542" t="s">
        <v>77</v>
      </c>
      <c r="B542" t="s">
        <v>52</v>
      </c>
      <c r="C542" t="s">
        <v>40</v>
      </c>
      <c r="D542">
        <v>2018</v>
      </c>
      <c r="E542">
        <v>1.5677461936429939</v>
      </c>
      <c r="F542">
        <v>2.903725267458769</v>
      </c>
      <c r="G542">
        <f t="shared" si="8"/>
        <v>1.3359790738157751</v>
      </c>
      <c r="H542">
        <v>0.57431309132740549</v>
      </c>
    </row>
    <row r="543" spans="1:8" x14ac:dyDescent="0.35">
      <c r="A543" t="s">
        <v>77</v>
      </c>
      <c r="B543" t="s">
        <v>54</v>
      </c>
      <c r="C543" t="s">
        <v>40</v>
      </c>
      <c r="D543">
        <v>2018</v>
      </c>
      <c r="E543">
        <v>2.3337380052623979</v>
      </c>
      <c r="F543">
        <v>2.903725267458769</v>
      </c>
      <c r="G543">
        <f t="shared" si="8"/>
        <v>0.56998726219637108</v>
      </c>
      <c r="H543">
        <v>0.57431309132740549</v>
      </c>
    </row>
    <row r="544" spans="1:8" x14ac:dyDescent="0.35">
      <c r="A544" t="s">
        <v>77</v>
      </c>
      <c r="B544" t="s">
        <v>53</v>
      </c>
      <c r="C544" t="s">
        <v>38</v>
      </c>
      <c r="D544">
        <v>2019</v>
      </c>
      <c r="E544">
        <v>1.839454993980616</v>
      </c>
      <c r="F544">
        <v>2.7086922955372188</v>
      </c>
      <c r="G544">
        <f t="shared" si="8"/>
        <v>0.86923730155660284</v>
      </c>
      <c r="H544">
        <v>0.8963180548310522</v>
      </c>
    </row>
    <row r="545" spans="1:8" x14ac:dyDescent="0.35">
      <c r="A545" t="s">
        <v>77</v>
      </c>
      <c r="B545" t="s">
        <v>55</v>
      </c>
      <c r="C545" t="s">
        <v>38</v>
      </c>
      <c r="D545">
        <v>2019</v>
      </c>
      <c r="E545">
        <v>1.950475273387009</v>
      </c>
      <c r="F545">
        <v>2.7086922955372188</v>
      </c>
      <c r="G545">
        <f t="shared" si="8"/>
        <v>0.75821702215020981</v>
      </c>
      <c r="H545">
        <v>0.8963180548310522</v>
      </c>
    </row>
    <row r="546" spans="1:8" x14ac:dyDescent="0.35">
      <c r="A546" t="s">
        <v>77</v>
      </c>
      <c r="B546" t="s">
        <v>54</v>
      </c>
      <c r="C546" t="s">
        <v>40</v>
      </c>
      <c r="D546">
        <v>2019</v>
      </c>
      <c r="E546">
        <v>2.0372674050813671</v>
      </c>
      <c r="F546">
        <v>2.7086922955372188</v>
      </c>
      <c r="G546">
        <f t="shared" si="8"/>
        <v>0.67142489045585174</v>
      </c>
      <c r="H546">
        <v>0.8963180548310522</v>
      </c>
    </row>
    <row r="547" spans="1:8" x14ac:dyDescent="0.35">
      <c r="A547" t="s">
        <v>77</v>
      </c>
      <c r="B547" t="s">
        <v>56</v>
      </c>
      <c r="C547" t="s">
        <v>40</v>
      </c>
      <c r="D547">
        <v>2019</v>
      </c>
      <c r="E547">
        <v>1.672451894689297</v>
      </c>
      <c r="F547">
        <v>2.7086922955372188</v>
      </c>
      <c r="G547">
        <f t="shared" si="8"/>
        <v>1.0362404008479218</v>
      </c>
      <c r="H547">
        <v>0.8963180548310522</v>
      </c>
    </row>
    <row r="548" spans="1:8" x14ac:dyDescent="0.35">
      <c r="A548" t="s">
        <v>77</v>
      </c>
      <c r="B548" t="s">
        <v>55</v>
      </c>
      <c r="C548" t="s">
        <v>38</v>
      </c>
      <c r="D548">
        <v>2020</v>
      </c>
      <c r="E548">
        <v>1.699885517193356</v>
      </c>
      <c r="F548">
        <v>-8.5609032033360464</v>
      </c>
      <c r="G548">
        <f t="shared" si="8"/>
        <v>-10.260788720529403</v>
      </c>
      <c r="H548">
        <v>0.91994322807589268</v>
      </c>
    </row>
    <row r="549" spans="1:8" x14ac:dyDescent="0.35">
      <c r="A549" t="s">
        <v>77</v>
      </c>
      <c r="B549" t="s">
        <v>57</v>
      </c>
      <c r="C549" t="s">
        <v>38</v>
      </c>
      <c r="D549">
        <v>2020</v>
      </c>
      <c r="E549">
        <v>-9.2905567939445373</v>
      </c>
      <c r="F549">
        <v>-8.5609032033360464</v>
      </c>
      <c r="G549">
        <f t="shared" si="8"/>
        <v>0.72965359060849089</v>
      </c>
      <c r="H549">
        <v>0.91994322807589268</v>
      </c>
    </row>
    <row r="550" spans="1:8" x14ac:dyDescent="0.35">
      <c r="A550" t="s">
        <v>77</v>
      </c>
      <c r="B550" t="s">
        <v>56</v>
      </c>
      <c r="C550" t="s">
        <v>40</v>
      </c>
      <c r="D550">
        <v>2020</v>
      </c>
      <c r="E550">
        <v>1.7153996309464681</v>
      </c>
      <c r="F550">
        <v>-8.5609032033360464</v>
      </c>
      <c r="G550">
        <f t="shared" si="8"/>
        <v>-10.276302834282514</v>
      </c>
      <c r="H550">
        <v>0.91994322807589268</v>
      </c>
    </row>
    <row r="551" spans="1:8" x14ac:dyDescent="0.35">
      <c r="A551" t="s">
        <v>77</v>
      </c>
      <c r="B551" t="s">
        <v>58</v>
      </c>
      <c r="C551" t="s">
        <v>40</v>
      </c>
      <c r="D551">
        <v>2020</v>
      </c>
      <c r="E551">
        <v>-6.7651809613411107</v>
      </c>
      <c r="F551">
        <v>-8.5609032033360464</v>
      </c>
      <c r="G551">
        <f t="shared" si="8"/>
        <v>-1.7957222419949357</v>
      </c>
      <c r="H551">
        <v>0.91994322807589268</v>
      </c>
    </row>
    <row r="552" spans="1:8" x14ac:dyDescent="0.35">
      <c r="A552" t="s">
        <v>77</v>
      </c>
      <c r="B552" t="s">
        <v>57</v>
      </c>
      <c r="C552" t="s">
        <v>38</v>
      </c>
      <c r="D552">
        <v>2021</v>
      </c>
      <c r="E552">
        <v>5.3606609364002189</v>
      </c>
      <c r="F552">
        <v>5.4098373027499997</v>
      </c>
      <c r="G552">
        <f t="shared" si="8"/>
        <v>4.9176366349780842E-2</v>
      </c>
      <c r="H552">
        <v>0.8204401437541583</v>
      </c>
    </row>
    <row r="553" spans="1:8" x14ac:dyDescent="0.35">
      <c r="A553" t="s">
        <v>77</v>
      </c>
      <c r="B553" t="s">
        <v>59</v>
      </c>
      <c r="C553" t="s">
        <v>38</v>
      </c>
      <c r="D553">
        <v>2021</v>
      </c>
      <c r="E553">
        <v>4.5428064601391371</v>
      </c>
      <c r="F553">
        <v>5.4098373027499997</v>
      </c>
      <c r="G553">
        <f t="shared" si="8"/>
        <v>0.86703084261086261</v>
      </c>
      <c r="H553">
        <v>0.8204401437541583</v>
      </c>
    </row>
    <row r="554" spans="1:8" x14ac:dyDescent="0.35">
      <c r="A554" t="s">
        <v>77</v>
      </c>
      <c r="B554" t="s">
        <v>58</v>
      </c>
      <c r="C554" t="s">
        <v>40</v>
      </c>
      <c r="D554">
        <v>2021</v>
      </c>
      <c r="E554">
        <v>5.8179091621113344</v>
      </c>
      <c r="F554">
        <v>5.4098373027499997</v>
      </c>
      <c r="G554">
        <f t="shared" si="8"/>
        <v>-0.40807185936133461</v>
      </c>
      <c r="H554">
        <v>0.8204401437541583</v>
      </c>
    </row>
    <row r="555" spans="1:8" x14ac:dyDescent="0.35">
      <c r="A555" t="s">
        <v>77</v>
      </c>
      <c r="B555" t="s">
        <v>60</v>
      </c>
      <c r="C555" t="s">
        <v>40</v>
      </c>
      <c r="D555">
        <v>2021</v>
      </c>
      <c r="E555">
        <v>3.9441078773994498</v>
      </c>
      <c r="F555">
        <v>5.4098373027499997</v>
      </c>
      <c r="G555">
        <f t="shared" si="8"/>
        <v>1.46572942535055</v>
      </c>
      <c r="H555">
        <v>0.8204401437541583</v>
      </c>
    </row>
    <row r="556" spans="1:8" x14ac:dyDescent="0.35">
      <c r="A556" t="s">
        <v>77</v>
      </c>
      <c r="B556" t="s">
        <v>59</v>
      </c>
      <c r="C556" t="s">
        <v>38</v>
      </c>
      <c r="D556">
        <v>2022</v>
      </c>
      <c r="E556">
        <v>5.3212657228810967</v>
      </c>
      <c r="F556">
        <v>6.7526124502433778</v>
      </c>
      <c r="G556">
        <f t="shared" si="8"/>
        <v>1.4313467273622811</v>
      </c>
      <c r="H556">
        <v>0.20372319717267059</v>
      </c>
    </row>
    <row r="557" spans="1:8" x14ac:dyDescent="0.35">
      <c r="A557" t="s">
        <v>77</v>
      </c>
      <c r="B557" t="s">
        <v>61</v>
      </c>
      <c r="C557" t="s">
        <v>38</v>
      </c>
      <c r="D557">
        <v>2022</v>
      </c>
      <c r="E557">
        <v>6.5861251608809734</v>
      </c>
      <c r="F557">
        <v>6.7526124502433778</v>
      </c>
      <c r="G557">
        <f t="shared" si="8"/>
        <v>0.16648728936240431</v>
      </c>
      <c r="H557">
        <v>0.20372319717267059</v>
      </c>
    </row>
    <row r="558" spans="1:8" x14ac:dyDescent="0.35">
      <c r="A558" t="s">
        <v>77</v>
      </c>
      <c r="B558" t="s">
        <v>60</v>
      </c>
      <c r="C558" t="s">
        <v>40</v>
      </c>
      <c r="D558">
        <v>2022</v>
      </c>
      <c r="E558">
        <v>5.0988792351265078</v>
      </c>
      <c r="F558">
        <v>6.7526124502433778</v>
      </c>
      <c r="G558">
        <f t="shared" si="8"/>
        <v>1.65373321511687</v>
      </c>
      <c r="H558">
        <v>0.20372319717267059</v>
      </c>
    </row>
    <row r="559" spans="1:8" x14ac:dyDescent="0.35">
      <c r="A559" t="s">
        <v>77</v>
      </c>
      <c r="B559" t="s">
        <v>62</v>
      </c>
      <c r="C559" t="s">
        <v>40</v>
      </c>
      <c r="D559">
        <v>2022</v>
      </c>
      <c r="E559">
        <v>5.8054687081874778</v>
      </c>
      <c r="F559">
        <v>6.7526124502433778</v>
      </c>
      <c r="G559">
        <f t="shared" si="8"/>
        <v>0.94714374205589991</v>
      </c>
      <c r="H559">
        <v>0.20372319717267059</v>
      </c>
    </row>
    <row r="560" spans="1:8" x14ac:dyDescent="0.35">
      <c r="A560" t="s">
        <v>77</v>
      </c>
      <c r="B560" t="s">
        <v>61</v>
      </c>
      <c r="C560" t="s">
        <v>38</v>
      </c>
      <c r="D560">
        <v>2023</v>
      </c>
      <c r="E560">
        <v>0.71696140778811923</v>
      </c>
      <c r="F560">
        <v>3.0529202104847739</v>
      </c>
      <c r="G560">
        <f t="shared" si="8"/>
        <v>2.3359588026966547</v>
      </c>
      <c r="H560">
        <v>0.25055247475281461</v>
      </c>
    </row>
    <row r="561" spans="1:8" x14ac:dyDescent="0.35">
      <c r="A561" t="s">
        <v>77</v>
      </c>
      <c r="B561" t="s">
        <v>63</v>
      </c>
      <c r="C561" t="s">
        <v>38</v>
      </c>
      <c r="D561">
        <v>2023</v>
      </c>
      <c r="E561">
        <v>2.226883105497079</v>
      </c>
      <c r="F561">
        <v>3.0529202104847739</v>
      </c>
      <c r="G561">
        <f t="shared" si="8"/>
        <v>0.82603710498769489</v>
      </c>
      <c r="H561">
        <v>0.25055247475281461</v>
      </c>
    </row>
    <row r="562" spans="1:8" x14ac:dyDescent="0.35">
      <c r="A562" t="s">
        <v>77</v>
      </c>
      <c r="B562" t="s">
        <v>62</v>
      </c>
      <c r="C562" t="s">
        <v>40</v>
      </c>
      <c r="D562">
        <v>2023</v>
      </c>
      <c r="E562">
        <v>2.6604918870074319</v>
      </c>
      <c r="F562">
        <v>3.0529202104847739</v>
      </c>
      <c r="G562">
        <f t="shared" si="8"/>
        <v>0.39242832347734202</v>
      </c>
      <c r="H562">
        <v>0.25055247475281461</v>
      </c>
    </row>
    <row r="563" spans="1:8" x14ac:dyDescent="0.35">
      <c r="A563" t="s">
        <v>77</v>
      </c>
      <c r="B563" t="s">
        <v>64</v>
      </c>
      <c r="C563" t="s">
        <v>40</v>
      </c>
      <c r="D563">
        <v>2023</v>
      </c>
      <c r="E563">
        <v>2.4387614512581202</v>
      </c>
      <c r="F563">
        <v>3.0529202104847739</v>
      </c>
      <c r="G563">
        <f t="shared" si="8"/>
        <v>0.61415875922665375</v>
      </c>
      <c r="H563">
        <v>0.25055247475281461</v>
      </c>
    </row>
    <row r="564" spans="1:8" x14ac:dyDescent="0.35">
      <c r="A564" t="s">
        <v>77</v>
      </c>
      <c r="B564" t="s">
        <v>63</v>
      </c>
      <c r="C564" t="s">
        <v>38</v>
      </c>
      <c r="D564">
        <v>2024</v>
      </c>
      <c r="E564">
        <v>1.3133477904788251</v>
      </c>
      <c r="F564">
        <v>2.1904072780361381</v>
      </c>
      <c r="G564">
        <f t="shared" si="8"/>
        <v>0.877059487557313</v>
      </c>
      <c r="H564">
        <v>0.29518356966946802</v>
      </c>
    </row>
    <row r="565" spans="1:8" x14ac:dyDescent="0.35">
      <c r="A565" t="s">
        <v>77</v>
      </c>
      <c r="B565" t="s">
        <v>65</v>
      </c>
      <c r="C565" t="s">
        <v>38</v>
      </c>
      <c r="D565">
        <v>2024</v>
      </c>
      <c r="E565">
        <v>1.6514732694230541</v>
      </c>
      <c r="F565">
        <v>2.1904072780361381</v>
      </c>
      <c r="G565">
        <f t="shared" si="8"/>
        <v>0.53893400861308405</v>
      </c>
      <c r="H565">
        <v>0.29518356966946802</v>
      </c>
    </row>
    <row r="566" spans="1:8" x14ac:dyDescent="0.35">
      <c r="A566" t="s">
        <v>77</v>
      </c>
      <c r="B566" t="s">
        <v>64</v>
      </c>
      <c r="C566" t="s">
        <v>40</v>
      </c>
      <c r="D566">
        <v>2024</v>
      </c>
      <c r="E566">
        <v>1.7569161258840891</v>
      </c>
      <c r="F566">
        <v>2.1904072780361381</v>
      </c>
      <c r="G566">
        <f t="shared" si="8"/>
        <v>0.43349115215204903</v>
      </c>
      <c r="H566">
        <v>0.29518356966946802</v>
      </c>
    </row>
    <row r="567" spans="1:8" x14ac:dyDescent="0.35">
      <c r="A567" t="s">
        <v>77</v>
      </c>
      <c r="B567" t="s">
        <v>66</v>
      </c>
      <c r="C567" t="s">
        <v>40</v>
      </c>
      <c r="D567">
        <v>2024</v>
      </c>
      <c r="E567">
        <v>1.734179743438991</v>
      </c>
      <c r="F567">
        <v>2.1904072780361381</v>
      </c>
      <c r="G567">
        <f t="shared" si="8"/>
        <v>0.45622753459714716</v>
      </c>
      <c r="H567">
        <v>0.29518356966946802</v>
      </c>
    </row>
    <row r="568" spans="1:8" x14ac:dyDescent="0.35">
      <c r="A568" t="s">
        <v>77</v>
      </c>
      <c r="B568" t="s">
        <v>65</v>
      </c>
      <c r="C568" t="s">
        <v>38</v>
      </c>
      <c r="D568">
        <v>2025</v>
      </c>
      <c r="E568">
        <v>1.851074416505627</v>
      </c>
      <c r="F568">
        <v>1.8442000090405599</v>
      </c>
      <c r="G568">
        <f t="shared" si="8"/>
        <v>-6.8744074650670672E-3</v>
      </c>
      <c r="H568">
        <v>4.3141098767000223E-2</v>
      </c>
    </row>
    <row r="569" spans="1:8" x14ac:dyDescent="0.35">
      <c r="A569" t="s">
        <v>77</v>
      </c>
      <c r="B569" t="s">
        <v>71</v>
      </c>
      <c r="C569" t="s">
        <v>38</v>
      </c>
      <c r="D569">
        <v>2025</v>
      </c>
      <c r="E569">
        <v>1.898720252436026</v>
      </c>
      <c r="F569">
        <v>1.8442000090405599</v>
      </c>
      <c r="G569">
        <f t="shared" si="8"/>
        <v>-5.4520243395466128E-2</v>
      </c>
      <c r="H569">
        <v>4.3141098767000223E-2</v>
      </c>
    </row>
    <row r="570" spans="1:8" x14ac:dyDescent="0.35">
      <c r="A570" t="s">
        <v>77</v>
      </c>
      <c r="B570" t="s">
        <v>66</v>
      </c>
      <c r="C570" t="s">
        <v>40</v>
      </c>
      <c r="D570">
        <v>2025</v>
      </c>
      <c r="E570">
        <v>1.87529344869708</v>
      </c>
      <c r="F570">
        <v>1.8442000090405599</v>
      </c>
      <c r="G570">
        <f t="shared" si="8"/>
        <v>-3.1093439656520117E-2</v>
      </c>
      <c r="H570">
        <v>4.3141098767000223E-2</v>
      </c>
    </row>
    <row r="571" spans="1:8" x14ac:dyDescent="0.35">
      <c r="A571" t="s">
        <v>77</v>
      </c>
      <c r="B571" t="s">
        <v>72</v>
      </c>
      <c r="C571" t="s">
        <v>40</v>
      </c>
      <c r="D571">
        <v>2025</v>
      </c>
      <c r="E571">
        <v>1.7505876843593839</v>
      </c>
      <c r="F571">
        <v>1.8442000090405599</v>
      </c>
      <c r="G571">
        <f t="shared" si="8"/>
        <v>9.3612324681175973E-2</v>
      </c>
      <c r="H571">
        <v>4.3141098767000223E-2</v>
      </c>
    </row>
    <row r="572" spans="1:8" x14ac:dyDescent="0.35">
      <c r="A572" t="s">
        <v>77</v>
      </c>
      <c r="B572" t="s">
        <v>71</v>
      </c>
      <c r="C572" t="s">
        <v>38</v>
      </c>
      <c r="D572">
        <v>2026</v>
      </c>
      <c r="E572">
        <v>2.230218535318218</v>
      </c>
      <c r="G572" t="str">
        <f t="shared" si="8"/>
        <v/>
      </c>
      <c r="H572">
        <v>9.3006789852331434E-2</v>
      </c>
    </row>
    <row r="573" spans="1:8" x14ac:dyDescent="0.35">
      <c r="A573" t="s">
        <v>77</v>
      </c>
      <c r="B573" t="s">
        <v>72</v>
      </c>
      <c r="C573" t="s">
        <v>40</v>
      </c>
      <c r="D573">
        <v>2026</v>
      </c>
      <c r="E573">
        <v>2.2455624522224049</v>
      </c>
      <c r="G573" t="str">
        <f t="shared" si="8"/>
        <v/>
      </c>
      <c r="H573">
        <v>9.3006789852331434E-2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26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7</v>
      </c>
    </row>
    <row r="2" spans="1:8" x14ac:dyDescent="0.35">
      <c r="A2" t="s">
        <v>36</v>
      </c>
      <c r="B2" t="s">
        <v>55</v>
      </c>
      <c r="C2" t="s">
        <v>38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0.91541797612301412</v>
      </c>
    </row>
    <row r="3" spans="1:8" x14ac:dyDescent="0.35">
      <c r="A3" t="s">
        <v>36</v>
      </c>
      <c r="B3" t="s">
        <v>57</v>
      </c>
      <c r="C3" t="s">
        <v>38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0.91541797612301412</v>
      </c>
    </row>
    <row r="4" spans="1:8" x14ac:dyDescent="0.35">
      <c r="A4" t="s">
        <v>36</v>
      </c>
      <c r="B4" t="s">
        <v>56</v>
      </c>
      <c r="C4" t="s">
        <v>40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0.91541797612301412</v>
      </c>
    </row>
    <row r="5" spans="1:8" x14ac:dyDescent="0.35">
      <c r="A5" t="s">
        <v>36</v>
      </c>
      <c r="B5" t="s">
        <v>58</v>
      </c>
      <c r="C5" t="s">
        <v>40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0.91541797612301412</v>
      </c>
    </row>
    <row r="6" spans="1:8" x14ac:dyDescent="0.35">
      <c r="A6" t="s">
        <v>36</v>
      </c>
      <c r="B6" t="s">
        <v>57</v>
      </c>
      <c r="C6" t="s">
        <v>38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0.85423512668441748</v>
      </c>
    </row>
    <row r="7" spans="1:8" x14ac:dyDescent="0.35">
      <c r="A7" t="s">
        <v>36</v>
      </c>
      <c r="B7" t="s">
        <v>59</v>
      </c>
      <c r="C7" t="s">
        <v>38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0.85423512668441748</v>
      </c>
    </row>
    <row r="8" spans="1:8" x14ac:dyDescent="0.35">
      <c r="A8" t="s">
        <v>36</v>
      </c>
      <c r="B8" t="s">
        <v>58</v>
      </c>
      <c r="C8" t="s">
        <v>40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0.85423512668441748</v>
      </c>
    </row>
    <row r="9" spans="1:8" x14ac:dyDescent="0.35">
      <c r="A9" t="s">
        <v>36</v>
      </c>
      <c r="B9" t="s">
        <v>60</v>
      </c>
      <c r="C9" t="s">
        <v>40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0.85423512668441748</v>
      </c>
    </row>
    <row r="10" spans="1:8" x14ac:dyDescent="0.35">
      <c r="A10" t="s">
        <v>36</v>
      </c>
      <c r="B10" t="s">
        <v>59</v>
      </c>
      <c r="C10" t="s">
        <v>38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0.79318298754570626</v>
      </c>
    </row>
    <row r="11" spans="1:8" x14ac:dyDescent="0.35">
      <c r="A11" t="s">
        <v>36</v>
      </c>
      <c r="B11" t="s">
        <v>61</v>
      </c>
      <c r="C11" t="s">
        <v>38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0.79318298754570626</v>
      </c>
    </row>
    <row r="12" spans="1:8" x14ac:dyDescent="0.35">
      <c r="A12" t="s">
        <v>36</v>
      </c>
      <c r="B12" t="s">
        <v>60</v>
      </c>
      <c r="C12" t="s">
        <v>40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0.79318298754570626</v>
      </c>
    </row>
    <row r="13" spans="1:8" x14ac:dyDescent="0.35">
      <c r="A13" t="s">
        <v>36</v>
      </c>
      <c r="B13" t="s">
        <v>62</v>
      </c>
      <c r="C13" t="s">
        <v>40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0.79318298754570626</v>
      </c>
    </row>
    <row r="14" spans="1:8" x14ac:dyDescent="0.35">
      <c r="A14" t="s">
        <v>36</v>
      </c>
      <c r="B14" t="s">
        <v>61</v>
      </c>
      <c r="C14" t="s">
        <v>38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0.74324805484371159</v>
      </c>
    </row>
    <row r="15" spans="1:8" x14ac:dyDescent="0.35">
      <c r="A15" t="s">
        <v>36</v>
      </c>
      <c r="B15" t="s">
        <v>63</v>
      </c>
      <c r="C15" t="s">
        <v>38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0.74324805484371159</v>
      </c>
    </row>
    <row r="16" spans="1:8" x14ac:dyDescent="0.35">
      <c r="A16" t="s">
        <v>36</v>
      </c>
      <c r="B16" t="s">
        <v>62</v>
      </c>
      <c r="C16" t="s">
        <v>40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0.74324805484371159</v>
      </c>
    </row>
    <row r="17" spans="1:8" x14ac:dyDescent="0.35">
      <c r="A17" t="s">
        <v>36</v>
      </c>
      <c r="B17" t="s">
        <v>64</v>
      </c>
      <c r="C17" t="s">
        <v>40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0.74324805484371159</v>
      </c>
    </row>
    <row r="18" spans="1:8" x14ac:dyDescent="0.35">
      <c r="A18" t="s">
        <v>36</v>
      </c>
      <c r="B18" t="s">
        <v>63</v>
      </c>
      <c r="C18" t="s">
        <v>38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0.48385240401732688</v>
      </c>
    </row>
    <row r="19" spans="1:8" x14ac:dyDescent="0.35">
      <c r="A19" t="s">
        <v>36</v>
      </c>
      <c r="B19" t="s">
        <v>65</v>
      </c>
      <c r="C19" t="s">
        <v>38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0.48385240401732688</v>
      </c>
    </row>
    <row r="20" spans="1:8" x14ac:dyDescent="0.35">
      <c r="A20" t="s">
        <v>36</v>
      </c>
      <c r="B20" t="s">
        <v>64</v>
      </c>
      <c r="C20" t="s">
        <v>40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0.48385240401732688</v>
      </c>
    </row>
    <row r="21" spans="1:8" x14ac:dyDescent="0.35">
      <c r="A21" t="s">
        <v>36</v>
      </c>
      <c r="B21" t="s">
        <v>66</v>
      </c>
      <c r="C21" t="s">
        <v>40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0.48385240401732688</v>
      </c>
    </row>
    <row r="22" spans="1:8" x14ac:dyDescent="0.35">
      <c r="A22" t="s">
        <v>36</v>
      </c>
      <c r="B22" t="s">
        <v>65</v>
      </c>
      <c r="C22" t="s">
        <v>38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6.562263636895671E-2</v>
      </c>
    </row>
    <row r="23" spans="1:8" x14ac:dyDescent="0.35">
      <c r="A23" t="s">
        <v>36</v>
      </c>
      <c r="B23" t="s">
        <v>71</v>
      </c>
      <c r="C23" t="s">
        <v>38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6.562263636895671E-2</v>
      </c>
    </row>
    <row r="24" spans="1:8" x14ac:dyDescent="0.35">
      <c r="A24" t="s">
        <v>36</v>
      </c>
      <c r="B24" t="s">
        <v>66</v>
      </c>
      <c r="C24" t="s">
        <v>40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6.562263636895671E-2</v>
      </c>
    </row>
    <row r="25" spans="1:8" x14ac:dyDescent="0.35">
      <c r="A25" t="s">
        <v>36</v>
      </c>
      <c r="B25" t="s">
        <v>72</v>
      </c>
      <c r="C25" t="s">
        <v>40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6.562263636895671E-2</v>
      </c>
    </row>
    <row r="26" spans="1:8" x14ac:dyDescent="0.35">
      <c r="A26" t="s">
        <v>36</v>
      </c>
      <c r="B26" t="s">
        <v>71</v>
      </c>
      <c r="C26" t="s">
        <v>38</v>
      </c>
      <c r="D26">
        <v>2026</v>
      </c>
      <c r="E26">
        <v>0.88463570458545693</v>
      </c>
      <c r="G26" t="str">
        <f t="shared" si="0"/>
        <v/>
      </c>
      <c r="H26">
        <v>0.3559829624806633</v>
      </c>
    </row>
    <row r="27" spans="1:8" x14ac:dyDescent="0.35">
      <c r="A27" t="s">
        <v>36</v>
      </c>
      <c r="B27" t="s">
        <v>72</v>
      </c>
      <c r="C27" t="s">
        <v>40</v>
      </c>
      <c r="D27">
        <v>2026</v>
      </c>
      <c r="E27">
        <v>0.97202851159921</v>
      </c>
      <c r="G27" t="str">
        <f t="shared" si="0"/>
        <v/>
      </c>
      <c r="H27">
        <v>0.3559829624806633</v>
      </c>
    </row>
    <row r="28" spans="1:8" x14ac:dyDescent="0.35">
      <c r="A28" t="s">
        <v>67</v>
      </c>
      <c r="B28" t="s">
        <v>55</v>
      </c>
      <c r="C28" t="s">
        <v>38</v>
      </c>
      <c r="D28">
        <v>2020</v>
      </c>
      <c r="E28">
        <v>0.96034482213216421</v>
      </c>
      <c r="F28">
        <v>-4.9116764965584894</v>
      </c>
      <c r="G28">
        <f t="shared" si="0"/>
        <v>-5.8720213186906536</v>
      </c>
      <c r="H28">
        <v>0.94497516890248479</v>
      </c>
    </row>
    <row r="29" spans="1:8" x14ac:dyDescent="0.35">
      <c r="A29" t="s">
        <v>67</v>
      </c>
      <c r="B29" t="s">
        <v>57</v>
      </c>
      <c r="C29" t="s">
        <v>38</v>
      </c>
      <c r="D29">
        <v>2020</v>
      </c>
      <c r="E29">
        <v>-8.420158667688538</v>
      </c>
      <c r="F29">
        <v>-4.9116764965584894</v>
      </c>
      <c r="G29">
        <f t="shared" si="0"/>
        <v>3.5084821711300487</v>
      </c>
      <c r="H29">
        <v>0.94497516890248479</v>
      </c>
    </row>
    <row r="30" spans="1:8" x14ac:dyDescent="0.35">
      <c r="A30" t="s">
        <v>67</v>
      </c>
      <c r="B30" t="s">
        <v>56</v>
      </c>
      <c r="C30" t="s">
        <v>40</v>
      </c>
      <c r="D30">
        <v>2020</v>
      </c>
      <c r="E30">
        <v>1.199077085455502</v>
      </c>
      <c r="F30">
        <v>-4.9116764965584894</v>
      </c>
      <c r="G30">
        <f t="shared" si="0"/>
        <v>-6.1107535820139915</v>
      </c>
      <c r="H30">
        <v>0.94497516890248479</v>
      </c>
    </row>
    <row r="31" spans="1:8" x14ac:dyDescent="0.35">
      <c r="A31" t="s">
        <v>67</v>
      </c>
      <c r="B31" t="s">
        <v>58</v>
      </c>
      <c r="C31" t="s">
        <v>40</v>
      </c>
      <c r="D31">
        <v>2020</v>
      </c>
      <c r="E31">
        <v>-7.1575995247655024</v>
      </c>
      <c r="F31">
        <v>-4.9116764965584894</v>
      </c>
      <c r="G31">
        <f t="shared" si="0"/>
        <v>2.2459230282070131</v>
      </c>
      <c r="H31">
        <v>0.94497516890248479</v>
      </c>
    </row>
    <row r="32" spans="1:8" x14ac:dyDescent="0.35">
      <c r="A32" t="s">
        <v>67</v>
      </c>
      <c r="B32" t="s">
        <v>57</v>
      </c>
      <c r="C32" t="s">
        <v>38</v>
      </c>
      <c r="D32">
        <v>2021</v>
      </c>
      <c r="E32">
        <v>4.1239049795648741</v>
      </c>
      <c r="F32">
        <v>6.0667175798443678</v>
      </c>
      <c r="G32">
        <f t="shared" si="0"/>
        <v>1.9428126002794937</v>
      </c>
      <c r="H32">
        <v>0.91741299389035302</v>
      </c>
    </row>
    <row r="33" spans="1:8" x14ac:dyDescent="0.35">
      <c r="A33" t="s">
        <v>67</v>
      </c>
      <c r="B33" t="s">
        <v>59</v>
      </c>
      <c r="C33" t="s">
        <v>38</v>
      </c>
      <c r="D33">
        <v>2021</v>
      </c>
      <c r="E33">
        <v>5.9836029339416452</v>
      </c>
      <c r="F33">
        <v>6.0667175798443678</v>
      </c>
      <c r="G33">
        <f t="shared" si="0"/>
        <v>8.311464590272255E-2</v>
      </c>
      <c r="H33">
        <v>0.91741299389035302</v>
      </c>
    </row>
    <row r="34" spans="1:8" x14ac:dyDescent="0.35">
      <c r="A34" t="s">
        <v>67</v>
      </c>
      <c r="B34" t="s">
        <v>58</v>
      </c>
      <c r="C34" t="s">
        <v>40</v>
      </c>
      <c r="D34">
        <v>2021</v>
      </c>
      <c r="E34">
        <v>6.6899129841448302</v>
      </c>
      <c r="F34">
        <v>6.0667175798443678</v>
      </c>
      <c r="G34">
        <f t="shared" si="0"/>
        <v>-0.62319540430046239</v>
      </c>
      <c r="H34">
        <v>0.91741299389035302</v>
      </c>
    </row>
    <row r="35" spans="1:8" x14ac:dyDescent="0.35">
      <c r="A35" t="s">
        <v>67</v>
      </c>
      <c r="B35" t="s">
        <v>60</v>
      </c>
      <c r="C35" t="s">
        <v>40</v>
      </c>
      <c r="D35">
        <v>2021</v>
      </c>
      <c r="E35">
        <v>4.5423071463688514</v>
      </c>
      <c r="F35">
        <v>6.0667175798443678</v>
      </c>
      <c r="G35">
        <f t="shared" si="0"/>
        <v>1.5244104334755164</v>
      </c>
      <c r="H35">
        <v>0.91741299389035302</v>
      </c>
    </row>
    <row r="36" spans="1:8" x14ac:dyDescent="0.35">
      <c r="A36" t="s">
        <v>67</v>
      </c>
      <c r="B36" t="s">
        <v>59</v>
      </c>
      <c r="C36" t="s">
        <v>38</v>
      </c>
      <c r="D36">
        <v>2022</v>
      </c>
      <c r="E36">
        <v>2.6471364529380592</v>
      </c>
      <c r="F36">
        <v>3.945716681463399</v>
      </c>
      <c r="G36">
        <f t="shared" si="0"/>
        <v>1.2985802285253398</v>
      </c>
      <c r="H36">
        <v>0.8630359765160468</v>
      </c>
    </row>
    <row r="37" spans="1:8" x14ac:dyDescent="0.35">
      <c r="A37" t="s">
        <v>67</v>
      </c>
      <c r="B37" t="s">
        <v>61</v>
      </c>
      <c r="C37" t="s">
        <v>38</v>
      </c>
      <c r="D37">
        <v>2022</v>
      </c>
      <c r="E37">
        <v>2.8171147512312089</v>
      </c>
      <c r="F37">
        <v>3.945716681463399</v>
      </c>
      <c r="G37">
        <f t="shared" si="0"/>
        <v>1.1286019302321901</v>
      </c>
      <c r="H37">
        <v>0.8630359765160468</v>
      </c>
    </row>
    <row r="38" spans="1:8" x14ac:dyDescent="0.35">
      <c r="A38" t="s">
        <v>67</v>
      </c>
      <c r="B38" t="s">
        <v>60</v>
      </c>
      <c r="C38" t="s">
        <v>40</v>
      </c>
      <c r="D38">
        <v>2022</v>
      </c>
      <c r="E38">
        <v>3.671117125209777</v>
      </c>
      <c r="F38">
        <v>3.945716681463399</v>
      </c>
      <c r="G38">
        <f t="shared" si="0"/>
        <v>0.27459955625362209</v>
      </c>
      <c r="H38">
        <v>0.8630359765160468</v>
      </c>
    </row>
    <row r="39" spans="1:8" x14ac:dyDescent="0.35">
      <c r="A39" t="s">
        <v>67</v>
      </c>
      <c r="B39" t="s">
        <v>62</v>
      </c>
      <c r="C39" t="s">
        <v>40</v>
      </c>
      <c r="D39">
        <v>2022</v>
      </c>
      <c r="E39">
        <v>2.0165795618690252</v>
      </c>
      <c r="F39">
        <v>3.945716681463399</v>
      </c>
      <c r="G39">
        <f t="shared" si="0"/>
        <v>1.9291371195943738</v>
      </c>
      <c r="H39">
        <v>0.8630359765160468</v>
      </c>
    </row>
    <row r="40" spans="1:8" x14ac:dyDescent="0.35">
      <c r="A40" t="s">
        <v>67</v>
      </c>
      <c r="B40" t="s">
        <v>61</v>
      </c>
      <c r="C40" t="s">
        <v>38</v>
      </c>
      <c r="D40">
        <v>2023</v>
      </c>
      <c r="E40">
        <v>0.1608186912456899</v>
      </c>
      <c r="F40">
        <v>1.5491827810755261</v>
      </c>
      <c r="G40">
        <f t="shared" si="0"/>
        <v>1.3883640898298362</v>
      </c>
      <c r="H40">
        <v>0.71743568306368155</v>
      </c>
    </row>
    <row r="41" spans="1:8" x14ac:dyDescent="0.35">
      <c r="A41" t="s">
        <v>67</v>
      </c>
      <c r="B41" t="s">
        <v>63</v>
      </c>
      <c r="C41" t="s">
        <v>38</v>
      </c>
      <c r="D41">
        <v>2023</v>
      </c>
      <c r="E41">
        <v>1.44096095579862</v>
      </c>
      <c r="F41">
        <v>1.5491827810755261</v>
      </c>
      <c r="G41">
        <f t="shared" si="0"/>
        <v>0.10822182527690605</v>
      </c>
      <c r="H41">
        <v>0.71743568306368155</v>
      </c>
    </row>
    <row r="42" spans="1:8" x14ac:dyDescent="0.35">
      <c r="A42" t="s">
        <v>67</v>
      </c>
      <c r="B42" t="s">
        <v>62</v>
      </c>
      <c r="C42" t="s">
        <v>40</v>
      </c>
      <c r="D42">
        <v>2023</v>
      </c>
      <c r="E42">
        <v>1.7766240808305469</v>
      </c>
      <c r="F42">
        <v>1.5491827810755261</v>
      </c>
      <c r="G42">
        <f t="shared" si="0"/>
        <v>-0.22744129975502081</v>
      </c>
      <c r="H42">
        <v>0.71743568306368155</v>
      </c>
    </row>
    <row r="43" spans="1:8" x14ac:dyDescent="0.35">
      <c r="A43" t="s">
        <v>67</v>
      </c>
      <c r="B43" t="s">
        <v>64</v>
      </c>
      <c r="C43" t="s">
        <v>40</v>
      </c>
      <c r="D43">
        <v>2023</v>
      </c>
      <c r="E43">
        <v>1.2330728065618859</v>
      </c>
      <c r="F43">
        <v>1.5491827810755261</v>
      </c>
      <c r="G43">
        <f t="shared" si="0"/>
        <v>0.3161099745136402</v>
      </c>
      <c r="H43">
        <v>0.71743568306368155</v>
      </c>
    </row>
    <row r="44" spans="1:8" x14ac:dyDescent="0.35">
      <c r="A44" t="s">
        <v>67</v>
      </c>
      <c r="B44" t="s">
        <v>63</v>
      </c>
      <c r="C44" t="s">
        <v>38</v>
      </c>
      <c r="D44">
        <v>2024</v>
      </c>
      <c r="E44">
        <v>1.366814397179428</v>
      </c>
      <c r="F44">
        <v>1.0917584184985489</v>
      </c>
      <c r="G44">
        <f t="shared" si="0"/>
        <v>-0.27505597868087905</v>
      </c>
      <c r="H44">
        <v>0.21859314049932341</v>
      </c>
    </row>
    <row r="45" spans="1:8" x14ac:dyDescent="0.35">
      <c r="A45" t="s">
        <v>67</v>
      </c>
      <c r="B45" t="s">
        <v>65</v>
      </c>
      <c r="C45" t="s">
        <v>38</v>
      </c>
      <c r="D45">
        <v>2024</v>
      </c>
      <c r="E45">
        <v>1.144309940913812</v>
      </c>
      <c r="F45">
        <v>1.0917584184985489</v>
      </c>
      <c r="G45">
        <f t="shared" si="0"/>
        <v>-5.2551522415263063E-2</v>
      </c>
      <c r="H45">
        <v>0.21859314049932341</v>
      </c>
    </row>
    <row r="46" spans="1:8" x14ac:dyDescent="0.35">
      <c r="A46" t="s">
        <v>67</v>
      </c>
      <c r="B46" t="s">
        <v>64</v>
      </c>
      <c r="C46" t="s">
        <v>40</v>
      </c>
      <c r="D46">
        <v>2024</v>
      </c>
      <c r="E46">
        <v>1.3611844962323929</v>
      </c>
      <c r="F46">
        <v>1.0917584184985489</v>
      </c>
      <c r="G46">
        <f t="shared" si="0"/>
        <v>-0.26942607773384397</v>
      </c>
      <c r="H46">
        <v>0.21859314049932341</v>
      </c>
    </row>
    <row r="47" spans="1:8" x14ac:dyDescent="0.35">
      <c r="A47" t="s">
        <v>67</v>
      </c>
      <c r="B47" t="s">
        <v>66</v>
      </c>
      <c r="C47" t="s">
        <v>40</v>
      </c>
      <c r="D47">
        <v>2024</v>
      </c>
      <c r="E47">
        <v>1.2741731353000501</v>
      </c>
      <c r="F47">
        <v>1.0917584184985489</v>
      </c>
      <c r="G47">
        <f t="shared" si="0"/>
        <v>-0.18241471680150112</v>
      </c>
      <c r="H47">
        <v>0.21859314049932341</v>
      </c>
    </row>
    <row r="48" spans="1:8" x14ac:dyDescent="0.35">
      <c r="A48" t="s">
        <v>67</v>
      </c>
      <c r="B48" t="s">
        <v>65</v>
      </c>
      <c r="C48" t="s">
        <v>38</v>
      </c>
      <c r="D48">
        <v>2025</v>
      </c>
      <c r="E48">
        <v>1.2445832169132749</v>
      </c>
      <c r="F48">
        <v>0.97833513074895262</v>
      </c>
      <c r="G48">
        <f t="shared" si="0"/>
        <v>-0.26624808616432227</v>
      </c>
      <c r="H48">
        <v>2.7062806004489109E-2</v>
      </c>
    </row>
    <row r="49" spans="1:8" x14ac:dyDescent="0.35">
      <c r="A49" t="s">
        <v>67</v>
      </c>
      <c r="B49" t="s">
        <v>71</v>
      </c>
      <c r="C49" t="s">
        <v>38</v>
      </c>
      <c r="D49">
        <v>2025</v>
      </c>
      <c r="E49">
        <v>0.99784735760106713</v>
      </c>
      <c r="F49">
        <v>0.97833513074895262</v>
      </c>
      <c r="G49">
        <f t="shared" si="0"/>
        <v>-1.9512226852114511E-2</v>
      </c>
      <c r="H49">
        <v>2.7062806004489109E-2</v>
      </c>
    </row>
    <row r="50" spans="1:8" x14ac:dyDescent="0.35">
      <c r="A50" t="s">
        <v>67</v>
      </c>
      <c r="B50" t="s">
        <v>66</v>
      </c>
      <c r="C50" t="s">
        <v>40</v>
      </c>
      <c r="D50">
        <v>2025</v>
      </c>
      <c r="E50">
        <v>1.3772936758912999</v>
      </c>
      <c r="F50">
        <v>0.97833513074895262</v>
      </c>
      <c r="G50">
        <f t="shared" si="0"/>
        <v>-0.3989585451423473</v>
      </c>
      <c r="H50">
        <v>2.7062806004489109E-2</v>
      </c>
    </row>
    <row r="51" spans="1:8" x14ac:dyDescent="0.35">
      <c r="A51" t="s">
        <v>67</v>
      </c>
      <c r="B51" t="s">
        <v>72</v>
      </c>
      <c r="C51" t="s">
        <v>40</v>
      </c>
      <c r="D51">
        <v>2025</v>
      </c>
      <c r="E51">
        <v>0.76893815941332377</v>
      </c>
      <c r="F51">
        <v>0.97833513074895262</v>
      </c>
      <c r="G51">
        <f t="shared" si="0"/>
        <v>0.20939697133562885</v>
      </c>
      <c r="H51">
        <v>2.7062806004489109E-2</v>
      </c>
    </row>
    <row r="52" spans="1:8" x14ac:dyDescent="0.35">
      <c r="A52" t="s">
        <v>67</v>
      </c>
      <c r="B52" t="s">
        <v>71</v>
      </c>
      <c r="C52" t="s">
        <v>38</v>
      </c>
      <c r="D52">
        <v>2026</v>
      </c>
      <c r="E52">
        <v>1.1470051470927609</v>
      </c>
      <c r="G52" t="str">
        <f t="shared" si="0"/>
        <v/>
      </c>
      <c r="H52">
        <v>0.31215408421731011</v>
      </c>
    </row>
    <row r="53" spans="1:8" x14ac:dyDescent="0.35">
      <c r="A53" t="s">
        <v>67</v>
      </c>
      <c r="B53" t="s">
        <v>72</v>
      </c>
      <c r="C53" t="s">
        <v>40</v>
      </c>
      <c r="D53">
        <v>2026</v>
      </c>
      <c r="E53">
        <v>0.85752820542872588</v>
      </c>
      <c r="G53" t="str">
        <f t="shared" si="0"/>
        <v/>
      </c>
      <c r="H53">
        <v>0.31215408421731011</v>
      </c>
    </row>
    <row r="54" spans="1:8" x14ac:dyDescent="0.35">
      <c r="A54" t="s">
        <v>68</v>
      </c>
      <c r="B54" t="s">
        <v>55</v>
      </c>
      <c r="C54" t="s">
        <v>38</v>
      </c>
      <c r="D54">
        <v>2020</v>
      </c>
      <c r="E54">
        <v>1.0098419735112829</v>
      </c>
      <c r="F54">
        <v>-4.5019012679871278</v>
      </c>
      <c r="G54">
        <f t="shared" si="0"/>
        <v>-5.5117432414984107</v>
      </c>
      <c r="H54">
        <v>0.93883988584513833</v>
      </c>
    </row>
    <row r="55" spans="1:8" x14ac:dyDescent="0.35">
      <c r="A55" t="s">
        <v>68</v>
      </c>
      <c r="B55" t="s">
        <v>57</v>
      </c>
      <c r="C55" t="s">
        <v>38</v>
      </c>
      <c r="D55">
        <v>2020</v>
      </c>
      <c r="E55">
        <v>-5.5682040725027582</v>
      </c>
      <c r="F55">
        <v>-4.5019012679871278</v>
      </c>
      <c r="G55">
        <f t="shared" si="0"/>
        <v>1.0663028045156304</v>
      </c>
      <c r="H55">
        <v>0.93883988584513833</v>
      </c>
    </row>
    <row r="56" spans="1:8" x14ac:dyDescent="0.35">
      <c r="A56" t="s">
        <v>68</v>
      </c>
      <c r="B56" t="s">
        <v>56</v>
      </c>
      <c r="C56" t="s">
        <v>40</v>
      </c>
      <c r="D56">
        <v>2020</v>
      </c>
      <c r="E56">
        <v>1.5458815393741829</v>
      </c>
      <c r="F56">
        <v>-4.5019012679871278</v>
      </c>
      <c r="G56">
        <f t="shared" si="0"/>
        <v>-6.0477828073613109</v>
      </c>
      <c r="H56">
        <v>0.93883988584513833</v>
      </c>
    </row>
    <row r="57" spans="1:8" x14ac:dyDescent="0.35">
      <c r="A57" t="s">
        <v>68</v>
      </c>
      <c r="B57" t="s">
        <v>58</v>
      </c>
      <c r="C57" t="s">
        <v>40</v>
      </c>
      <c r="D57">
        <v>2020</v>
      </c>
      <c r="E57">
        <v>-6.4695771848944261</v>
      </c>
      <c r="F57">
        <v>-4.5019012679871278</v>
      </c>
      <c r="G57">
        <f t="shared" si="0"/>
        <v>1.9676759169072984</v>
      </c>
      <c r="H57">
        <v>0.93883988584513833</v>
      </c>
    </row>
    <row r="58" spans="1:8" x14ac:dyDescent="0.35">
      <c r="A58" t="s">
        <v>68</v>
      </c>
      <c r="B58" t="s">
        <v>57</v>
      </c>
      <c r="C58" t="s">
        <v>38</v>
      </c>
      <c r="D58">
        <v>2021</v>
      </c>
      <c r="E58">
        <v>3.5168418141955371</v>
      </c>
      <c r="F58">
        <v>3.8314526417859192</v>
      </c>
      <c r="G58">
        <f t="shared" si="0"/>
        <v>0.31461082759038206</v>
      </c>
      <c r="H58">
        <v>0.94112311293539941</v>
      </c>
    </row>
    <row r="59" spans="1:8" x14ac:dyDescent="0.35">
      <c r="A59" t="s">
        <v>68</v>
      </c>
      <c r="B59" t="s">
        <v>59</v>
      </c>
      <c r="C59" t="s">
        <v>38</v>
      </c>
      <c r="D59">
        <v>2021</v>
      </c>
      <c r="E59">
        <v>2.7343389231728081</v>
      </c>
      <c r="F59">
        <v>3.8314526417859192</v>
      </c>
      <c r="G59">
        <f t="shared" si="0"/>
        <v>1.097113718613111</v>
      </c>
      <c r="H59">
        <v>0.94112311293539941</v>
      </c>
    </row>
    <row r="60" spans="1:8" x14ac:dyDescent="0.35">
      <c r="A60" t="s">
        <v>68</v>
      </c>
      <c r="B60" t="s">
        <v>58</v>
      </c>
      <c r="C60" t="s">
        <v>40</v>
      </c>
      <c r="D60">
        <v>2021</v>
      </c>
      <c r="E60">
        <v>5.8723795390502653</v>
      </c>
      <c r="F60">
        <v>3.8314526417859192</v>
      </c>
      <c r="G60">
        <f t="shared" si="0"/>
        <v>-2.0409268972643462</v>
      </c>
      <c r="H60">
        <v>0.94112311293539941</v>
      </c>
    </row>
    <row r="61" spans="1:8" x14ac:dyDescent="0.35">
      <c r="A61" t="s">
        <v>68</v>
      </c>
      <c r="B61" t="s">
        <v>60</v>
      </c>
      <c r="C61" t="s">
        <v>40</v>
      </c>
      <c r="D61">
        <v>2021</v>
      </c>
      <c r="E61">
        <v>3.405406776981335</v>
      </c>
      <c r="F61">
        <v>3.8314526417859192</v>
      </c>
      <c r="G61">
        <f t="shared" si="0"/>
        <v>0.42604586480458417</v>
      </c>
      <c r="H61">
        <v>0.94112311293539941</v>
      </c>
    </row>
    <row r="62" spans="1:8" x14ac:dyDescent="0.35">
      <c r="A62" t="s">
        <v>68</v>
      </c>
      <c r="B62" t="s">
        <v>59</v>
      </c>
      <c r="C62" t="s">
        <v>38</v>
      </c>
      <c r="D62">
        <v>2022</v>
      </c>
      <c r="E62">
        <v>4.5927784434600882</v>
      </c>
      <c r="F62">
        <v>1.931834126476093</v>
      </c>
      <c r="G62">
        <f t="shared" si="0"/>
        <v>-2.6609443169839953</v>
      </c>
      <c r="H62">
        <v>0.9099167572496889</v>
      </c>
    </row>
    <row r="63" spans="1:8" x14ac:dyDescent="0.35">
      <c r="A63" t="s">
        <v>68</v>
      </c>
      <c r="B63" t="s">
        <v>61</v>
      </c>
      <c r="C63" t="s">
        <v>38</v>
      </c>
      <c r="D63">
        <v>2022</v>
      </c>
      <c r="E63">
        <v>1.55845355711639</v>
      </c>
      <c r="F63">
        <v>1.931834126476093</v>
      </c>
      <c r="G63">
        <f t="shared" si="0"/>
        <v>0.37338056935970299</v>
      </c>
      <c r="H63">
        <v>0.9099167572496889</v>
      </c>
    </row>
    <row r="64" spans="1:8" x14ac:dyDescent="0.35">
      <c r="A64" t="s">
        <v>68</v>
      </c>
      <c r="B64" t="s">
        <v>60</v>
      </c>
      <c r="C64" t="s">
        <v>40</v>
      </c>
      <c r="D64">
        <v>2022</v>
      </c>
      <c r="E64">
        <v>4.0547699734103224</v>
      </c>
      <c r="F64">
        <v>1.931834126476093</v>
      </c>
      <c r="G64">
        <f t="shared" si="0"/>
        <v>-2.1229358469342294</v>
      </c>
      <c r="H64">
        <v>0.9099167572496889</v>
      </c>
    </row>
    <row r="65" spans="1:8" x14ac:dyDescent="0.35">
      <c r="A65" t="s">
        <v>68</v>
      </c>
      <c r="B65" t="s">
        <v>62</v>
      </c>
      <c r="C65" t="s">
        <v>40</v>
      </c>
      <c r="D65">
        <v>2022</v>
      </c>
      <c r="E65">
        <v>1.5579683422439761</v>
      </c>
      <c r="F65">
        <v>1.931834126476093</v>
      </c>
      <c r="G65">
        <f t="shared" si="0"/>
        <v>0.37386578423211692</v>
      </c>
      <c r="H65">
        <v>0.9099167572496889</v>
      </c>
    </row>
    <row r="66" spans="1:8" x14ac:dyDescent="0.35">
      <c r="A66" t="s">
        <v>68</v>
      </c>
      <c r="B66" t="s">
        <v>61</v>
      </c>
      <c r="C66" t="s">
        <v>38</v>
      </c>
      <c r="D66">
        <v>2023</v>
      </c>
      <c r="E66">
        <v>-0.62595524483003429</v>
      </c>
      <c r="F66">
        <v>-0.81689108427086243</v>
      </c>
      <c r="G66">
        <f t="shared" ref="G66:G129" si="1">IF(OR(F66="",E66=""),"",F66-E66)</f>
        <v>-0.19093583944082815</v>
      </c>
      <c r="H66">
        <v>0.89392793670946469</v>
      </c>
    </row>
    <row r="67" spans="1:8" x14ac:dyDescent="0.35">
      <c r="A67" t="s">
        <v>68</v>
      </c>
      <c r="B67" t="s">
        <v>63</v>
      </c>
      <c r="C67" t="s">
        <v>38</v>
      </c>
      <c r="D67">
        <v>2023</v>
      </c>
      <c r="E67">
        <v>-0.27334918709761569</v>
      </c>
      <c r="F67">
        <v>-0.81689108427086243</v>
      </c>
      <c r="G67">
        <f t="shared" si="1"/>
        <v>-0.54354189717324675</v>
      </c>
      <c r="H67">
        <v>0.89392793670946469</v>
      </c>
    </row>
    <row r="68" spans="1:8" x14ac:dyDescent="0.35">
      <c r="A68" t="s">
        <v>68</v>
      </c>
      <c r="B68" t="s">
        <v>62</v>
      </c>
      <c r="C68" t="s">
        <v>40</v>
      </c>
      <c r="D68">
        <v>2023</v>
      </c>
      <c r="E68">
        <v>2.4090316591396821</v>
      </c>
      <c r="F68">
        <v>-0.81689108427086243</v>
      </c>
      <c r="G68">
        <f t="shared" si="1"/>
        <v>-3.2259227434105444</v>
      </c>
      <c r="H68">
        <v>0.89392793670946469</v>
      </c>
    </row>
    <row r="69" spans="1:8" x14ac:dyDescent="0.35">
      <c r="A69" t="s">
        <v>68</v>
      </c>
      <c r="B69" t="s">
        <v>64</v>
      </c>
      <c r="C69" t="s">
        <v>40</v>
      </c>
      <c r="D69">
        <v>2023</v>
      </c>
      <c r="E69">
        <v>0.18957305278237691</v>
      </c>
      <c r="F69">
        <v>-0.81689108427086243</v>
      </c>
      <c r="G69">
        <f t="shared" si="1"/>
        <v>-1.0064641370532392</v>
      </c>
      <c r="H69">
        <v>0.89392793670946469</v>
      </c>
    </row>
    <row r="70" spans="1:8" x14ac:dyDescent="0.35">
      <c r="A70" t="s">
        <v>68</v>
      </c>
      <c r="B70" t="s">
        <v>63</v>
      </c>
      <c r="C70" t="s">
        <v>38</v>
      </c>
      <c r="D70">
        <v>2024</v>
      </c>
      <c r="E70">
        <v>0.80450584510622924</v>
      </c>
      <c r="F70">
        <v>4.0523394564314849E-2</v>
      </c>
      <c r="G70">
        <f t="shared" si="1"/>
        <v>-0.76398245054191438</v>
      </c>
      <c r="H70">
        <v>0.73774439700085059</v>
      </c>
    </row>
    <row r="71" spans="1:8" x14ac:dyDescent="0.35">
      <c r="A71" t="s">
        <v>68</v>
      </c>
      <c r="B71" t="s">
        <v>65</v>
      </c>
      <c r="C71" t="s">
        <v>38</v>
      </c>
      <c r="D71">
        <v>2024</v>
      </c>
      <c r="E71">
        <v>-0.1114510968873272</v>
      </c>
      <c r="F71">
        <v>4.0523394564314849E-2</v>
      </c>
      <c r="G71">
        <f t="shared" si="1"/>
        <v>0.15197449145164205</v>
      </c>
      <c r="H71">
        <v>0.73774439700085059</v>
      </c>
    </row>
    <row r="72" spans="1:8" x14ac:dyDescent="0.35">
      <c r="A72" t="s">
        <v>68</v>
      </c>
      <c r="B72" t="s">
        <v>64</v>
      </c>
      <c r="C72" t="s">
        <v>40</v>
      </c>
      <c r="D72">
        <v>2024</v>
      </c>
      <c r="E72">
        <v>1.358688832068133</v>
      </c>
      <c r="F72">
        <v>4.0523394564314849E-2</v>
      </c>
      <c r="G72">
        <f t="shared" si="1"/>
        <v>-1.3181654375038181</v>
      </c>
      <c r="H72">
        <v>0.73774439700085059</v>
      </c>
    </row>
    <row r="73" spans="1:8" x14ac:dyDescent="0.35">
      <c r="A73" t="s">
        <v>68</v>
      </c>
      <c r="B73" t="s">
        <v>66</v>
      </c>
      <c r="C73" t="s">
        <v>40</v>
      </c>
      <c r="D73">
        <v>2024</v>
      </c>
      <c r="E73">
        <v>0.12753656568900151</v>
      </c>
      <c r="F73">
        <v>4.0523394564314849E-2</v>
      </c>
      <c r="G73">
        <f t="shared" si="1"/>
        <v>-8.7013171124686664E-2</v>
      </c>
      <c r="H73">
        <v>0.73774439700085059</v>
      </c>
    </row>
    <row r="74" spans="1:8" x14ac:dyDescent="0.35">
      <c r="A74" t="s">
        <v>68</v>
      </c>
      <c r="B74" t="s">
        <v>65</v>
      </c>
      <c r="C74" t="s">
        <v>38</v>
      </c>
      <c r="D74">
        <v>2025</v>
      </c>
      <c r="E74">
        <v>0.69333808233418281</v>
      </c>
      <c r="F74">
        <v>0.34025588112837718</v>
      </c>
      <c r="G74">
        <f t="shared" si="1"/>
        <v>-0.35308220120580563</v>
      </c>
      <c r="H74">
        <v>6.1567950988359252E-3</v>
      </c>
    </row>
    <row r="75" spans="1:8" x14ac:dyDescent="0.35">
      <c r="A75" t="s">
        <v>68</v>
      </c>
      <c r="B75" t="s">
        <v>71</v>
      </c>
      <c r="C75" t="s">
        <v>38</v>
      </c>
      <c r="D75">
        <v>2025</v>
      </c>
      <c r="E75">
        <v>0.17068748819852869</v>
      </c>
      <c r="F75">
        <v>0.34025588112837718</v>
      </c>
      <c r="G75">
        <f t="shared" si="1"/>
        <v>0.16956839292984849</v>
      </c>
      <c r="H75">
        <v>6.1567950988359252E-3</v>
      </c>
    </row>
    <row r="76" spans="1:8" x14ac:dyDescent="0.35">
      <c r="A76" t="s">
        <v>68</v>
      </c>
      <c r="B76" t="s">
        <v>66</v>
      </c>
      <c r="C76" t="s">
        <v>40</v>
      </c>
      <c r="D76">
        <v>2025</v>
      </c>
      <c r="E76">
        <v>1.014129227832639</v>
      </c>
      <c r="F76">
        <v>0.34025588112837718</v>
      </c>
      <c r="G76">
        <f t="shared" si="1"/>
        <v>-0.67387334670426191</v>
      </c>
      <c r="H76">
        <v>6.1567950988359252E-3</v>
      </c>
    </row>
    <row r="77" spans="1:8" x14ac:dyDescent="0.35">
      <c r="A77" t="s">
        <v>68</v>
      </c>
      <c r="B77" t="s">
        <v>72</v>
      </c>
      <c r="C77" t="s">
        <v>40</v>
      </c>
      <c r="D77">
        <v>2025</v>
      </c>
      <c r="E77">
        <v>-2.9831521216272531E-2</v>
      </c>
      <c r="F77">
        <v>0.34025588112837718</v>
      </c>
      <c r="G77">
        <f t="shared" si="1"/>
        <v>0.37008740234464971</v>
      </c>
      <c r="H77">
        <v>6.1567950988359252E-3</v>
      </c>
    </row>
    <row r="78" spans="1:8" x14ac:dyDescent="0.35">
      <c r="A78" t="s">
        <v>68</v>
      </c>
      <c r="B78" t="s">
        <v>71</v>
      </c>
      <c r="C78" t="s">
        <v>38</v>
      </c>
      <c r="D78">
        <v>2026</v>
      </c>
      <c r="E78">
        <v>1.2155892578365359</v>
      </c>
      <c r="G78" t="str">
        <f t="shared" si="1"/>
        <v/>
      </c>
      <c r="H78">
        <v>-0.1018077058059029</v>
      </c>
    </row>
    <row r="79" spans="1:8" x14ac:dyDescent="0.35">
      <c r="A79" t="s">
        <v>68</v>
      </c>
      <c r="B79" t="s">
        <v>72</v>
      </c>
      <c r="C79" t="s">
        <v>40</v>
      </c>
      <c r="D79">
        <v>2026</v>
      </c>
      <c r="E79">
        <v>1.095748100238314</v>
      </c>
      <c r="G79" t="str">
        <f t="shared" si="1"/>
        <v/>
      </c>
      <c r="H79">
        <v>-0.1018077058059029</v>
      </c>
    </row>
    <row r="80" spans="1:8" x14ac:dyDescent="0.35">
      <c r="A80" t="s">
        <v>69</v>
      </c>
      <c r="B80" t="s">
        <v>55</v>
      </c>
      <c r="C80" t="s">
        <v>38</v>
      </c>
      <c r="D80">
        <v>2020</v>
      </c>
      <c r="E80">
        <v>1.490576223487361</v>
      </c>
      <c r="F80">
        <v>-11.58616521695834</v>
      </c>
      <c r="G80">
        <f t="shared" si="1"/>
        <v>-13.076741440445701</v>
      </c>
      <c r="H80">
        <v>0.86710493358213747</v>
      </c>
    </row>
    <row r="81" spans="1:8" x14ac:dyDescent="0.35">
      <c r="A81" t="s">
        <v>69</v>
      </c>
      <c r="B81" t="s">
        <v>57</v>
      </c>
      <c r="C81" t="s">
        <v>38</v>
      </c>
      <c r="D81">
        <v>2020</v>
      </c>
      <c r="E81">
        <v>-12.410533977614319</v>
      </c>
      <c r="F81">
        <v>-11.58616521695834</v>
      </c>
      <c r="G81">
        <f t="shared" si="1"/>
        <v>0.82436876065597886</v>
      </c>
      <c r="H81">
        <v>0.86710493358213747</v>
      </c>
    </row>
    <row r="82" spans="1:8" x14ac:dyDescent="0.35">
      <c r="A82" t="s">
        <v>69</v>
      </c>
      <c r="B82" t="s">
        <v>56</v>
      </c>
      <c r="C82" t="s">
        <v>40</v>
      </c>
      <c r="D82">
        <v>2020</v>
      </c>
      <c r="E82">
        <v>1.863359760106897</v>
      </c>
      <c r="F82">
        <v>-11.58616521695834</v>
      </c>
      <c r="G82">
        <f t="shared" si="1"/>
        <v>-13.449524977065238</v>
      </c>
      <c r="H82">
        <v>0.86710493358213747</v>
      </c>
    </row>
    <row r="83" spans="1:8" x14ac:dyDescent="0.35">
      <c r="A83" t="s">
        <v>69</v>
      </c>
      <c r="B83" t="s">
        <v>58</v>
      </c>
      <c r="C83" t="s">
        <v>40</v>
      </c>
      <c r="D83">
        <v>2020</v>
      </c>
      <c r="E83">
        <v>-9.3843459766278272</v>
      </c>
      <c r="F83">
        <v>-11.58616521695834</v>
      </c>
      <c r="G83">
        <f t="shared" si="1"/>
        <v>-2.2018192403305132</v>
      </c>
      <c r="H83">
        <v>0.86710493358213747</v>
      </c>
    </row>
    <row r="84" spans="1:8" x14ac:dyDescent="0.35">
      <c r="A84" t="s">
        <v>69</v>
      </c>
      <c r="B84" t="s">
        <v>57</v>
      </c>
      <c r="C84" t="s">
        <v>38</v>
      </c>
      <c r="D84">
        <v>2021</v>
      </c>
      <c r="E84">
        <v>5.3508536215682634</v>
      </c>
      <c r="F84">
        <v>6.4693143142877041</v>
      </c>
      <c r="G84">
        <f t="shared" si="1"/>
        <v>1.1184606927194407</v>
      </c>
      <c r="H84">
        <v>0.86160021571319789</v>
      </c>
    </row>
    <row r="85" spans="1:8" x14ac:dyDescent="0.35">
      <c r="A85" t="s">
        <v>69</v>
      </c>
      <c r="B85" t="s">
        <v>59</v>
      </c>
      <c r="C85" t="s">
        <v>38</v>
      </c>
      <c r="D85">
        <v>2021</v>
      </c>
      <c r="E85">
        <v>4.6234510847103616</v>
      </c>
      <c r="F85">
        <v>6.4693143142877041</v>
      </c>
      <c r="G85">
        <f t="shared" si="1"/>
        <v>1.8458632295773425</v>
      </c>
      <c r="H85">
        <v>0.86160021571319789</v>
      </c>
    </row>
    <row r="86" spans="1:8" x14ac:dyDescent="0.35">
      <c r="A86" t="s">
        <v>69</v>
      </c>
      <c r="B86" t="s">
        <v>58</v>
      </c>
      <c r="C86" t="s">
        <v>40</v>
      </c>
      <c r="D86">
        <v>2021</v>
      </c>
      <c r="E86">
        <v>6.9761759541974167</v>
      </c>
      <c r="F86">
        <v>6.4693143142877041</v>
      </c>
      <c r="G86">
        <f t="shared" si="1"/>
        <v>-0.50686163990971256</v>
      </c>
      <c r="H86">
        <v>0.86160021571319789</v>
      </c>
    </row>
    <row r="87" spans="1:8" x14ac:dyDescent="0.35">
      <c r="A87" t="s">
        <v>69</v>
      </c>
      <c r="B87" t="s">
        <v>60</v>
      </c>
      <c r="C87" t="s">
        <v>40</v>
      </c>
      <c r="D87">
        <v>2021</v>
      </c>
      <c r="E87">
        <v>5.8812532644924698</v>
      </c>
      <c r="F87">
        <v>6.4693143142877041</v>
      </c>
      <c r="G87">
        <f t="shared" si="1"/>
        <v>0.58806104979523433</v>
      </c>
      <c r="H87">
        <v>0.86160021571319789</v>
      </c>
    </row>
    <row r="88" spans="1:8" x14ac:dyDescent="0.35">
      <c r="A88" t="s">
        <v>69</v>
      </c>
      <c r="B88" t="s">
        <v>59</v>
      </c>
      <c r="C88" t="s">
        <v>38</v>
      </c>
      <c r="D88">
        <v>2022</v>
      </c>
      <c r="E88">
        <v>5.5278236152833893</v>
      </c>
      <c r="F88">
        <v>6.1757125573772758</v>
      </c>
      <c r="G88">
        <f t="shared" si="1"/>
        <v>0.64788894209388648</v>
      </c>
      <c r="H88">
        <v>0.59190560042782348</v>
      </c>
    </row>
    <row r="89" spans="1:8" x14ac:dyDescent="0.35">
      <c r="A89" t="s">
        <v>69</v>
      </c>
      <c r="B89" t="s">
        <v>61</v>
      </c>
      <c r="C89" t="s">
        <v>38</v>
      </c>
      <c r="D89">
        <v>2022</v>
      </c>
      <c r="E89">
        <v>4.547669246739372</v>
      </c>
      <c r="F89">
        <v>6.1757125573772758</v>
      </c>
      <c r="G89">
        <f t="shared" si="1"/>
        <v>1.6280433106379038</v>
      </c>
      <c r="H89">
        <v>0.59190560042782348</v>
      </c>
    </row>
    <row r="90" spans="1:8" x14ac:dyDescent="0.35">
      <c r="A90" t="s">
        <v>69</v>
      </c>
      <c r="B90" t="s">
        <v>60</v>
      </c>
      <c r="C90" t="s">
        <v>40</v>
      </c>
      <c r="D90">
        <v>2022</v>
      </c>
      <c r="E90">
        <v>6.7779918001151573</v>
      </c>
      <c r="F90">
        <v>6.1757125573772758</v>
      </c>
      <c r="G90">
        <f t="shared" si="1"/>
        <v>-0.60227924273788158</v>
      </c>
      <c r="H90">
        <v>0.59190560042782348</v>
      </c>
    </row>
    <row r="91" spans="1:8" x14ac:dyDescent="0.35">
      <c r="A91" t="s">
        <v>69</v>
      </c>
      <c r="B91" t="s">
        <v>62</v>
      </c>
      <c r="C91" t="s">
        <v>40</v>
      </c>
      <c r="D91">
        <v>2022</v>
      </c>
      <c r="E91">
        <v>4.0260894815609127</v>
      </c>
      <c r="F91">
        <v>6.1757125573772758</v>
      </c>
      <c r="G91">
        <f t="shared" si="1"/>
        <v>2.149623075816363</v>
      </c>
      <c r="H91">
        <v>0.59190560042782348</v>
      </c>
    </row>
    <row r="92" spans="1:8" x14ac:dyDescent="0.35">
      <c r="A92" t="s">
        <v>69</v>
      </c>
      <c r="B92" t="s">
        <v>61</v>
      </c>
      <c r="C92" t="s">
        <v>38</v>
      </c>
      <c r="D92">
        <v>2023</v>
      </c>
      <c r="E92">
        <v>0.95503996038659444</v>
      </c>
      <c r="F92">
        <v>2.4309784639696339</v>
      </c>
      <c r="G92">
        <f t="shared" si="1"/>
        <v>1.4759385035830395</v>
      </c>
      <c r="H92">
        <v>0.73851245753325334</v>
      </c>
    </row>
    <row r="93" spans="1:8" x14ac:dyDescent="0.35">
      <c r="A93" t="s">
        <v>69</v>
      </c>
      <c r="B93" t="s">
        <v>63</v>
      </c>
      <c r="C93" t="s">
        <v>38</v>
      </c>
      <c r="D93">
        <v>2023</v>
      </c>
      <c r="E93">
        <v>2.3654844972287088</v>
      </c>
      <c r="F93">
        <v>2.4309784639696339</v>
      </c>
      <c r="G93">
        <f t="shared" si="1"/>
        <v>6.5493966740925114E-2</v>
      </c>
      <c r="H93">
        <v>0.73851245753325334</v>
      </c>
    </row>
    <row r="94" spans="1:8" x14ac:dyDescent="0.35">
      <c r="A94" t="s">
        <v>69</v>
      </c>
      <c r="B94" t="s">
        <v>62</v>
      </c>
      <c r="C94" t="s">
        <v>40</v>
      </c>
      <c r="D94">
        <v>2023</v>
      </c>
      <c r="E94">
        <v>3.3729684974310499</v>
      </c>
      <c r="F94">
        <v>2.4309784639696339</v>
      </c>
      <c r="G94">
        <f t="shared" si="1"/>
        <v>-0.94199003346141597</v>
      </c>
      <c r="H94">
        <v>0.73851245753325334</v>
      </c>
    </row>
    <row r="95" spans="1:8" x14ac:dyDescent="0.35">
      <c r="A95" t="s">
        <v>69</v>
      </c>
      <c r="B95" t="s">
        <v>64</v>
      </c>
      <c r="C95" t="s">
        <v>40</v>
      </c>
      <c r="D95">
        <v>2023</v>
      </c>
      <c r="E95">
        <v>1.9366811763456671</v>
      </c>
      <c r="F95">
        <v>2.4309784639696339</v>
      </c>
      <c r="G95">
        <f t="shared" si="1"/>
        <v>0.49429728762396685</v>
      </c>
      <c r="H95">
        <v>0.73851245753325334</v>
      </c>
    </row>
    <row r="96" spans="1:8" x14ac:dyDescent="0.35">
      <c r="A96" t="s">
        <v>69</v>
      </c>
      <c r="B96" t="s">
        <v>63</v>
      </c>
      <c r="C96" t="s">
        <v>38</v>
      </c>
      <c r="D96">
        <v>2024</v>
      </c>
      <c r="E96">
        <v>1.660542743130144</v>
      </c>
      <c r="F96">
        <v>3.3969031373447791</v>
      </c>
      <c r="G96">
        <f t="shared" si="1"/>
        <v>1.7363603942146351</v>
      </c>
      <c r="H96">
        <v>0.68485482665072694</v>
      </c>
    </row>
    <row r="97" spans="1:8" x14ac:dyDescent="0.35">
      <c r="A97" t="s">
        <v>69</v>
      </c>
      <c r="B97" t="s">
        <v>65</v>
      </c>
      <c r="C97" t="s">
        <v>38</v>
      </c>
      <c r="D97">
        <v>2024</v>
      </c>
      <c r="E97">
        <v>2.966936931003072</v>
      </c>
      <c r="F97">
        <v>3.3969031373447791</v>
      </c>
      <c r="G97">
        <f t="shared" si="1"/>
        <v>0.42996620634170712</v>
      </c>
      <c r="H97">
        <v>0.68485482665072694</v>
      </c>
    </row>
    <row r="98" spans="1:8" x14ac:dyDescent="0.35">
      <c r="A98" t="s">
        <v>69</v>
      </c>
      <c r="B98" t="s">
        <v>64</v>
      </c>
      <c r="C98" t="s">
        <v>40</v>
      </c>
      <c r="D98">
        <v>2024</v>
      </c>
      <c r="E98">
        <v>1.9648768473316871</v>
      </c>
      <c r="F98">
        <v>3.3969031373447791</v>
      </c>
      <c r="G98">
        <f t="shared" si="1"/>
        <v>1.432026290013092</v>
      </c>
      <c r="H98">
        <v>0.68485482665072694</v>
      </c>
    </row>
    <row r="99" spans="1:8" x14ac:dyDescent="0.35">
      <c r="A99" t="s">
        <v>69</v>
      </c>
      <c r="B99" t="s">
        <v>66</v>
      </c>
      <c r="C99" t="s">
        <v>40</v>
      </c>
      <c r="D99">
        <v>2024</v>
      </c>
      <c r="E99">
        <v>2.1447304612078222</v>
      </c>
      <c r="F99">
        <v>3.3969031373447791</v>
      </c>
      <c r="G99">
        <f t="shared" si="1"/>
        <v>1.2521726761369569</v>
      </c>
      <c r="H99">
        <v>0.68485482665072694</v>
      </c>
    </row>
    <row r="100" spans="1:8" x14ac:dyDescent="0.35">
      <c r="A100" t="s">
        <v>69</v>
      </c>
      <c r="B100" t="s">
        <v>65</v>
      </c>
      <c r="C100" t="s">
        <v>38</v>
      </c>
      <c r="D100">
        <v>2025</v>
      </c>
      <c r="E100">
        <v>2.3460653050844331</v>
      </c>
      <c r="F100">
        <v>2.7857852243734129</v>
      </c>
      <c r="G100">
        <f t="shared" si="1"/>
        <v>0.4397199192889798</v>
      </c>
      <c r="H100">
        <v>-2.9567303162600381E-2</v>
      </c>
    </row>
    <row r="101" spans="1:8" x14ac:dyDescent="0.35">
      <c r="A101" t="s">
        <v>69</v>
      </c>
      <c r="B101" t="s">
        <v>71</v>
      </c>
      <c r="C101" t="s">
        <v>38</v>
      </c>
      <c r="D101">
        <v>2025</v>
      </c>
      <c r="E101">
        <v>2.8680409593299978</v>
      </c>
      <c r="F101">
        <v>2.7857852243734129</v>
      </c>
      <c r="G101">
        <f t="shared" si="1"/>
        <v>-8.2255734956584892E-2</v>
      </c>
      <c r="H101">
        <v>-2.9567303162600381E-2</v>
      </c>
    </row>
    <row r="102" spans="1:8" x14ac:dyDescent="0.35">
      <c r="A102" t="s">
        <v>69</v>
      </c>
      <c r="B102" t="s">
        <v>66</v>
      </c>
      <c r="C102" t="s">
        <v>40</v>
      </c>
      <c r="D102">
        <v>2025</v>
      </c>
      <c r="E102">
        <v>1.947420292593427</v>
      </c>
      <c r="F102">
        <v>2.7857852243734129</v>
      </c>
      <c r="G102">
        <f t="shared" si="1"/>
        <v>0.83836493177998594</v>
      </c>
      <c r="H102">
        <v>-2.9567303162600381E-2</v>
      </c>
    </row>
    <row r="103" spans="1:8" x14ac:dyDescent="0.35">
      <c r="A103" t="s">
        <v>69</v>
      </c>
      <c r="B103" t="s">
        <v>72</v>
      </c>
      <c r="C103" t="s">
        <v>40</v>
      </c>
      <c r="D103">
        <v>2025</v>
      </c>
      <c r="E103">
        <v>2.5510068501240162</v>
      </c>
      <c r="F103">
        <v>2.7857852243734129</v>
      </c>
      <c r="G103">
        <f t="shared" si="1"/>
        <v>0.23477837424939674</v>
      </c>
      <c r="H103">
        <v>-2.9567303162600381E-2</v>
      </c>
    </row>
    <row r="104" spans="1:8" x14ac:dyDescent="0.35">
      <c r="A104" t="s">
        <v>69</v>
      </c>
      <c r="B104" t="s">
        <v>71</v>
      </c>
      <c r="C104" t="s">
        <v>38</v>
      </c>
      <c r="D104">
        <v>2026</v>
      </c>
      <c r="E104">
        <v>2.2791798404137031</v>
      </c>
      <c r="G104" t="str">
        <f t="shared" si="1"/>
        <v/>
      </c>
      <c r="H104">
        <v>9.0869507630926452E-2</v>
      </c>
    </row>
    <row r="105" spans="1:8" x14ac:dyDescent="0.35">
      <c r="A105" t="s">
        <v>69</v>
      </c>
      <c r="B105" t="s">
        <v>72</v>
      </c>
      <c r="C105" t="s">
        <v>40</v>
      </c>
      <c r="D105">
        <v>2026</v>
      </c>
      <c r="E105">
        <v>2.0482566856621309</v>
      </c>
      <c r="G105" t="str">
        <f t="shared" si="1"/>
        <v/>
      </c>
      <c r="H105">
        <v>9.0869507630926452E-2</v>
      </c>
    </row>
    <row r="106" spans="1:8" x14ac:dyDescent="0.35">
      <c r="A106" t="s">
        <v>70</v>
      </c>
      <c r="B106" t="s">
        <v>55</v>
      </c>
      <c r="C106" t="s">
        <v>38</v>
      </c>
      <c r="D106">
        <v>2020</v>
      </c>
      <c r="E106">
        <v>1.1013866566023991</v>
      </c>
      <c r="F106">
        <v>-2.5216639551613449</v>
      </c>
      <c r="G106">
        <f t="shared" si="1"/>
        <v>-3.6230506117637438</v>
      </c>
      <c r="H106">
        <v>0.9601184888395623</v>
      </c>
    </row>
    <row r="107" spans="1:8" x14ac:dyDescent="0.35">
      <c r="A107" t="s">
        <v>70</v>
      </c>
      <c r="B107" t="s">
        <v>57</v>
      </c>
      <c r="C107" t="s">
        <v>38</v>
      </c>
      <c r="D107">
        <v>2020</v>
      </c>
      <c r="E107">
        <v>-4.2712767573150012</v>
      </c>
      <c r="F107">
        <v>-2.5216639551613449</v>
      </c>
      <c r="G107">
        <f t="shared" si="1"/>
        <v>1.7496128021536563</v>
      </c>
      <c r="H107">
        <v>0.9601184888395623</v>
      </c>
    </row>
    <row r="108" spans="1:8" x14ac:dyDescent="0.35">
      <c r="A108" t="s">
        <v>70</v>
      </c>
      <c r="B108" t="s">
        <v>56</v>
      </c>
      <c r="C108" t="s">
        <v>40</v>
      </c>
      <c r="D108">
        <v>2020</v>
      </c>
      <c r="E108">
        <v>1.1658655715774511</v>
      </c>
      <c r="F108">
        <v>-2.5216639551613449</v>
      </c>
      <c r="G108">
        <f t="shared" si="1"/>
        <v>-3.6875295267387962</v>
      </c>
      <c r="H108">
        <v>0.9601184888395623</v>
      </c>
    </row>
    <row r="109" spans="1:8" x14ac:dyDescent="0.35">
      <c r="A109" t="s">
        <v>70</v>
      </c>
      <c r="B109" t="s">
        <v>58</v>
      </c>
      <c r="C109" t="s">
        <v>40</v>
      </c>
      <c r="D109">
        <v>2020</v>
      </c>
      <c r="E109">
        <v>-6.3340086382144829</v>
      </c>
      <c r="F109">
        <v>-2.5216639551613449</v>
      </c>
      <c r="G109">
        <f t="shared" si="1"/>
        <v>3.812344683053138</v>
      </c>
      <c r="H109">
        <v>0.9601184888395623</v>
      </c>
    </row>
    <row r="110" spans="1:8" x14ac:dyDescent="0.35">
      <c r="A110" t="s">
        <v>70</v>
      </c>
      <c r="B110" t="s">
        <v>57</v>
      </c>
      <c r="C110" t="s">
        <v>38</v>
      </c>
      <c r="D110">
        <v>2021</v>
      </c>
      <c r="E110">
        <v>2.900169440971712</v>
      </c>
      <c r="F110">
        <v>2.6415720090220192</v>
      </c>
      <c r="G110">
        <f t="shared" si="1"/>
        <v>-0.25859743194969287</v>
      </c>
      <c r="H110">
        <v>0.91810496949040077</v>
      </c>
    </row>
    <row r="111" spans="1:8" x14ac:dyDescent="0.35">
      <c r="A111" t="s">
        <v>70</v>
      </c>
      <c r="B111" t="s">
        <v>59</v>
      </c>
      <c r="C111" t="s">
        <v>38</v>
      </c>
      <c r="D111">
        <v>2021</v>
      </c>
      <c r="E111">
        <v>3.4041276267937399</v>
      </c>
      <c r="F111">
        <v>2.6415720090220192</v>
      </c>
      <c r="G111">
        <f t="shared" si="1"/>
        <v>-0.76255561777172076</v>
      </c>
      <c r="H111">
        <v>0.91810496949040077</v>
      </c>
    </row>
    <row r="112" spans="1:8" x14ac:dyDescent="0.35">
      <c r="A112" t="s">
        <v>70</v>
      </c>
      <c r="B112" t="s">
        <v>58</v>
      </c>
      <c r="C112" t="s">
        <v>40</v>
      </c>
      <c r="D112">
        <v>2021</v>
      </c>
      <c r="E112">
        <v>3.6735608188213531</v>
      </c>
      <c r="F112">
        <v>2.6415720090220192</v>
      </c>
      <c r="G112">
        <f t="shared" si="1"/>
        <v>-1.0319888097993339</v>
      </c>
      <c r="H112">
        <v>0.91810496949040077</v>
      </c>
    </row>
    <row r="113" spans="1:8" x14ac:dyDescent="0.35">
      <c r="A113" t="s">
        <v>70</v>
      </c>
      <c r="B113" t="s">
        <v>60</v>
      </c>
      <c r="C113" t="s">
        <v>40</v>
      </c>
      <c r="D113">
        <v>2021</v>
      </c>
      <c r="E113">
        <v>2.739564988065335</v>
      </c>
      <c r="F113">
        <v>2.6415720090220192</v>
      </c>
      <c r="G113">
        <f t="shared" si="1"/>
        <v>-9.7992979043315831E-2</v>
      </c>
      <c r="H113">
        <v>0.91810496949040077</v>
      </c>
    </row>
    <row r="114" spans="1:8" x14ac:dyDescent="0.35">
      <c r="A114" t="s">
        <v>70</v>
      </c>
      <c r="B114" t="s">
        <v>59</v>
      </c>
      <c r="C114" t="s">
        <v>38</v>
      </c>
      <c r="D114">
        <v>2022</v>
      </c>
      <c r="E114">
        <v>2.8272245866406638</v>
      </c>
      <c r="F114">
        <v>0.76006291556467176</v>
      </c>
      <c r="G114">
        <f t="shared" si="1"/>
        <v>-2.0671616710759921</v>
      </c>
      <c r="H114">
        <v>0.84141991326698506</v>
      </c>
    </row>
    <row r="115" spans="1:8" x14ac:dyDescent="0.35">
      <c r="A115" t="s">
        <v>70</v>
      </c>
      <c r="B115" t="s">
        <v>61</v>
      </c>
      <c r="C115" t="s">
        <v>38</v>
      </c>
      <c r="D115">
        <v>2022</v>
      </c>
      <c r="E115">
        <v>2.327853537647107</v>
      </c>
      <c r="F115">
        <v>0.76006291556467176</v>
      </c>
      <c r="G115">
        <f t="shared" si="1"/>
        <v>-1.5677906220824354</v>
      </c>
      <c r="H115">
        <v>0.84141991326698506</v>
      </c>
    </row>
    <row r="116" spans="1:8" x14ac:dyDescent="0.35">
      <c r="A116" t="s">
        <v>70</v>
      </c>
      <c r="B116" t="s">
        <v>60</v>
      </c>
      <c r="C116" t="s">
        <v>40</v>
      </c>
      <c r="D116">
        <v>2022</v>
      </c>
      <c r="E116">
        <v>2.7517012411305108</v>
      </c>
      <c r="F116">
        <v>0.76006291556467176</v>
      </c>
      <c r="G116">
        <f t="shared" si="1"/>
        <v>-1.9916383255658392</v>
      </c>
      <c r="H116">
        <v>0.84141991326698506</v>
      </c>
    </row>
    <row r="117" spans="1:8" x14ac:dyDescent="0.35">
      <c r="A117" t="s">
        <v>70</v>
      </c>
      <c r="B117" t="s">
        <v>62</v>
      </c>
      <c r="C117" t="s">
        <v>40</v>
      </c>
      <c r="D117">
        <v>2022</v>
      </c>
      <c r="E117">
        <v>1.603112304026943</v>
      </c>
      <c r="F117">
        <v>0.76006291556467176</v>
      </c>
      <c r="G117">
        <f t="shared" si="1"/>
        <v>-0.84304938846227129</v>
      </c>
      <c r="H117">
        <v>0.84141991326698506</v>
      </c>
    </row>
    <row r="118" spans="1:8" x14ac:dyDescent="0.35">
      <c r="A118" t="s">
        <v>70</v>
      </c>
      <c r="B118" t="s">
        <v>61</v>
      </c>
      <c r="C118" t="s">
        <v>38</v>
      </c>
      <c r="D118">
        <v>2023</v>
      </c>
      <c r="E118">
        <v>0.23998786112824361</v>
      </c>
      <c r="F118">
        <v>-1.2980054053073831</v>
      </c>
      <c r="G118">
        <f t="shared" si="1"/>
        <v>-1.5379932664356266</v>
      </c>
      <c r="H118">
        <v>0.58353512654831619</v>
      </c>
    </row>
    <row r="119" spans="1:8" x14ac:dyDescent="0.35">
      <c r="A119" t="s">
        <v>70</v>
      </c>
      <c r="B119" t="s">
        <v>63</v>
      </c>
      <c r="C119" t="s">
        <v>38</v>
      </c>
      <c r="D119">
        <v>2023</v>
      </c>
      <c r="E119">
        <v>0.13705974715647609</v>
      </c>
      <c r="F119">
        <v>-1.2980054053073831</v>
      </c>
      <c r="G119">
        <f t="shared" si="1"/>
        <v>-1.4350651524638591</v>
      </c>
      <c r="H119">
        <v>0.58353512654831619</v>
      </c>
    </row>
    <row r="120" spans="1:8" x14ac:dyDescent="0.35">
      <c r="A120" t="s">
        <v>70</v>
      </c>
      <c r="B120" t="s">
        <v>62</v>
      </c>
      <c r="C120" t="s">
        <v>40</v>
      </c>
      <c r="D120">
        <v>2023</v>
      </c>
      <c r="E120">
        <v>1.664320363648697</v>
      </c>
      <c r="F120">
        <v>-1.2980054053073831</v>
      </c>
      <c r="G120">
        <f t="shared" si="1"/>
        <v>-2.96232576895608</v>
      </c>
      <c r="H120">
        <v>0.58353512654831619</v>
      </c>
    </row>
    <row r="121" spans="1:8" x14ac:dyDescent="0.35">
      <c r="A121" t="s">
        <v>70</v>
      </c>
      <c r="B121" t="s">
        <v>64</v>
      </c>
      <c r="C121" t="s">
        <v>40</v>
      </c>
      <c r="D121">
        <v>2023</v>
      </c>
      <c r="E121">
        <v>0.1978909161836295</v>
      </c>
      <c r="F121">
        <v>-1.2980054053073831</v>
      </c>
      <c r="G121">
        <f t="shared" si="1"/>
        <v>-1.4958963214910126</v>
      </c>
      <c r="H121">
        <v>0.58353512654831619</v>
      </c>
    </row>
    <row r="122" spans="1:8" x14ac:dyDescent="0.35">
      <c r="A122" t="s">
        <v>70</v>
      </c>
      <c r="B122" t="s">
        <v>63</v>
      </c>
      <c r="C122" t="s">
        <v>38</v>
      </c>
      <c r="D122">
        <v>2024</v>
      </c>
      <c r="E122">
        <v>0.82599219561030335</v>
      </c>
      <c r="F122">
        <v>0.8814466149882676</v>
      </c>
      <c r="G122">
        <f t="shared" si="1"/>
        <v>5.5454419377964248E-2</v>
      </c>
      <c r="H122">
        <v>0.19885093325215261</v>
      </c>
    </row>
    <row r="123" spans="1:8" x14ac:dyDescent="0.35">
      <c r="A123" t="s">
        <v>70</v>
      </c>
      <c r="B123" t="s">
        <v>65</v>
      </c>
      <c r="C123" t="s">
        <v>38</v>
      </c>
      <c r="D123">
        <v>2024</v>
      </c>
      <c r="E123">
        <v>-0.27816035844419051</v>
      </c>
      <c r="F123">
        <v>0.8814466149882676</v>
      </c>
      <c r="G123">
        <f t="shared" si="1"/>
        <v>1.1596069734324581</v>
      </c>
      <c r="H123">
        <v>0.19885093325215261</v>
      </c>
    </row>
    <row r="124" spans="1:8" x14ac:dyDescent="0.35">
      <c r="A124" t="s">
        <v>70</v>
      </c>
      <c r="B124" t="s">
        <v>64</v>
      </c>
      <c r="C124" t="s">
        <v>40</v>
      </c>
      <c r="D124">
        <v>2024</v>
      </c>
      <c r="E124">
        <v>1.375433393552461</v>
      </c>
      <c r="F124">
        <v>0.8814466149882676</v>
      </c>
      <c r="G124">
        <f t="shared" si="1"/>
        <v>-0.49398677856419337</v>
      </c>
      <c r="H124">
        <v>0.19885093325215261</v>
      </c>
    </row>
    <row r="125" spans="1:8" x14ac:dyDescent="0.35">
      <c r="A125" t="s">
        <v>70</v>
      </c>
      <c r="B125" t="s">
        <v>66</v>
      </c>
      <c r="C125" t="s">
        <v>40</v>
      </c>
      <c r="D125">
        <v>2024</v>
      </c>
      <c r="E125">
        <v>3.9573385924840387E-2</v>
      </c>
      <c r="F125">
        <v>0.8814466149882676</v>
      </c>
      <c r="G125">
        <f t="shared" si="1"/>
        <v>0.84187322906342721</v>
      </c>
      <c r="H125">
        <v>0.19885093325215261</v>
      </c>
    </row>
    <row r="126" spans="1:8" x14ac:dyDescent="0.35">
      <c r="A126" t="s">
        <v>70</v>
      </c>
      <c r="B126" t="s">
        <v>65</v>
      </c>
      <c r="C126" t="s">
        <v>38</v>
      </c>
      <c r="D126">
        <v>2025</v>
      </c>
      <c r="E126">
        <v>1.544507858030109</v>
      </c>
      <c r="F126">
        <v>0.79990149121373022</v>
      </c>
      <c r="G126">
        <f t="shared" si="1"/>
        <v>-0.74460636681637882</v>
      </c>
      <c r="H126">
        <v>0.1653796609584316</v>
      </c>
    </row>
    <row r="127" spans="1:8" x14ac:dyDescent="0.35">
      <c r="A127" t="s">
        <v>70</v>
      </c>
      <c r="B127" t="s">
        <v>71</v>
      </c>
      <c r="C127" t="s">
        <v>38</v>
      </c>
      <c r="D127">
        <v>2025</v>
      </c>
      <c r="E127">
        <v>7.5720238361931536E-2</v>
      </c>
      <c r="F127">
        <v>0.79990149121373022</v>
      </c>
      <c r="G127">
        <f t="shared" si="1"/>
        <v>0.72418125285179868</v>
      </c>
      <c r="H127">
        <v>0.1653796609584316</v>
      </c>
    </row>
    <row r="128" spans="1:8" x14ac:dyDescent="0.35">
      <c r="A128" t="s">
        <v>70</v>
      </c>
      <c r="B128" t="s">
        <v>66</v>
      </c>
      <c r="C128" t="s">
        <v>40</v>
      </c>
      <c r="D128">
        <v>2025</v>
      </c>
      <c r="E128">
        <v>1.3606562692519699</v>
      </c>
      <c r="F128">
        <v>0.79990149121373022</v>
      </c>
      <c r="G128">
        <f t="shared" si="1"/>
        <v>-0.5607547780382397</v>
      </c>
      <c r="H128">
        <v>0.1653796609584316</v>
      </c>
    </row>
    <row r="129" spans="1:8" x14ac:dyDescent="0.35">
      <c r="A129" t="s">
        <v>70</v>
      </c>
      <c r="B129" t="s">
        <v>72</v>
      </c>
      <c r="C129" t="s">
        <v>40</v>
      </c>
      <c r="D129">
        <v>2025</v>
      </c>
      <c r="E129">
        <v>0.97596362509042578</v>
      </c>
      <c r="F129">
        <v>0.79990149121373022</v>
      </c>
      <c r="G129">
        <f t="shared" si="1"/>
        <v>-0.17606213387669556</v>
      </c>
      <c r="H129">
        <v>0.1653796609584316</v>
      </c>
    </row>
    <row r="130" spans="1:8" x14ac:dyDescent="0.35">
      <c r="A130" t="s">
        <v>70</v>
      </c>
      <c r="B130" t="s">
        <v>71</v>
      </c>
      <c r="C130" t="s">
        <v>38</v>
      </c>
      <c r="D130">
        <v>2026</v>
      </c>
      <c r="E130">
        <v>0.90576609482633241</v>
      </c>
      <c r="G130" t="str">
        <f t="shared" ref="G130:G193" si="2">IF(OR(F130="",E130=""),"",F130-E130)</f>
        <v/>
      </c>
      <c r="H130">
        <v>0.29060327203809921</v>
      </c>
    </row>
    <row r="131" spans="1:8" x14ac:dyDescent="0.35">
      <c r="A131" t="s">
        <v>70</v>
      </c>
      <c r="B131" t="s">
        <v>72</v>
      </c>
      <c r="C131" t="s">
        <v>40</v>
      </c>
      <c r="D131">
        <v>2026</v>
      </c>
      <c r="E131">
        <v>1.2769044165836569</v>
      </c>
      <c r="G131" t="str">
        <f t="shared" si="2"/>
        <v/>
      </c>
      <c r="H131">
        <v>0.29060327203809921</v>
      </c>
    </row>
    <row r="132" spans="1:8" x14ac:dyDescent="0.35">
      <c r="A132" t="s">
        <v>73</v>
      </c>
      <c r="B132" t="s">
        <v>55</v>
      </c>
      <c r="C132" t="s">
        <v>38</v>
      </c>
      <c r="D132">
        <v>2020</v>
      </c>
      <c r="E132">
        <v>1.285387661815784</v>
      </c>
      <c r="F132">
        <v>-7.9120138942178206</v>
      </c>
      <c r="G132">
        <f t="shared" si="2"/>
        <v>-9.1974015560336042</v>
      </c>
      <c r="H132">
        <v>0.92712779855354743</v>
      </c>
    </row>
    <row r="133" spans="1:8" x14ac:dyDescent="0.35">
      <c r="A133" t="s">
        <v>73</v>
      </c>
      <c r="B133" t="s">
        <v>57</v>
      </c>
      <c r="C133" t="s">
        <v>38</v>
      </c>
      <c r="D133">
        <v>2020</v>
      </c>
      <c r="E133">
        <v>-9.3511426009976422</v>
      </c>
      <c r="F133">
        <v>-7.9120138942178206</v>
      </c>
      <c r="G133">
        <f t="shared" si="2"/>
        <v>1.4391287067798215</v>
      </c>
      <c r="H133">
        <v>0.92712779855354743</v>
      </c>
    </row>
    <row r="134" spans="1:8" x14ac:dyDescent="0.35">
      <c r="A134" t="s">
        <v>73</v>
      </c>
      <c r="B134" t="s">
        <v>56</v>
      </c>
      <c r="C134" t="s">
        <v>40</v>
      </c>
      <c r="D134">
        <v>2020</v>
      </c>
      <c r="E134">
        <v>1.503749975943047</v>
      </c>
      <c r="F134">
        <v>-7.9120138942178206</v>
      </c>
      <c r="G134">
        <f t="shared" si="2"/>
        <v>-9.4157638701608679</v>
      </c>
      <c r="H134">
        <v>0.92712779855354743</v>
      </c>
    </row>
    <row r="135" spans="1:8" x14ac:dyDescent="0.35">
      <c r="A135" t="s">
        <v>73</v>
      </c>
      <c r="B135" t="s">
        <v>58</v>
      </c>
      <c r="C135" t="s">
        <v>40</v>
      </c>
      <c r="D135">
        <v>2020</v>
      </c>
      <c r="E135">
        <v>-8.2482980854368328</v>
      </c>
      <c r="F135">
        <v>-7.9120138942178206</v>
      </c>
      <c r="G135">
        <f t="shared" si="2"/>
        <v>0.33628419121901221</v>
      </c>
      <c r="H135">
        <v>0.92712779855354743</v>
      </c>
    </row>
    <row r="136" spans="1:8" x14ac:dyDescent="0.35">
      <c r="A136" t="s">
        <v>73</v>
      </c>
      <c r="B136" t="s">
        <v>57</v>
      </c>
      <c r="C136" t="s">
        <v>38</v>
      </c>
      <c r="D136">
        <v>2021</v>
      </c>
      <c r="E136">
        <v>5.7952659026178077</v>
      </c>
      <c r="F136">
        <v>6.5701884772546428</v>
      </c>
      <c r="G136">
        <f t="shared" si="2"/>
        <v>0.77492257463683512</v>
      </c>
      <c r="H136">
        <v>0.90405876958573828</v>
      </c>
    </row>
    <row r="137" spans="1:8" x14ac:dyDescent="0.35">
      <c r="A137" t="s">
        <v>73</v>
      </c>
      <c r="B137" t="s">
        <v>59</v>
      </c>
      <c r="C137" t="s">
        <v>38</v>
      </c>
      <c r="D137">
        <v>2021</v>
      </c>
      <c r="E137">
        <v>6.5425794292067074</v>
      </c>
      <c r="F137">
        <v>6.5701884772546428</v>
      </c>
      <c r="G137">
        <f t="shared" si="2"/>
        <v>2.7609048047935403E-2</v>
      </c>
      <c r="H137">
        <v>0.90405876958573828</v>
      </c>
    </row>
    <row r="138" spans="1:8" x14ac:dyDescent="0.35">
      <c r="A138" t="s">
        <v>73</v>
      </c>
      <c r="B138" t="s">
        <v>58</v>
      </c>
      <c r="C138" t="s">
        <v>40</v>
      </c>
      <c r="D138">
        <v>2021</v>
      </c>
      <c r="E138">
        <v>7.4011344913377686</v>
      </c>
      <c r="F138">
        <v>6.5701884772546428</v>
      </c>
      <c r="G138">
        <f t="shared" si="2"/>
        <v>-0.83094601408312574</v>
      </c>
      <c r="H138">
        <v>0.90405876958573828</v>
      </c>
    </row>
    <row r="139" spans="1:8" x14ac:dyDescent="0.35">
      <c r="A139" t="s">
        <v>73</v>
      </c>
      <c r="B139" t="s">
        <v>60</v>
      </c>
      <c r="C139" t="s">
        <v>40</v>
      </c>
      <c r="D139">
        <v>2021</v>
      </c>
      <c r="E139">
        <v>5.7147026734028614</v>
      </c>
      <c r="F139">
        <v>6.5701884772546428</v>
      </c>
      <c r="G139">
        <f t="shared" si="2"/>
        <v>0.85548580385178141</v>
      </c>
      <c r="H139">
        <v>0.90405876958573828</v>
      </c>
    </row>
    <row r="140" spans="1:8" x14ac:dyDescent="0.35">
      <c r="A140" t="s">
        <v>73</v>
      </c>
      <c r="B140" t="s">
        <v>59</v>
      </c>
      <c r="C140" t="s">
        <v>38</v>
      </c>
      <c r="D140">
        <v>2022</v>
      </c>
      <c r="E140">
        <v>3.7661475579403141</v>
      </c>
      <c r="F140">
        <v>2.761671160127166</v>
      </c>
      <c r="G140">
        <f t="shared" si="2"/>
        <v>-1.0044763978131481</v>
      </c>
      <c r="H140">
        <v>0.92165748687256943</v>
      </c>
    </row>
    <row r="141" spans="1:8" x14ac:dyDescent="0.35">
      <c r="A141" t="s">
        <v>73</v>
      </c>
      <c r="B141" t="s">
        <v>61</v>
      </c>
      <c r="C141" t="s">
        <v>38</v>
      </c>
      <c r="D141">
        <v>2022</v>
      </c>
      <c r="E141">
        <v>2.6294584401195249</v>
      </c>
      <c r="F141">
        <v>2.761671160127166</v>
      </c>
      <c r="G141">
        <f t="shared" si="2"/>
        <v>0.13221272000764106</v>
      </c>
      <c r="H141">
        <v>0.92165748687256943</v>
      </c>
    </row>
    <row r="142" spans="1:8" x14ac:dyDescent="0.35">
      <c r="A142" t="s">
        <v>73</v>
      </c>
      <c r="B142" t="s">
        <v>60</v>
      </c>
      <c r="C142" t="s">
        <v>40</v>
      </c>
      <c r="D142">
        <v>2022</v>
      </c>
      <c r="E142">
        <v>4.2114770737248453</v>
      </c>
      <c r="F142">
        <v>2.761671160127166</v>
      </c>
      <c r="G142">
        <f t="shared" si="2"/>
        <v>-1.4498059135976793</v>
      </c>
      <c r="H142">
        <v>0.92165748687256943</v>
      </c>
    </row>
    <row r="143" spans="1:8" x14ac:dyDescent="0.35">
      <c r="A143" t="s">
        <v>73</v>
      </c>
      <c r="B143" t="s">
        <v>62</v>
      </c>
      <c r="C143" t="s">
        <v>40</v>
      </c>
      <c r="D143">
        <v>2022</v>
      </c>
      <c r="E143">
        <v>3.0989524183168582</v>
      </c>
      <c r="F143">
        <v>2.761671160127166</v>
      </c>
      <c r="G143">
        <f t="shared" si="2"/>
        <v>-0.33728125818969223</v>
      </c>
      <c r="H143">
        <v>0.92165748687256943</v>
      </c>
    </row>
    <row r="144" spans="1:8" x14ac:dyDescent="0.35">
      <c r="A144" t="s">
        <v>73</v>
      </c>
      <c r="B144" t="s">
        <v>61</v>
      </c>
      <c r="C144" t="s">
        <v>38</v>
      </c>
      <c r="D144">
        <v>2023</v>
      </c>
      <c r="E144">
        <v>0.43950651458626311</v>
      </c>
      <c r="F144">
        <v>1.8022470831755071</v>
      </c>
      <c r="G144">
        <f t="shared" si="2"/>
        <v>1.362740568589244</v>
      </c>
      <c r="H144">
        <v>0.93042435960578862</v>
      </c>
    </row>
    <row r="145" spans="1:8" x14ac:dyDescent="0.35">
      <c r="A145" t="s">
        <v>73</v>
      </c>
      <c r="B145" t="s">
        <v>63</v>
      </c>
      <c r="C145" t="s">
        <v>38</v>
      </c>
      <c r="D145">
        <v>2023</v>
      </c>
      <c r="E145">
        <v>1.0022762950343991</v>
      </c>
      <c r="F145">
        <v>1.8022470831755071</v>
      </c>
      <c r="G145">
        <f t="shared" si="2"/>
        <v>0.799970788141108</v>
      </c>
      <c r="H145">
        <v>0.93042435960578862</v>
      </c>
    </row>
    <row r="146" spans="1:8" x14ac:dyDescent="0.35">
      <c r="A146" t="s">
        <v>73</v>
      </c>
      <c r="B146" t="s">
        <v>62</v>
      </c>
      <c r="C146" t="s">
        <v>40</v>
      </c>
      <c r="D146">
        <v>2023</v>
      </c>
      <c r="E146">
        <v>1.7691091240616961</v>
      </c>
      <c r="F146">
        <v>1.8022470831755071</v>
      </c>
      <c r="G146">
        <f t="shared" si="2"/>
        <v>3.3137959113811011E-2</v>
      </c>
      <c r="H146">
        <v>0.93042435960578862</v>
      </c>
    </row>
    <row r="147" spans="1:8" x14ac:dyDescent="0.35">
      <c r="A147" t="s">
        <v>73</v>
      </c>
      <c r="B147" t="s">
        <v>64</v>
      </c>
      <c r="C147" t="s">
        <v>40</v>
      </c>
      <c r="D147">
        <v>2023</v>
      </c>
      <c r="E147">
        <v>0.72426026364131868</v>
      </c>
      <c r="F147">
        <v>1.8022470831755071</v>
      </c>
      <c r="G147">
        <f t="shared" si="2"/>
        <v>1.0779868195341884</v>
      </c>
      <c r="H147">
        <v>0.93042435960578862</v>
      </c>
    </row>
    <row r="148" spans="1:8" x14ac:dyDescent="0.35">
      <c r="A148" t="s">
        <v>73</v>
      </c>
      <c r="B148" t="s">
        <v>63</v>
      </c>
      <c r="C148" t="s">
        <v>38</v>
      </c>
      <c r="D148">
        <v>2024</v>
      </c>
      <c r="E148">
        <v>1.2470954330068731</v>
      </c>
      <c r="F148">
        <v>1.4144828845553741</v>
      </c>
      <c r="G148">
        <f t="shared" si="2"/>
        <v>0.16738745154850099</v>
      </c>
      <c r="H148">
        <v>0.65431551417529998</v>
      </c>
    </row>
    <row r="149" spans="1:8" x14ac:dyDescent="0.35">
      <c r="A149" t="s">
        <v>73</v>
      </c>
      <c r="B149" t="s">
        <v>65</v>
      </c>
      <c r="C149" t="s">
        <v>38</v>
      </c>
      <c r="D149">
        <v>2024</v>
      </c>
      <c r="E149">
        <v>1.13903040986485</v>
      </c>
      <c r="F149">
        <v>1.4144828845553741</v>
      </c>
      <c r="G149">
        <f t="shared" si="2"/>
        <v>0.27545247469052403</v>
      </c>
      <c r="H149">
        <v>0.65431551417529998</v>
      </c>
    </row>
    <row r="150" spans="1:8" x14ac:dyDescent="0.35">
      <c r="A150" t="s">
        <v>73</v>
      </c>
      <c r="B150" t="s">
        <v>64</v>
      </c>
      <c r="C150" t="s">
        <v>40</v>
      </c>
      <c r="D150">
        <v>2024</v>
      </c>
      <c r="E150">
        <v>1.41860461240253</v>
      </c>
      <c r="F150">
        <v>1.4144828845553741</v>
      </c>
      <c r="G150">
        <f t="shared" si="2"/>
        <v>-4.1217278471559204E-3</v>
      </c>
      <c r="H150">
        <v>0.65431551417529998</v>
      </c>
    </row>
    <row r="151" spans="1:8" x14ac:dyDescent="0.35">
      <c r="A151" t="s">
        <v>73</v>
      </c>
      <c r="B151" t="s">
        <v>66</v>
      </c>
      <c r="C151" t="s">
        <v>40</v>
      </c>
      <c r="D151">
        <v>2024</v>
      </c>
      <c r="E151">
        <v>0.72851910514837304</v>
      </c>
      <c r="F151">
        <v>1.4144828845553741</v>
      </c>
      <c r="G151">
        <f t="shared" si="2"/>
        <v>0.68596377940700104</v>
      </c>
      <c r="H151">
        <v>0.65431551417529998</v>
      </c>
    </row>
    <row r="152" spans="1:8" x14ac:dyDescent="0.35">
      <c r="A152" t="s">
        <v>73</v>
      </c>
      <c r="B152" t="s">
        <v>65</v>
      </c>
      <c r="C152" t="s">
        <v>38</v>
      </c>
      <c r="D152">
        <v>2025</v>
      </c>
      <c r="E152">
        <v>0.82258828244963222</v>
      </c>
      <c r="F152">
        <v>0.88561946045636819</v>
      </c>
      <c r="G152">
        <f t="shared" si="2"/>
        <v>6.3031178006735966E-2</v>
      </c>
      <c r="H152">
        <v>7.4630748449780043E-3</v>
      </c>
    </row>
    <row r="153" spans="1:8" x14ac:dyDescent="0.35">
      <c r="A153" t="s">
        <v>73</v>
      </c>
      <c r="B153" t="s">
        <v>71</v>
      </c>
      <c r="C153" t="s">
        <v>38</v>
      </c>
      <c r="D153">
        <v>2025</v>
      </c>
      <c r="E153">
        <v>0.69714532745484004</v>
      </c>
      <c r="F153">
        <v>0.88561946045636819</v>
      </c>
      <c r="G153">
        <f t="shared" si="2"/>
        <v>0.18847413300152815</v>
      </c>
      <c r="H153">
        <v>7.4630748449780043E-3</v>
      </c>
    </row>
    <row r="154" spans="1:8" x14ac:dyDescent="0.35">
      <c r="A154" t="s">
        <v>73</v>
      </c>
      <c r="B154" t="s">
        <v>66</v>
      </c>
      <c r="C154" t="s">
        <v>40</v>
      </c>
      <c r="D154">
        <v>2025</v>
      </c>
      <c r="E154">
        <v>1.2594069979400271</v>
      </c>
      <c r="F154">
        <v>0.88561946045636819</v>
      </c>
      <c r="G154">
        <f t="shared" si="2"/>
        <v>-0.37378753748365889</v>
      </c>
      <c r="H154">
        <v>7.4630748449780043E-3</v>
      </c>
    </row>
    <row r="155" spans="1:8" x14ac:dyDescent="0.35">
      <c r="A155" t="s">
        <v>73</v>
      </c>
      <c r="B155" t="s">
        <v>72</v>
      </c>
      <c r="C155" t="s">
        <v>40</v>
      </c>
      <c r="D155">
        <v>2025</v>
      </c>
      <c r="E155">
        <v>0.57266269658549085</v>
      </c>
      <c r="F155">
        <v>0.88561946045636819</v>
      </c>
      <c r="G155">
        <f t="shared" si="2"/>
        <v>0.31295676387087734</v>
      </c>
      <c r="H155">
        <v>7.4630748449780043E-3</v>
      </c>
    </row>
    <row r="156" spans="1:8" x14ac:dyDescent="0.35">
      <c r="A156" t="s">
        <v>73</v>
      </c>
      <c r="B156" t="s">
        <v>71</v>
      </c>
      <c r="C156" t="s">
        <v>38</v>
      </c>
      <c r="D156">
        <v>2026</v>
      </c>
      <c r="E156">
        <v>0.92447634895047592</v>
      </c>
      <c r="G156" t="str">
        <f t="shared" si="2"/>
        <v/>
      </c>
      <c r="H156">
        <v>-2.2259896152862169E-2</v>
      </c>
    </row>
    <row r="157" spans="1:8" x14ac:dyDescent="0.35">
      <c r="A157" t="s">
        <v>73</v>
      </c>
      <c r="B157" t="s">
        <v>72</v>
      </c>
      <c r="C157" t="s">
        <v>40</v>
      </c>
      <c r="D157">
        <v>2026</v>
      </c>
      <c r="E157">
        <v>1.332665672326838</v>
      </c>
      <c r="G157" t="str">
        <f t="shared" si="2"/>
        <v/>
      </c>
      <c r="H157">
        <v>-2.2259896152862169E-2</v>
      </c>
    </row>
    <row r="158" spans="1:8" x14ac:dyDescent="0.35">
      <c r="A158" t="s">
        <v>74</v>
      </c>
      <c r="B158" t="s">
        <v>55</v>
      </c>
      <c r="C158" t="s">
        <v>38</v>
      </c>
      <c r="D158">
        <v>2020</v>
      </c>
      <c r="E158">
        <v>3.528571869780794</v>
      </c>
      <c r="F158">
        <v>6.9863814303713827</v>
      </c>
      <c r="G158">
        <f t="shared" si="2"/>
        <v>3.4578095605905887</v>
      </c>
      <c r="H158">
        <v>0.95435812659996266</v>
      </c>
    </row>
    <row r="159" spans="1:8" x14ac:dyDescent="0.35">
      <c r="A159" t="s">
        <v>74</v>
      </c>
      <c r="B159" t="s">
        <v>57</v>
      </c>
      <c r="C159" t="s">
        <v>38</v>
      </c>
      <c r="D159">
        <v>2020</v>
      </c>
      <c r="E159">
        <v>-2.3373996171914708</v>
      </c>
      <c r="F159">
        <v>6.9863814303713827</v>
      </c>
      <c r="G159">
        <f t="shared" si="2"/>
        <v>9.3237810475628535</v>
      </c>
      <c r="H159">
        <v>0.95435812659996266</v>
      </c>
    </row>
    <row r="160" spans="1:8" x14ac:dyDescent="0.35">
      <c r="A160" t="s">
        <v>74</v>
      </c>
      <c r="B160" t="s">
        <v>56</v>
      </c>
      <c r="C160" t="s">
        <v>40</v>
      </c>
      <c r="D160">
        <v>2020</v>
      </c>
      <c r="E160">
        <v>3.3676156234285992</v>
      </c>
      <c r="F160">
        <v>6.9863814303713827</v>
      </c>
      <c r="G160">
        <f t="shared" si="2"/>
        <v>3.6187658069427835</v>
      </c>
      <c r="H160">
        <v>0.95435812659996266</v>
      </c>
    </row>
    <row r="161" spans="1:8" x14ac:dyDescent="0.35">
      <c r="A161" t="s">
        <v>74</v>
      </c>
      <c r="B161" t="s">
        <v>58</v>
      </c>
      <c r="C161" t="s">
        <v>40</v>
      </c>
      <c r="D161">
        <v>2020</v>
      </c>
      <c r="E161">
        <v>-7.9470480138547073</v>
      </c>
      <c r="F161">
        <v>6.9863814303713827</v>
      </c>
      <c r="G161">
        <f t="shared" si="2"/>
        <v>14.933429444226089</v>
      </c>
      <c r="H161">
        <v>0.95435812659996266</v>
      </c>
    </row>
    <row r="162" spans="1:8" x14ac:dyDescent="0.35">
      <c r="A162" t="s">
        <v>74</v>
      </c>
      <c r="B162" t="s">
        <v>57</v>
      </c>
      <c r="C162" t="s">
        <v>38</v>
      </c>
      <c r="D162">
        <v>2021</v>
      </c>
      <c r="E162">
        <v>2.947813244873676</v>
      </c>
      <c r="F162">
        <v>15.1246997065809</v>
      </c>
      <c r="G162">
        <f t="shared" si="2"/>
        <v>12.176886461707223</v>
      </c>
      <c r="H162">
        <v>0.9340270359183438</v>
      </c>
    </row>
    <row r="163" spans="1:8" x14ac:dyDescent="0.35">
      <c r="A163" t="s">
        <v>74</v>
      </c>
      <c r="B163" t="s">
        <v>59</v>
      </c>
      <c r="C163" t="s">
        <v>38</v>
      </c>
      <c r="D163">
        <v>2021</v>
      </c>
      <c r="E163">
        <v>14.562981111404421</v>
      </c>
      <c r="F163">
        <v>15.1246997065809</v>
      </c>
      <c r="G163">
        <f t="shared" si="2"/>
        <v>0.5617185951764796</v>
      </c>
      <c r="H163">
        <v>0.9340270359183438</v>
      </c>
    </row>
    <row r="164" spans="1:8" x14ac:dyDescent="0.35">
      <c r="A164" t="s">
        <v>74</v>
      </c>
      <c r="B164" t="s">
        <v>58</v>
      </c>
      <c r="C164" t="s">
        <v>40</v>
      </c>
      <c r="D164">
        <v>2021</v>
      </c>
      <c r="E164">
        <v>6.0844415228506374</v>
      </c>
      <c r="F164">
        <v>15.1246997065809</v>
      </c>
      <c r="G164">
        <f t="shared" si="2"/>
        <v>9.0402581837302627</v>
      </c>
      <c r="H164">
        <v>0.9340270359183438</v>
      </c>
    </row>
    <row r="165" spans="1:8" x14ac:dyDescent="0.35">
      <c r="A165" t="s">
        <v>74</v>
      </c>
      <c r="B165" t="s">
        <v>60</v>
      </c>
      <c r="C165" t="s">
        <v>40</v>
      </c>
      <c r="D165">
        <v>2021</v>
      </c>
      <c r="E165">
        <v>4.5993257541988797</v>
      </c>
      <c r="F165">
        <v>15.1246997065809</v>
      </c>
      <c r="G165">
        <f t="shared" si="2"/>
        <v>10.52537395238202</v>
      </c>
      <c r="H165">
        <v>0.9340270359183438</v>
      </c>
    </row>
    <row r="166" spans="1:8" x14ac:dyDescent="0.35">
      <c r="A166" t="s">
        <v>74</v>
      </c>
      <c r="B166" t="s">
        <v>59</v>
      </c>
      <c r="C166" t="s">
        <v>38</v>
      </c>
      <c r="D166">
        <v>2022</v>
      </c>
      <c r="E166">
        <v>5.0918722980731523</v>
      </c>
      <c r="F166">
        <v>7.9894443369245964</v>
      </c>
      <c r="G166">
        <f t="shared" si="2"/>
        <v>2.8975720388514441</v>
      </c>
      <c r="H166">
        <v>0.82302044815068109</v>
      </c>
    </row>
    <row r="167" spans="1:8" x14ac:dyDescent="0.35">
      <c r="A167" t="s">
        <v>74</v>
      </c>
      <c r="B167" t="s">
        <v>61</v>
      </c>
      <c r="C167" t="s">
        <v>38</v>
      </c>
      <c r="D167">
        <v>2022</v>
      </c>
      <c r="E167">
        <v>7.8710837662645083</v>
      </c>
      <c r="F167">
        <v>7.9894443369245964</v>
      </c>
      <c r="G167">
        <f t="shared" si="2"/>
        <v>0.11836057066008809</v>
      </c>
      <c r="H167">
        <v>0.82302044815068109</v>
      </c>
    </row>
    <row r="168" spans="1:8" x14ac:dyDescent="0.35">
      <c r="A168" t="s">
        <v>74</v>
      </c>
      <c r="B168" t="s">
        <v>60</v>
      </c>
      <c r="C168" t="s">
        <v>40</v>
      </c>
      <c r="D168">
        <v>2022</v>
      </c>
      <c r="E168">
        <v>4.9759868399277041</v>
      </c>
      <c r="F168">
        <v>7.9894443369245964</v>
      </c>
      <c r="G168">
        <f t="shared" si="2"/>
        <v>3.0134574969968924</v>
      </c>
      <c r="H168">
        <v>0.82302044815068109</v>
      </c>
    </row>
    <row r="169" spans="1:8" x14ac:dyDescent="0.35">
      <c r="A169" t="s">
        <v>74</v>
      </c>
      <c r="B169" t="s">
        <v>62</v>
      </c>
      <c r="C169" t="s">
        <v>40</v>
      </c>
      <c r="D169">
        <v>2022</v>
      </c>
      <c r="E169">
        <v>5.3816861962496354</v>
      </c>
      <c r="F169">
        <v>7.9894443369245964</v>
      </c>
      <c r="G169">
        <f t="shared" si="2"/>
        <v>2.607758140674961</v>
      </c>
      <c r="H169">
        <v>0.82302044815068109</v>
      </c>
    </row>
    <row r="170" spans="1:8" x14ac:dyDescent="0.35">
      <c r="A170" t="s">
        <v>74</v>
      </c>
      <c r="B170" t="s">
        <v>61</v>
      </c>
      <c r="C170" t="s">
        <v>38</v>
      </c>
      <c r="D170">
        <v>2023</v>
      </c>
      <c r="E170">
        <v>3.172255506856847</v>
      </c>
      <c r="F170">
        <v>-3.5205103013764418</v>
      </c>
      <c r="G170">
        <f t="shared" si="2"/>
        <v>-6.6927658082332888</v>
      </c>
      <c r="H170">
        <v>0.83256444009002695</v>
      </c>
    </row>
    <row r="171" spans="1:8" x14ac:dyDescent="0.35">
      <c r="A171" t="s">
        <v>74</v>
      </c>
      <c r="B171" t="s">
        <v>63</v>
      </c>
      <c r="C171" t="s">
        <v>38</v>
      </c>
      <c r="D171">
        <v>2023</v>
      </c>
      <c r="E171">
        <v>-0.93495600507882415</v>
      </c>
      <c r="F171">
        <v>-3.5205103013764418</v>
      </c>
      <c r="G171">
        <f t="shared" si="2"/>
        <v>-2.5855542962976177</v>
      </c>
      <c r="H171">
        <v>0.83256444009002695</v>
      </c>
    </row>
    <row r="172" spans="1:8" x14ac:dyDescent="0.35">
      <c r="A172" t="s">
        <v>74</v>
      </c>
      <c r="B172" t="s">
        <v>62</v>
      </c>
      <c r="C172" t="s">
        <v>40</v>
      </c>
      <c r="D172">
        <v>2023</v>
      </c>
      <c r="E172">
        <v>4.4348314017168322</v>
      </c>
      <c r="F172">
        <v>-3.5205103013764418</v>
      </c>
      <c r="G172">
        <f t="shared" si="2"/>
        <v>-7.955341703093274</v>
      </c>
      <c r="H172">
        <v>0.83256444009002695</v>
      </c>
    </row>
    <row r="173" spans="1:8" x14ac:dyDescent="0.35">
      <c r="A173" t="s">
        <v>74</v>
      </c>
      <c r="B173" t="s">
        <v>64</v>
      </c>
      <c r="C173" t="s">
        <v>40</v>
      </c>
      <c r="D173">
        <v>2023</v>
      </c>
      <c r="E173">
        <v>5.5170730455133654</v>
      </c>
      <c r="F173">
        <v>-3.5205103013764418</v>
      </c>
      <c r="G173">
        <f t="shared" si="2"/>
        <v>-9.0375833468898072</v>
      </c>
      <c r="H173">
        <v>0.83256444009002695</v>
      </c>
    </row>
    <row r="174" spans="1:8" x14ac:dyDescent="0.35">
      <c r="A174" t="s">
        <v>74</v>
      </c>
      <c r="B174" t="s">
        <v>63</v>
      </c>
      <c r="C174" t="s">
        <v>38</v>
      </c>
      <c r="D174">
        <v>2024</v>
      </c>
      <c r="E174">
        <v>3.0440640134462789</v>
      </c>
      <c r="F174">
        <v>3.6203795629134459</v>
      </c>
      <c r="G174">
        <f t="shared" si="2"/>
        <v>0.57631554946716701</v>
      </c>
      <c r="H174">
        <v>0.6431194191189592</v>
      </c>
    </row>
    <row r="175" spans="1:8" x14ac:dyDescent="0.35">
      <c r="A175" t="s">
        <v>74</v>
      </c>
      <c r="B175" t="s">
        <v>65</v>
      </c>
      <c r="C175" t="s">
        <v>38</v>
      </c>
      <c r="D175">
        <v>2024</v>
      </c>
      <c r="E175">
        <v>-0.54062635287741578</v>
      </c>
      <c r="F175">
        <v>3.6203795629134459</v>
      </c>
      <c r="G175">
        <f t="shared" si="2"/>
        <v>4.1610059157908612</v>
      </c>
      <c r="H175">
        <v>0.6431194191189592</v>
      </c>
    </row>
    <row r="176" spans="1:8" x14ac:dyDescent="0.35">
      <c r="A176" t="s">
        <v>74</v>
      </c>
      <c r="B176" t="s">
        <v>64</v>
      </c>
      <c r="C176" t="s">
        <v>40</v>
      </c>
      <c r="D176">
        <v>2024</v>
      </c>
      <c r="E176">
        <v>4.9679452562146009</v>
      </c>
      <c r="F176">
        <v>3.6203795629134459</v>
      </c>
      <c r="G176">
        <f t="shared" si="2"/>
        <v>-1.3475656933011551</v>
      </c>
      <c r="H176">
        <v>0.6431194191189592</v>
      </c>
    </row>
    <row r="177" spans="1:8" x14ac:dyDescent="0.35">
      <c r="A177" t="s">
        <v>74</v>
      </c>
      <c r="B177" t="s">
        <v>66</v>
      </c>
      <c r="C177" t="s">
        <v>40</v>
      </c>
      <c r="D177">
        <v>2024</v>
      </c>
      <c r="E177">
        <v>1.2437124663212009</v>
      </c>
      <c r="F177">
        <v>3.6203795629134459</v>
      </c>
      <c r="G177">
        <f t="shared" si="2"/>
        <v>2.3766670965922447</v>
      </c>
      <c r="H177">
        <v>0.6431194191189592</v>
      </c>
    </row>
    <row r="178" spans="1:8" x14ac:dyDescent="0.35">
      <c r="A178" t="s">
        <v>74</v>
      </c>
      <c r="B178" t="s">
        <v>65</v>
      </c>
      <c r="C178" t="s">
        <v>38</v>
      </c>
      <c r="D178">
        <v>2025</v>
      </c>
      <c r="E178">
        <v>4.023669914633099</v>
      </c>
      <c r="F178">
        <v>7.7791754385506806</v>
      </c>
      <c r="G178">
        <f t="shared" si="2"/>
        <v>3.7555055239175816</v>
      </c>
      <c r="H178">
        <v>0.32092170257034919</v>
      </c>
    </row>
    <row r="179" spans="1:8" x14ac:dyDescent="0.35">
      <c r="A179" t="s">
        <v>74</v>
      </c>
      <c r="B179" t="s">
        <v>71</v>
      </c>
      <c r="C179" t="s">
        <v>38</v>
      </c>
      <c r="D179">
        <v>2025</v>
      </c>
      <c r="E179">
        <v>10.65081995793598</v>
      </c>
      <c r="F179">
        <v>7.7791754385506806</v>
      </c>
      <c r="G179">
        <f t="shared" si="2"/>
        <v>-2.8716445193852991</v>
      </c>
      <c r="H179">
        <v>0.32092170257034919</v>
      </c>
    </row>
    <row r="180" spans="1:8" x14ac:dyDescent="0.35">
      <c r="A180" t="s">
        <v>74</v>
      </c>
      <c r="B180" t="s">
        <v>66</v>
      </c>
      <c r="C180" t="s">
        <v>40</v>
      </c>
      <c r="D180">
        <v>2025</v>
      </c>
      <c r="E180">
        <v>3.5927766013469591</v>
      </c>
      <c r="F180">
        <v>7.7791754385506806</v>
      </c>
      <c r="G180">
        <f t="shared" si="2"/>
        <v>4.186398837203722</v>
      </c>
      <c r="H180">
        <v>0.32092170257034919</v>
      </c>
    </row>
    <row r="181" spans="1:8" x14ac:dyDescent="0.35">
      <c r="A181" t="s">
        <v>74</v>
      </c>
      <c r="B181" t="s">
        <v>72</v>
      </c>
      <c r="C181" t="s">
        <v>40</v>
      </c>
      <c r="D181">
        <v>2025</v>
      </c>
      <c r="E181">
        <v>3.377198218825495</v>
      </c>
      <c r="F181">
        <v>7.7791754385506806</v>
      </c>
      <c r="G181">
        <f t="shared" si="2"/>
        <v>4.4019772197251861</v>
      </c>
      <c r="H181">
        <v>0.32092170257034919</v>
      </c>
    </row>
    <row r="182" spans="1:8" x14ac:dyDescent="0.35">
      <c r="A182" t="s">
        <v>74</v>
      </c>
      <c r="B182" t="s">
        <v>71</v>
      </c>
      <c r="C182" t="s">
        <v>38</v>
      </c>
      <c r="D182">
        <v>2026</v>
      </c>
      <c r="E182">
        <v>0.2094530818921525</v>
      </c>
      <c r="G182" t="str">
        <f t="shared" si="2"/>
        <v/>
      </c>
      <c r="H182">
        <v>0.35395753132631119</v>
      </c>
    </row>
    <row r="183" spans="1:8" x14ac:dyDescent="0.35">
      <c r="A183" t="s">
        <v>74</v>
      </c>
      <c r="B183" t="s">
        <v>72</v>
      </c>
      <c r="C183" t="s">
        <v>40</v>
      </c>
      <c r="D183">
        <v>2026</v>
      </c>
      <c r="E183">
        <v>2.459515994483374</v>
      </c>
      <c r="G183" t="str">
        <f t="shared" si="2"/>
        <v/>
      </c>
      <c r="H183">
        <v>0.35395753132631119</v>
      </c>
    </row>
    <row r="184" spans="1:8" x14ac:dyDescent="0.35">
      <c r="A184" t="s">
        <v>75</v>
      </c>
      <c r="B184" t="s">
        <v>55</v>
      </c>
      <c r="C184" t="s">
        <v>38</v>
      </c>
      <c r="D184">
        <v>2020</v>
      </c>
      <c r="E184">
        <v>0.43236292909316631</v>
      </c>
      <c r="F184">
        <v>-9.3783767522421471</v>
      </c>
      <c r="G184">
        <f t="shared" si="2"/>
        <v>-9.8107396813353134</v>
      </c>
      <c r="H184">
        <v>0.93164971955174003</v>
      </c>
    </row>
    <row r="185" spans="1:8" x14ac:dyDescent="0.35">
      <c r="A185" t="s">
        <v>75</v>
      </c>
      <c r="B185" t="s">
        <v>57</v>
      </c>
      <c r="C185" t="s">
        <v>38</v>
      </c>
      <c r="D185">
        <v>2020</v>
      </c>
      <c r="E185">
        <v>-9.8515454699187543</v>
      </c>
      <c r="F185">
        <v>-9.3783767522421471</v>
      </c>
      <c r="G185">
        <f t="shared" si="2"/>
        <v>0.47316871767660729</v>
      </c>
      <c r="H185">
        <v>0.93164971955174003</v>
      </c>
    </row>
    <row r="186" spans="1:8" x14ac:dyDescent="0.35">
      <c r="A186" t="s">
        <v>75</v>
      </c>
      <c r="B186" t="s">
        <v>56</v>
      </c>
      <c r="C186" t="s">
        <v>40</v>
      </c>
      <c r="D186">
        <v>2020</v>
      </c>
      <c r="E186">
        <v>0.71178912334750599</v>
      </c>
      <c r="F186">
        <v>-9.3783767522421471</v>
      </c>
      <c r="G186">
        <f t="shared" si="2"/>
        <v>-10.090165875589653</v>
      </c>
      <c r="H186">
        <v>0.93164971955174003</v>
      </c>
    </row>
    <row r="187" spans="1:8" x14ac:dyDescent="0.35">
      <c r="A187" t="s">
        <v>75</v>
      </c>
      <c r="B187" t="s">
        <v>58</v>
      </c>
      <c r="C187" t="s">
        <v>40</v>
      </c>
      <c r="D187">
        <v>2020</v>
      </c>
      <c r="E187">
        <v>-9.517990850094149</v>
      </c>
      <c r="F187">
        <v>-9.3783767522421471</v>
      </c>
      <c r="G187">
        <f t="shared" si="2"/>
        <v>0.13961409785200196</v>
      </c>
      <c r="H187">
        <v>0.93164971955174003</v>
      </c>
    </row>
    <row r="188" spans="1:8" x14ac:dyDescent="0.35">
      <c r="A188" t="s">
        <v>75</v>
      </c>
      <c r="B188" t="s">
        <v>57</v>
      </c>
      <c r="C188" t="s">
        <v>38</v>
      </c>
      <c r="D188">
        <v>2021</v>
      </c>
      <c r="E188">
        <v>4.051033813756133</v>
      </c>
      <c r="F188">
        <v>8.4370671759064813</v>
      </c>
      <c r="G188">
        <f t="shared" si="2"/>
        <v>4.3860333621503482</v>
      </c>
      <c r="H188">
        <v>0.91416680466678835</v>
      </c>
    </row>
    <row r="189" spans="1:8" x14ac:dyDescent="0.35">
      <c r="A189" t="s">
        <v>75</v>
      </c>
      <c r="B189" t="s">
        <v>59</v>
      </c>
      <c r="C189" t="s">
        <v>38</v>
      </c>
      <c r="D189">
        <v>2021</v>
      </c>
      <c r="E189">
        <v>6.2292733128945343</v>
      </c>
      <c r="F189">
        <v>8.4370671759064813</v>
      </c>
      <c r="G189">
        <f t="shared" si="2"/>
        <v>2.2077938630119469</v>
      </c>
      <c r="H189">
        <v>0.91416680466678835</v>
      </c>
    </row>
    <row r="190" spans="1:8" x14ac:dyDescent="0.35">
      <c r="A190" t="s">
        <v>75</v>
      </c>
      <c r="B190" t="s">
        <v>58</v>
      </c>
      <c r="C190" t="s">
        <v>40</v>
      </c>
      <c r="D190">
        <v>2021</v>
      </c>
      <c r="E190">
        <v>6.5496569028856699</v>
      </c>
      <c r="F190">
        <v>8.4370671759064813</v>
      </c>
      <c r="G190">
        <f t="shared" si="2"/>
        <v>1.8874102730208113</v>
      </c>
      <c r="H190">
        <v>0.91416680466678835</v>
      </c>
    </row>
    <row r="191" spans="1:8" x14ac:dyDescent="0.35">
      <c r="A191" t="s">
        <v>75</v>
      </c>
      <c r="B191" t="s">
        <v>60</v>
      </c>
      <c r="C191" t="s">
        <v>40</v>
      </c>
      <c r="D191">
        <v>2021</v>
      </c>
      <c r="E191">
        <v>4.2068723885489323</v>
      </c>
      <c r="F191">
        <v>8.4370671759064813</v>
      </c>
      <c r="G191">
        <f t="shared" si="2"/>
        <v>4.2301947873575489</v>
      </c>
      <c r="H191">
        <v>0.91416680466678835</v>
      </c>
    </row>
    <row r="192" spans="1:8" x14ac:dyDescent="0.35">
      <c r="A192" t="s">
        <v>75</v>
      </c>
      <c r="B192" t="s">
        <v>59</v>
      </c>
      <c r="C192" t="s">
        <v>38</v>
      </c>
      <c r="D192">
        <v>2022</v>
      </c>
      <c r="E192">
        <v>4.2689191687874661</v>
      </c>
      <c r="F192">
        <v>4.8546134866977511</v>
      </c>
      <c r="G192">
        <f t="shared" si="2"/>
        <v>0.58569431791028492</v>
      </c>
      <c r="H192">
        <v>0.90204063425666803</v>
      </c>
    </row>
    <row r="193" spans="1:8" x14ac:dyDescent="0.35">
      <c r="A193" t="s">
        <v>75</v>
      </c>
      <c r="B193" t="s">
        <v>61</v>
      </c>
      <c r="C193" t="s">
        <v>38</v>
      </c>
      <c r="D193">
        <v>2022</v>
      </c>
      <c r="E193">
        <v>3.8268920279536989</v>
      </c>
      <c r="F193">
        <v>4.8546134866977511</v>
      </c>
      <c r="G193">
        <f t="shared" si="2"/>
        <v>1.0277214587440522</v>
      </c>
      <c r="H193">
        <v>0.90204063425666803</v>
      </c>
    </row>
    <row r="194" spans="1:8" x14ac:dyDescent="0.35">
      <c r="A194" t="s">
        <v>75</v>
      </c>
      <c r="B194" t="s">
        <v>60</v>
      </c>
      <c r="C194" t="s">
        <v>40</v>
      </c>
      <c r="D194">
        <v>2022</v>
      </c>
      <c r="E194">
        <v>4.3934586282645904</v>
      </c>
      <c r="F194">
        <v>4.8546134866977511</v>
      </c>
      <c r="G194">
        <f t="shared" ref="G194:G257" si="3">IF(OR(F194="",E194=""),"",F194-E194)</f>
        <v>0.46115485843316062</v>
      </c>
      <c r="H194">
        <v>0.90204063425666803</v>
      </c>
    </row>
    <row r="195" spans="1:8" x14ac:dyDescent="0.35">
      <c r="A195" t="s">
        <v>75</v>
      </c>
      <c r="B195" t="s">
        <v>62</v>
      </c>
      <c r="C195" t="s">
        <v>40</v>
      </c>
      <c r="D195">
        <v>2022</v>
      </c>
      <c r="E195">
        <v>2.4256542804822261</v>
      </c>
      <c r="F195">
        <v>4.8546134866977511</v>
      </c>
      <c r="G195">
        <f t="shared" si="3"/>
        <v>2.428959206215525</v>
      </c>
      <c r="H195">
        <v>0.90204063425666803</v>
      </c>
    </row>
    <row r="196" spans="1:8" x14ac:dyDescent="0.35">
      <c r="A196" t="s">
        <v>75</v>
      </c>
      <c r="B196" t="s">
        <v>61</v>
      </c>
      <c r="C196" t="s">
        <v>38</v>
      </c>
      <c r="D196">
        <v>2023</v>
      </c>
      <c r="E196">
        <v>0.31473715860916851</v>
      </c>
      <c r="F196">
        <v>1.014274087639002</v>
      </c>
      <c r="G196">
        <f t="shared" si="3"/>
        <v>0.69953692902983344</v>
      </c>
      <c r="H196">
        <v>0.92248033597353918</v>
      </c>
    </row>
    <row r="197" spans="1:8" x14ac:dyDescent="0.35">
      <c r="A197" t="s">
        <v>75</v>
      </c>
      <c r="B197" t="s">
        <v>63</v>
      </c>
      <c r="C197" t="s">
        <v>38</v>
      </c>
      <c r="D197">
        <v>2023</v>
      </c>
      <c r="E197">
        <v>0.69157318051265015</v>
      </c>
      <c r="F197">
        <v>1.014274087639002</v>
      </c>
      <c r="G197">
        <f t="shared" si="3"/>
        <v>0.3227009071263518</v>
      </c>
      <c r="H197">
        <v>0.92248033597353918</v>
      </c>
    </row>
    <row r="198" spans="1:8" x14ac:dyDescent="0.35">
      <c r="A198" t="s">
        <v>75</v>
      </c>
      <c r="B198" t="s">
        <v>62</v>
      </c>
      <c r="C198" t="s">
        <v>40</v>
      </c>
      <c r="D198">
        <v>2023</v>
      </c>
      <c r="E198">
        <v>1.851291422718337</v>
      </c>
      <c r="F198">
        <v>1.014274087639002</v>
      </c>
      <c r="G198">
        <f t="shared" si="3"/>
        <v>-0.83701733507933507</v>
      </c>
      <c r="H198">
        <v>0.92248033597353918</v>
      </c>
    </row>
    <row r="199" spans="1:8" x14ac:dyDescent="0.35">
      <c r="A199" t="s">
        <v>75</v>
      </c>
      <c r="B199" t="s">
        <v>64</v>
      </c>
      <c r="C199" t="s">
        <v>40</v>
      </c>
      <c r="D199">
        <v>2023</v>
      </c>
      <c r="E199">
        <v>1.206598132351089</v>
      </c>
      <c r="F199">
        <v>1.014274087639002</v>
      </c>
      <c r="G199">
        <f t="shared" si="3"/>
        <v>-0.19232404471208708</v>
      </c>
      <c r="H199">
        <v>0.92248033597353918</v>
      </c>
    </row>
    <row r="200" spans="1:8" x14ac:dyDescent="0.35">
      <c r="A200" t="s">
        <v>75</v>
      </c>
      <c r="B200" t="s">
        <v>63</v>
      </c>
      <c r="C200" t="s">
        <v>38</v>
      </c>
      <c r="D200">
        <v>2024</v>
      </c>
      <c r="E200">
        <v>0.85219564942633497</v>
      </c>
      <c r="F200">
        <v>0.58463257989526929</v>
      </c>
      <c r="G200">
        <f t="shared" si="3"/>
        <v>-0.26756306953106568</v>
      </c>
      <c r="H200">
        <v>0.69071195379939176</v>
      </c>
    </row>
    <row r="201" spans="1:8" x14ac:dyDescent="0.35">
      <c r="A201" t="s">
        <v>75</v>
      </c>
      <c r="B201" t="s">
        <v>65</v>
      </c>
      <c r="C201" t="s">
        <v>38</v>
      </c>
      <c r="D201">
        <v>2024</v>
      </c>
      <c r="E201">
        <v>0.66875073104093463</v>
      </c>
      <c r="F201">
        <v>0.58463257989526929</v>
      </c>
      <c r="G201">
        <f t="shared" si="3"/>
        <v>-8.4118151145665343E-2</v>
      </c>
      <c r="H201">
        <v>0.69071195379939176</v>
      </c>
    </row>
    <row r="202" spans="1:8" x14ac:dyDescent="0.35">
      <c r="A202" t="s">
        <v>75</v>
      </c>
      <c r="B202" t="s">
        <v>64</v>
      </c>
      <c r="C202" t="s">
        <v>40</v>
      </c>
      <c r="D202">
        <v>2024</v>
      </c>
      <c r="E202">
        <v>1.088219792885559</v>
      </c>
      <c r="F202">
        <v>0.58463257989526929</v>
      </c>
      <c r="G202">
        <f t="shared" si="3"/>
        <v>-0.50358721299028975</v>
      </c>
      <c r="H202">
        <v>0.69071195379939176</v>
      </c>
    </row>
    <row r="203" spans="1:8" x14ac:dyDescent="0.35">
      <c r="A203" t="s">
        <v>75</v>
      </c>
      <c r="B203" t="s">
        <v>66</v>
      </c>
      <c r="C203" t="s">
        <v>40</v>
      </c>
      <c r="D203">
        <v>2024</v>
      </c>
      <c r="E203">
        <v>0.93648338218597083</v>
      </c>
      <c r="F203">
        <v>0.58463257989526929</v>
      </c>
      <c r="G203">
        <f t="shared" si="3"/>
        <v>-0.35185080229070154</v>
      </c>
      <c r="H203">
        <v>0.69071195379939176</v>
      </c>
    </row>
    <row r="204" spans="1:8" x14ac:dyDescent="0.35">
      <c r="A204" t="s">
        <v>75</v>
      </c>
      <c r="B204" t="s">
        <v>65</v>
      </c>
      <c r="C204" t="s">
        <v>38</v>
      </c>
      <c r="D204">
        <v>2025</v>
      </c>
      <c r="E204">
        <v>1.0376492446310339</v>
      </c>
      <c r="F204">
        <v>0.66135842759176278</v>
      </c>
      <c r="G204">
        <f t="shared" si="3"/>
        <v>-0.37629081703927114</v>
      </c>
      <c r="H204">
        <v>6.0061203852044547E-2</v>
      </c>
    </row>
    <row r="205" spans="1:8" x14ac:dyDescent="0.35">
      <c r="A205" t="s">
        <v>75</v>
      </c>
      <c r="B205" t="s">
        <v>71</v>
      </c>
      <c r="C205" t="s">
        <v>38</v>
      </c>
      <c r="D205">
        <v>2025</v>
      </c>
      <c r="E205">
        <v>0.35981622121454843</v>
      </c>
      <c r="F205">
        <v>0.66135842759176278</v>
      </c>
      <c r="G205">
        <f t="shared" si="3"/>
        <v>0.30154220637721435</v>
      </c>
      <c r="H205">
        <v>6.0061203852044547E-2</v>
      </c>
    </row>
    <row r="206" spans="1:8" x14ac:dyDescent="0.35">
      <c r="A206" t="s">
        <v>75</v>
      </c>
      <c r="B206" t="s">
        <v>66</v>
      </c>
      <c r="C206" t="s">
        <v>40</v>
      </c>
      <c r="D206">
        <v>2025</v>
      </c>
      <c r="E206">
        <v>1.0979449050216421</v>
      </c>
      <c r="F206">
        <v>0.66135842759176278</v>
      </c>
      <c r="G206">
        <f t="shared" si="3"/>
        <v>-0.43658647742987933</v>
      </c>
      <c r="H206">
        <v>6.0061203852044547E-2</v>
      </c>
    </row>
    <row r="207" spans="1:8" x14ac:dyDescent="0.35">
      <c r="A207" t="s">
        <v>75</v>
      </c>
      <c r="B207" t="s">
        <v>72</v>
      </c>
      <c r="C207" t="s">
        <v>40</v>
      </c>
      <c r="D207">
        <v>2025</v>
      </c>
      <c r="E207">
        <v>0.66447930597219873</v>
      </c>
      <c r="F207">
        <v>0.66135842759176278</v>
      </c>
      <c r="G207">
        <f t="shared" si="3"/>
        <v>-3.1208783804359541E-3</v>
      </c>
      <c r="H207">
        <v>6.0061203852044547E-2</v>
      </c>
    </row>
    <row r="208" spans="1:8" x14ac:dyDescent="0.35">
      <c r="A208" t="s">
        <v>75</v>
      </c>
      <c r="B208" t="s">
        <v>71</v>
      </c>
      <c r="C208" t="s">
        <v>38</v>
      </c>
      <c r="D208">
        <v>2026</v>
      </c>
      <c r="E208">
        <v>0.79212128922647729</v>
      </c>
      <c r="G208" t="str">
        <f t="shared" si="3"/>
        <v/>
      </c>
      <c r="H208">
        <v>0.13475190754493399</v>
      </c>
    </row>
    <row r="209" spans="1:8" x14ac:dyDescent="0.35">
      <c r="A209" t="s">
        <v>75</v>
      </c>
      <c r="B209" t="s">
        <v>72</v>
      </c>
      <c r="C209" t="s">
        <v>40</v>
      </c>
      <c r="D209">
        <v>2026</v>
      </c>
      <c r="E209">
        <v>0.94654087888825789</v>
      </c>
      <c r="G209" t="str">
        <f t="shared" si="3"/>
        <v/>
      </c>
      <c r="H209">
        <v>0.13475190754493399</v>
      </c>
    </row>
    <row r="210" spans="1:8" x14ac:dyDescent="0.35">
      <c r="A210" t="s">
        <v>76</v>
      </c>
      <c r="B210" t="s">
        <v>55</v>
      </c>
      <c r="C210" t="s">
        <v>38</v>
      </c>
      <c r="D210">
        <v>2020</v>
      </c>
      <c r="E210">
        <v>1.2831214058191649</v>
      </c>
      <c r="F210">
        <v>-3.9039509434828492</v>
      </c>
      <c r="G210">
        <f t="shared" si="3"/>
        <v>-5.1870723493020137</v>
      </c>
      <c r="H210">
        <v>0.94574295007118003</v>
      </c>
    </row>
    <row r="211" spans="1:8" x14ac:dyDescent="0.35">
      <c r="A211" t="s">
        <v>76</v>
      </c>
      <c r="B211" t="s">
        <v>57</v>
      </c>
      <c r="C211" t="s">
        <v>38</v>
      </c>
      <c r="D211">
        <v>2020</v>
      </c>
      <c r="E211">
        <v>-5.3222217587985954</v>
      </c>
      <c r="F211">
        <v>-3.9039509434828492</v>
      </c>
      <c r="G211">
        <f t="shared" si="3"/>
        <v>1.4182708153157462</v>
      </c>
      <c r="H211">
        <v>0.94574295007118003</v>
      </c>
    </row>
    <row r="212" spans="1:8" x14ac:dyDescent="0.35">
      <c r="A212" t="s">
        <v>76</v>
      </c>
      <c r="B212" t="s">
        <v>56</v>
      </c>
      <c r="C212" t="s">
        <v>40</v>
      </c>
      <c r="D212">
        <v>2020</v>
      </c>
      <c r="E212">
        <v>1.619436814413677</v>
      </c>
      <c r="F212">
        <v>-3.9039509434828492</v>
      </c>
      <c r="G212">
        <f t="shared" si="3"/>
        <v>-5.5233877578965265</v>
      </c>
      <c r="H212">
        <v>0.94574295007118003</v>
      </c>
    </row>
    <row r="213" spans="1:8" x14ac:dyDescent="0.35">
      <c r="A213" t="s">
        <v>76</v>
      </c>
      <c r="B213" t="s">
        <v>58</v>
      </c>
      <c r="C213" t="s">
        <v>40</v>
      </c>
      <c r="D213">
        <v>2020</v>
      </c>
      <c r="E213">
        <v>-6.8478963820636896</v>
      </c>
      <c r="F213">
        <v>-3.9039509434828492</v>
      </c>
      <c r="G213">
        <f t="shared" si="3"/>
        <v>2.9439454385808403</v>
      </c>
      <c r="H213">
        <v>0.94574295007118003</v>
      </c>
    </row>
    <row r="214" spans="1:8" x14ac:dyDescent="0.35">
      <c r="A214" t="s">
        <v>76</v>
      </c>
      <c r="B214" t="s">
        <v>57</v>
      </c>
      <c r="C214" t="s">
        <v>38</v>
      </c>
      <c r="D214">
        <v>2021</v>
      </c>
      <c r="E214">
        <v>2.161323818880434</v>
      </c>
      <c r="F214">
        <v>6.0197643563294596</v>
      </c>
      <c r="G214">
        <f t="shared" si="3"/>
        <v>3.8584405374490256</v>
      </c>
      <c r="H214">
        <v>0.88432599874750706</v>
      </c>
    </row>
    <row r="215" spans="1:8" x14ac:dyDescent="0.35">
      <c r="A215" t="s">
        <v>76</v>
      </c>
      <c r="B215" t="s">
        <v>59</v>
      </c>
      <c r="C215" t="s">
        <v>38</v>
      </c>
      <c r="D215">
        <v>2021</v>
      </c>
      <c r="E215">
        <v>3.9728248180522558</v>
      </c>
      <c r="F215">
        <v>6.0197643563294596</v>
      </c>
      <c r="G215">
        <f t="shared" si="3"/>
        <v>2.0469395382772038</v>
      </c>
      <c r="H215">
        <v>0.88432599874750706</v>
      </c>
    </row>
    <row r="216" spans="1:8" x14ac:dyDescent="0.35">
      <c r="A216" t="s">
        <v>76</v>
      </c>
      <c r="B216" t="s">
        <v>58</v>
      </c>
      <c r="C216" t="s">
        <v>40</v>
      </c>
      <c r="D216">
        <v>2021</v>
      </c>
      <c r="E216">
        <v>4.963640025345617</v>
      </c>
      <c r="F216">
        <v>6.0197643563294596</v>
      </c>
      <c r="G216">
        <f t="shared" si="3"/>
        <v>1.0561243309838426</v>
      </c>
      <c r="H216">
        <v>0.88432599874750706</v>
      </c>
    </row>
    <row r="217" spans="1:8" x14ac:dyDescent="0.35">
      <c r="A217" t="s">
        <v>76</v>
      </c>
      <c r="B217" t="s">
        <v>60</v>
      </c>
      <c r="C217" t="s">
        <v>40</v>
      </c>
      <c r="D217">
        <v>2021</v>
      </c>
      <c r="E217">
        <v>2.3382369164345769</v>
      </c>
      <c r="F217">
        <v>6.0197643563294596</v>
      </c>
      <c r="G217">
        <f t="shared" si="3"/>
        <v>3.6815274398948827</v>
      </c>
      <c r="H217">
        <v>0.88432599874750706</v>
      </c>
    </row>
    <row r="218" spans="1:8" x14ac:dyDescent="0.35">
      <c r="A218" t="s">
        <v>76</v>
      </c>
      <c r="B218" t="s">
        <v>59</v>
      </c>
      <c r="C218" t="s">
        <v>38</v>
      </c>
      <c r="D218">
        <v>2022</v>
      </c>
      <c r="E218">
        <v>3.3489770835561039</v>
      </c>
      <c r="F218">
        <v>4.8892912104023152</v>
      </c>
      <c r="G218">
        <f t="shared" si="3"/>
        <v>1.5403141268462113</v>
      </c>
      <c r="H218">
        <v>0.81381208879363764</v>
      </c>
    </row>
    <row r="219" spans="1:8" x14ac:dyDescent="0.35">
      <c r="A219" t="s">
        <v>76</v>
      </c>
      <c r="B219" t="s">
        <v>61</v>
      </c>
      <c r="C219" t="s">
        <v>38</v>
      </c>
      <c r="D219">
        <v>2022</v>
      </c>
      <c r="E219">
        <v>4.6490196630740721</v>
      </c>
      <c r="F219">
        <v>4.8892912104023152</v>
      </c>
      <c r="G219">
        <f t="shared" si="3"/>
        <v>0.24027154732824307</v>
      </c>
      <c r="H219">
        <v>0.81381208879363764</v>
      </c>
    </row>
    <row r="220" spans="1:8" x14ac:dyDescent="0.35">
      <c r="A220" t="s">
        <v>76</v>
      </c>
      <c r="B220" t="s">
        <v>60</v>
      </c>
      <c r="C220" t="s">
        <v>40</v>
      </c>
      <c r="D220">
        <v>2022</v>
      </c>
      <c r="E220">
        <v>3.5790486712876879</v>
      </c>
      <c r="F220">
        <v>4.8892912104023152</v>
      </c>
      <c r="G220">
        <f t="shared" si="3"/>
        <v>1.3102425391146273</v>
      </c>
      <c r="H220">
        <v>0.81381208879363764</v>
      </c>
    </row>
    <row r="221" spans="1:8" x14ac:dyDescent="0.35">
      <c r="A221" t="s">
        <v>76</v>
      </c>
      <c r="B221" t="s">
        <v>62</v>
      </c>
      <c r="C221" t="s">
        <v>40</v>
      </c>
      <c r="D221">
        <v>2022</v>
      </c>
      <c r="E221">
        <v>3.271330674458595</v>
      </c>
      <c r="F221">
        <v>4.8892912104023152</v>
      </c>
      <c r="G221">
        <f t="shared" si="3"/>
        <v>1.6179605359437201</v>
      </c>
      <c r="H221">
        <v>0.81381208879363764</v>
      </c>
    </row>
    <row r="222" spans="1:8" x14ac:dyDescent="0.35">
      <c r="A222" t="s">
        <v>76</v>
      </c>
      <c r="B222" t="s">
        <v>61</v>
      </c>
      <c r="C222" t="s">
        <v>38</v>
      </c>
      <c r="D222">
        <v>2023</v>
      </c>
      <c r="E222">
        <v>0.64857323528075828</v>
      </c>
      <c r="F222">
        <v>-0.58469355622177965</v>
      </c>
      <c r="G222">
        <f t="shared" si="3"/>
        <v>-1.2332667915025379</v>
      </c>
      <c r="H222">
        <v>0.89381893378563049</v>
      </c>
    </row>
    <row r="223" spans="1:8" x14ac:dyDescent="0.35">
      <c r="A223" t="s">
        <v>76</v>
      </c>
      <c r="B223" t="s">
        <v>63</v>
      </c>
      <c r="C223" t="s">
        <v>38</v>
      </c>
      <c r="D223">
        <v>2023</v>
      </c>
      <c r="E223">
        <v>0.5799247285826814</v>
      </c>
      <c r="F223">
        <v>-0.58469355622177965</v>
      </c>
      <c r="G223">
        <f t="shared" si="3"/>
        <v>-1.1646182848044611</v>
      </c>
      <c r="H223">
        <v>0.89381893378563049</v>
      </c>
    </row>
    <row r="224" spans="1:8" x14ac:dyDescent="0.35">
      <c r="A224" t="s">
        <v>76</v>
      </c>
      <c r="B224" t="s">
        <v>62</v>
      </c>
      <c r="C224" t="s">
        <v>40</v>
      </c>
      <c r="D224">
        <v>2023</v>
      </c>
      <c r="E224">
        <v>1.5682500170195011</v>
      </c>
      <c r="F224">
        <v>-0.58469355622177965</v>
      </c>
      <c r="G224">
        <f t="shared" si="3"/>
        <v>-2.1529435732412807</v>
      </c>
      <c r="H224">
        <v>0.89381893378563049</v>
      </c>
    </row>
    <row r="225" spans="1:8" x14ac:dyDescent="0.35">
      <c r="A225" t="s">
        <v>76</v>
      </c>
      <c r="B225" t="s">
        <v>64</v>
      </c>
      <c r="C225" t="s">
        <v>40</v>
      </c>
      <c r="D225">
        <v>2023</v>
      </c>
      <c r="E225">
        <v>1.8009941751683021</v>
      </c>
      <c r="F225">
        <v>-0.58469355622177965</v>
      </c>
      <c r="G225">
        <f t="shared" si="3"/>
        <v>-2.3856877313900817</v>
      </c>
      <c r="H225">
        <v>0.89381893378563049</v>
      </c>
    </row>
    <row r="226" spans="1:8" x14ac:dyDescent="0.35">
      <c r="A226" t="s">
        <v>76</v>
      </c>
      <c r="B226" t="s">
        <v>63</v>
      </c>
      <c r="C226" t="s">
        <v>38</v>
      </c>
      <c r="D226">
        <v>2024</v>
      </c>
      <c r="E226">
        <v>1.090974188365412</v>
      </c>
      <c r="F226">
        <v>1.058640812818894</v>
      </c>
      <c r="G226">
        <f t="shared" si="3"/>
        <v>-3.2333375546518051E-2</v>
      </c>
      <c r="H226">
        <v>0.90524855781111691</v>
      </c>
    </row>
    <row r="227" spans="1:8" x14ac:dyDescent="0.35">
      <c r="A227" t="s">
        <v>76</v>
      </c>
      <c r="B227" t="s">
        <v>65</v>
      </c>
      <c r="C227" t="s">
        <v>38</v>
      </c>
      <c r="D227">
        <v>2024</v>
      </c>
      <c r="E227">
        <v>0.84134331866276835</v>
      </c>
      <c r="F227">
        <v>1.058640812818894</v>
      </c>
      <c r="G227">
        <f t="shared" si="3"/>
        <v>0.21729749415612565</v>
      </c>
      <c r="H227">
        <v>0.90524855781111691</v>
      </c>
    </row>
    <row r="228" spans="1:8" x14ac:dyDescent="0.35">
      <c r="A228" t="s">
        <v>76</v>
      </c>
      <c r="B228" t="s">
        <v>64</v>
      </c>
      <c r="C228" t="s">
        <v>40</v>
      </c>
      <c r="D228">
        <v>2024</v>
      </c>
      <c r="E228">
        <v>1.181076174566176</v>
      </c>
      <c r="F228">
        <v>1.058640812818894</v>
      </c>
      <c r="G228">
        <f t="shared" si="3"/>
        <v>-0.12243536174728198</v>
      </c>
      <c r="H228">
        <v>0.90524855781111691</v>
      </c>
    </row>
    <row r="229" spans="1:8" x14ac:dyDescent="0.35">
      <c r="A229" t="s">
        <v>76</v>
      </c>
      <c r="B229" t="s">
        <v>66</v>
      </c>
      <c r="C229" t="s">
        <v>40</v>
      </c>
      <c r="D229">
        <v>2024</v>
      </c>
      <c r="E229">
        <v>0.76042118074215459</v>
      </c>
      <c r="F229">
        <v>1.058640812818894</v>
      </c>
      <c r="G229">
        <f t="shared" si="3"/>
        <v>0.2982196320767394</v>
      </c>
      <c r="H229">
        <v>0.90524855781111691</v>
      </c>
    </row>
    <row r="230" spans="1:8" x14ac:dyDescent="0.35">
      <c r="A230" t="s">
        <v>76</v>
      </c>
      <c r="B230" t="s">
        <v>65</v>
      </c>
      <c r="C230" t="s">
        <v>38</v>
      </c>
      <c r="D230">
        <v>2025</v>
      </c>
      <c r="E230">
        <v>1.551316113361789</v>
      </c>
      <c r="F230">
        <v>1.5629801711020599</v>
      </c>
      <c r="G230">
        <f t="shared" si="3"/>
        <v>1.1664057740270906E-2</v>
      </c>
      <c r="H230">
        <v>0.58193671258721102</v>
      </c>
    </row>
    <row r="231" spans="1:8" x14ac:dyDescent="0.35">
      <c r="A231" t="s">
        <v>76</v>
      </c>
      <c r="B231" t="s">
        <v>71</v>
      </c>
      <c r="C231" t="s">
        <v>38</v>
      </c>
      <c r="D231">
        <v>2025</v>
      </c>
      <c r="E231">
        <v>1.6966708374271939</v>
      </c>
      <c r="F231">
        <v>1.5629801711020599</v>
      </c>
      <c r="G231">
        <f t="shared" si="3"/>
        <v>-0.13369066632513404</v>
      </c>
      <c r="H231">
        <v>0.58193671258721102</v>
      </c>
    </row>
    <row r="232" spans="1:8" x14ac:dyDescent="0.35">
      <c r="A232" t="s">
        <v>76</v>
      </c>
      <c r="B232" t="s">
        <v>66</v>
      </c>
      <c r="C232" t="s">
        <v>40</v>
      </c>
      <c r="D232">
        <v>2025</v>
      </c>
      <c r="E232">
        <v>1.4664182247055459</v>
      </c>
      <c r="F232">
        <v>1.5629801711020599</v>
      </c>
      <c r="G232">
        <f t="shared" si="3"/>
        <v>9.6561946396513942E-2</v>
      </c>
      <c r="H232">
        <v>0.58193671258721102</v>
      </c>
    </row>
    <row r="233" spans="1:8" x14ac:dyDescent="0.35">
      <c r="A233" t="s">
        <v>76</v>
      </c>
      <c r="B233" t="s">
        <v>72</v>
      </c>
      <c r="C233" t="s">
        <v>40</v>
      </c>
      <c r="D233">
        <v>2025</v>
      </c>
      <c r="E233">
        <v>1.282511180567347</v>
      </c>
      <c r="F233">
        <v>1.5629801711020599</v>
      </c>
      <c r="G233">
        <f t="shared" si="3"/>
        <v>0.28046899053471286</v>
      </c>
      <c r="H233">
        <v>0.58193671258721102</v>
      </c>
    </row>
    <row r="234" spans="1:8" x14ac:dyDescent="0.35">
      <c r="A234" t="s">
        <v>76</v>
      </c>
      <c r="B234" t="s">
        <v>71</v>
      </c>
      <c r="C234" t="s">
        <v>38</v>
      </c>
      <c r="D234">
        <v>2026</v>
      </c>
      <c r="E234">
        <v>1.2965999194465061</v>
      </c>
      <c r="G234" t="str">
        <f t="shared" si="3"/>
        <v/>
      </c>
      <c r="H234">
        <v>0.60408164837066136</v>
      </c>
    </row>
    <row r="235" spans="1:8" x14ac:dyDescent="0.35">
      <c r="A235" t="s">
        <v>76</v>
      </c>
      <c r="B235" t="s">
        <v>72</v>
      </c>
      <c r="C235" t="s">
        <v>40</v>
      </c>
      <c r="D235">
        <v>2026</v>
      </c>
      <c r="E235">
        <v>1.244771632095754</v>
      </c>
      <c r="G235" t="str">
        <f t="shared" si="3"/>
        <v/>
      </c>
      <c r="H235">
        <v>0.60408164837066136</v>
      </c>
    </row>
    <row r="236" spans="1:8" x14ac:dyDescent="0.35">
      <c r="A236" t="s">
        <v>77</v>
      </c>
      <c r="B236" t="s">
        <v>55</v>
      </c>
      <c r="C236" t="s">
        <v>38</v>
      </c>
      <c r="D236">
        <v>2020</v>
      </c>
      <c r="E236">
        <v>1.699885517193356</v>
      </c>
      <c r="F236">
        <v>-8.5609032033360464</v>
      </c>
      <c r="G236">
        <f t="shared" si="3"/>
        <v>-10.260788720529403</v>
      </c>
      <c r="H236">
        <v>0.91994322807589268</v>
      </c>
    </row>
    <row r="237" spans="1:8" x14ac:dyDescent="0.35">
      <c r="A237" t="s">
        <v>77</v>
      </c>
      <c r="B237" t="s">
        <v>57</v>
      </c>
      <c r="C237" t="s">
        <v>38</v>
      </c>
      <c r="D237">
        <v>2020</v>
      </c>
      <c r="E237">
        <v>-9.2905567939445373</v>
      </c>
      <c r="F237">
        <v>-8.5609032033360464</v>
      </c>
      <c r="G237">
        <f t="shared" si="3"/>
        <v>0.72965359060849089</v>
      </c>
      <c r="H237">
        <v>0.91994322807589268</v>
      </c>
    </row>
    <row r="238" spans="1:8" x14ac:dyDescent="0.35">
      <c r="A238" t="s">
        <v>77</v>
      </c>
      <c r="B238" t="s">
        <v>56</v>
      </c>
      <c r="C238" t="s">
        <v>40</v>
      </c>
      <c r="D238">
        <v>2020</v>
      </c>
      <c r="E238">
        <v>1.7153996309464681</v>
      </c>
      <c r="F238">
        <v>-8.5609032033360464</v>
      </c>
      <c r="G238">
        <f t="shared" si="3"/>
        <v>-10.276302834282514</v>
      </c>
      <c r="H238">
        <v>0.91994322807589268</v>
      </c>
    </row>
    <row r="239" spans="1:8" x14ac:dyDescent="0.35">
      <c r="A239" t="s">
        <v>77</v>
      </c>
      <c r="B239" t="s">
        <v>58</v>
      </c>
      <c r="C239" t="s">
        <v>40</v>
      </c>
      <c r="D239">
        <v>2020</v>
      </c>
      <c r="E239">
        <v>-6.7651809613411107</v>
      </c>
      <c r="F239">
        <v>-8.5609032033360464</v>
      </c>
      <c r="G239">
        <f t="shared" si="3"/>
        <v>-1.7957222419949357</v>
      </c>
      <c r="H239">
        <v>0.91994322807589268</v>
      </c>
    </row>
    <row r="240" spans="1:8" x14ac:dyDescent="0.35">
      <c r="A240" t="s">
        <v>77</v>
      </c>
      <c r="B240" t="s">
        <v>57</v>
      </c>
      <c r="C240" t="s">
        <v>38</v>
      </c>
      <c r="D240">
        <v>2021</v>
      </c>
      <c r="E240">
        <v>5.3606609364002189</v>
      </c>
      <c r="F240">
        <v>5.4098373027499997</v>
      </c>
      <c r="G240">
        <f t="shared" si="3"/>
        <v>4.9176366349780842E-2</v>
      </c>
      <c r="H240">
        <v>0.8204401437541583</v>
      </c>
    </row>
    <row r="241" spans="1:8" x14ac:dyDescent="0.35">
      <c r="A241" t="s">
        <v>77</v>
      </c>
      <c r="B241" t="s">
        <v>59</v>
      </c>
      <c r="C241" t="s">
        <v>38</v>
      </c>
      <c r="D241">
        <v>2021</v>
      </c>
      <c r="E241">
        <v>4.5428064601391371</v>
      </c>
      <c r="F241">
        <v>5.4098373027499997</v>
      </c>
      <c r="G241">
        <f t="shared" si="3"/>
        <v>0.86703084261086261</v>
      </c>
      <c r="H241">
        <v>0.8204401437541583</v>
      </c>
    </row>
    <row r="242" spans="1:8" x14ac:dyDescent="0.35">
      <c r="A242" t="s">
        <v>77</v>
      </c>
      <c r="B242" t="s">
        <v>58</v>
      </c>
      <c r="C242" t="s">
        <v>40</v>
      </c>
      <c r="D242">
        <v>2021</v>
      </c>
      <c r="E242">
        <v>5.8179091621113344</v>
      </c>
      <c r="F242">
        <v>5.4098373027499997</v>
      </c>
      <c r="G242">
        <f t="shared" si="3"/>
        <v>-0.40807185936133461</v>
      </c>
      <c r="H242">
        <v>0.8204401437541583</v>
      </c>
    </row>
    <row r="243" spans="1:8" x14ac:dyDescent="0.35">
      <c r="A243" t="s">
        <v>77</v>
      </c>
      <c r="B243" t="s">
        <v>60</v>
      </c>
      <c r="C243" t="s">
        <v>40</v>
      </c>
      <c r="D243">
        <v>2021</v>
      </c>
      <c r="E243">
        <v>3.9441078773994498</v>
      </c>
      <c r="F243">
        <v>5.4098373027499997</v>
      </c>
      <c r="G243">
        <f t="shared" si="3"/>
        <v>1.46572942535055</v>
      </c>
      <c r="H243">
        <v>0.8204401437541583</v>
      </c>
    </row>
    <row r="244" spans="1:8" x14ac:dyDescent="0.35">
      <c r="A244" t="s">
        <v>77</v>
      </c>
      <c r="B244" t="s">
        <v>59</v>
      </c>
      <c r="C244" t="s">
        <v>38</v>
      </c>
      <c r="D244">
        <v>2022</v>
      </c>
      <c r="E244">
        <v>5.3212657228810967</v>
      </c>
      <c r="F244">
        <v>6.7526124502433778</v>
      </c>
      <c r="G244">
        <f t="shared" si="3"/>
        <v>1.4313467273622811</v>
      </c>
      <c r="H244">
        <v>0.20372319717267059</v>
      </c>
    </row>
    <row r="245" spans="1:8" x14ac:dyDescent="0.35">
      <c r="A245" t="s">
        <v>77</v>
      </c>
      <c r="B245" t="s">
        <v>61</v>
      </c>
      <c r="C245" t="s">
        <v>38</v>
      </c>
      <c r="D245">
        <v>2022</v>
      </c>
      <c r="E245">
        <v>6.5861251608809734</v>
      </c>
      <c r="F245">
        <v>6.7526124502433778</v>
      </c>
      <c r="G245">
        <f t="shared" si="3"/>
        <v>0.16648728936240431</v>
      </c>
      <c r="H245">
        <v>0.20372319717267059</v>
      </c>
    </row>
    <row r="246" spans="1:8" x14ac:dyDescent="0.35">
      <c r="A246" t="s">
        <v>77</v>
      </c>
      <c r="B246" t="s">
        <v>60</v>
      </c>
      <c r="C246" t="s">
        <v>40</v>
      </c>
      <c r="D246">
        <v>2022</v>
      </c>
      <c r="E246">
        <v>5.0988792351265078</v>
      </c>
      <c r="F246">
        <v>6.7526124502433778</v>
      </c>
      <c r="G246">
        <f t="shared" si="3"/>
        <v>1.65373321511687</v>
      </c>
      <c r="H246">
        <v>0.20372319717267059</v>
      </c>
    </row>
    <row r="247" spans="1:8" x14ac:dyDescent="0.35">
      <c r="A247" t="s">
        <v>77</v>
      </c>
      <c r="B247" t="s">
        <v>62</v>
      </c>
      <c r="C247" t="s">
        <v>40</v>
      </c>
      <c r="D247">
        <v>2022</v>
      </c>
      <c r="E247">
        <v>5.8054687081874778</v>
      </c>
      <c r="F247">
        <v>6.7526124502433778</v>
      </c>
      <c r="G247">
        <f t="shared" si="3"/>
        <v>0.94714374205589991</v>
      </c>
      <c r="H247">
        <v>0.20372319717267059</v>
      </c>
    </row>
    <row r="248" spans="1:8" x14ac:dyDescent="0.35">
      <c r="A248" t="s">
        <v>77</v>
      </c>
      <c r="B248" t="s">
        <v>61</v>
      </c>
      <c r="C248" t="s">
        <v>38</v>
      </c>
      <c r="D248">
        <v>2023</v>
      </c>
      <c r="E248">
        <v>0.71696140778811923</v>
      </c>
      <c r="F248">
        <v>3.0529202104847739</v>
      </c>
      <c r="G248">
        <f t="shared" si="3"/>
        <v>2.3359588026966547</v>
      </c>
      <c r="H248">
        <v>0.25055247475281461</v>
      </c>
    </row>
    <row r="249" spans="1:8" x14ac:dyDescent="0.35">
      <c r="A249" t="s">
        <v>77</v>
      </c>
      <c r="B249" t="s">
        <v>63</v>
      </c>
      <c r="C249" t="s">
        <v>38</v>
      </c>
      <c r="D249">
        <v>2023</v>
      </c>
      <c r="E249">
        <v>2.226883105497079</v>
      </c>
      <c r="F249">
        <v>3.0529202104847739</v>
      </c>
      <c r="G249">
        <f t="shared" si="3"/>
        <v>0.82603710498769489</v>
      </c>
      <c r="H249">
        <v>0.25055247475281461</v>
      </c>
    </row>
    <row r="250" spans="1:8" x14ac:dyDescent="0.35">
      <c r="A250" t="s">
        <v>77</v>
      </c>
      <c r="B250" t="s">
        <v>62</v>
      </c>
      <c r="C250" t="s">
        <v>40</v>
      </c>
      <c r="D250">
        <v>2023</v>
      </c>
      <c r="E250">
        <v>2.6604918870074319</v>
      </c>
      <c r="F250">
        <v>3.0529202104847739</v>
      </c>
      <c r="G250">
        <f t="shared" si="3"/>
        <v>0.39242832347734202</v>
      </c>
      <c r="H250">
        <v>0.25055247475281461</v>
      </c>
    </row>
    <row r="251" spans="1:8" x14ac:dyDescent="0.35">
      <c r="A251" t="s">
        <v>77</v>
      </c>
      <c r="B251" t="s">
        <v>64</v>
      </c>
      <c r="C251" t="s">
        <v>40</v>
      </c>
      <c r="D251">
        <v>2023</v>
      </c>
      <c r="E251">
        <v>2.4387614512581202</v>
      </c>
      <c r="F251">
        <v>3.0529202104847739</v>
      </c>
      <c r="G251">
        <f t="shared" si="3"/>
        <v>0.61415875922665375</v>
      </c>
      <c r="H251">
        <v>0.25055247475281461</v>
      </c>
    </row>
    <row r="252" spans="1:8" x14ac:dyDescent="0.35">
      <c r="A252" t="s">
        <v>77</v>
      </c>
      <c r="B252" t="s">
        <v>63</v>
      </c>
      <c r="C252" t="s">
        <v>38</v>
      </c>
      <c r="D252">
        <v>2024</v>
      </c>
      <c r="E252">
        <v>1.3133477904788251</v>
      </c>
      <c r="F252">
        <v>2.1904072780361381</v>
      </c>
      <c r="G252">
        <f t="shared" si="3"/>
        <v>0.877059487557313</v>
      </c>
      <c r="H252">
        <v>0.29518356966946802</v>
      </c>
    </row>
    <row r="253" spans="1:8" x14ac:dyDescent="0.35">
      <c r="A253" t="s">
        <v>77</v>
      </c>
      <c r="B253" t="s">
        <v>65</v>
      </c>
      <c r="C253" t="s">
        <v>38</v>
      </c>
      <c r="D253">
        <v>2024</v>
      </c>
      <c r="E253">
        <v>1.6514732694230541</v>
      </c>
      <c r="F253">
        <v>2.1904072780361381</v>
      </c>
      <c r="G253">
        <f t="shared" si="3"/>
        <v>0.53893400861308405</v>
      </c>
      <c r="H253">
        <v>0.29518356966946802</v>
      </c>
    </row>
    <row r="254" spans="1:8" x14ac:dyDescent="0.35">
      <c r="A254" t="s">
        <v>77</v>
      </c>
      <c r="B254" t="s">
        <v>64</v>
      </c>
      <c r="C254" t="s">
        <v>40</v>
      </c>
      <c r="D254">
        <v>2024</v>
      </c>
      <c r="E254">
        <v>1.7569161258840891</v>
      </c>
      <c r="F254">
        <v>2.1904072780361381</v>
      </c>
      <c r="G254">
        <f t="shared" si="3"/>
        <v>0.43349115215204903</v>
      </c>
      <c r="H254">
        <v>0.29518356966946802</v>
      </c>
    </row>
    <row r="255" spans="1:8" x14ac:dyDescent="0.35">
      <c r="A255" t="s">
        <v>77</v>
      </c>
      <c r="B255" t="s">
        <v>66</v>
      </c>
      <c r="C255" t="s">
        <v>40</v>
      </c>
      <c r="D255">
        <v>2024</v>
      </c>
      <c r="E255">
        <v>1.734179743438991</v>
      </c>
      <c r="F255">
        <v>2.1904072780361381</v>
      </c>
      <c r="G255">
        <f t="shared" si="3"/>
        <v>0.45622753459714716</v>
      </c>
      <c r="H255">
        <v>0.29518356966946802</v>
      </c>
    </row>
    <row r="256" spans="1:8" x14ac:dyDescent="0.35">
      <c r="A256" t="s">
        <v>77</v>
      </c>
      <c r="B256" t="s">
        <v>65</v>
      </c>
      <c r="C256" t="s">
        <v>38</v>
      </c>
      <c r="D256">
        <v>2025</v>
      </c>
      <c r="E256">
        <v>1.851074416505627</v>
      </c>
      <c r="F256">
        <v>1.8442000090405599</v>
      </c>
      <c r="G256">
        <f t="shared" si="3"/>
        <v>-6.8744074650670672E-3</v>
      </c>
      <c r="H256">
        <v>4.3141098767000223E-2</v>
      </c>
    </row>
    <row r="257" spans="1:8" x14ac:dyDescent="0.35">
      <c r="A257" t="s">
        <v>77</v>
      </c>
      <c r="B257" t="s">
        <v>71</v>
      </c>
      <c r="C257" t="s">
        <v>38</v>
      </c>
      <c r="D257">
        <v>2025</v>
      </c>
      <c r="E257">
        <v>1.898720252436026</v>
      </c>
      <c r="F257">
        <v>1.8442000090405599</v>
      </c>
      <c r="G257">
        <f t="shared" si="3"/>
        <v>-5.4520243395466128E-2</v>
      </c>
      <c r="H257">
        <v>4.3141098767000223E-2</v>
      </c>
    </row>
    <row r="258" spans="1:8" x14ac:dyDescent="0.35">
      <c r="A258" t="s">
        <v>77</v>
      </c>
      <c r="B258" t="s">
        <v>66</v>
      </c>
      <c r="C258" t="s">
        <v>40</v>
      </c>
      <c r="D258">
        <v>2025</v>
      </c>
      <c r="E258">
        <v>1.87529344869708</v>
      </c>
      <c r="F258">
        <v>1.8442000090405599</v>
      </c>
      <c r="G258">
        <f t="shared" ref="G258:G261" si="4">IF(OR(F258="",E258=""),"",F258-E258)</f>
        <v>-3.1093439656520117E-2</v>
      </c>
      <c r="H258">
        <v>4.3141098767000223E-2</v>
      </c>
    </row>
    <row r="259" spans="1:8" x14ac:dyDescent="0.35">
      <c r="A259" t="s">
        <v>77</v>
      </c>
      <c r="B259" t="s">
        <v>72</v>
      </c>
      <c r="C259" t="s">
        <v>40</v>
      </c>
      <c r="D259">
        <v>2025</v>
      </c>
      <c r="E259">
        <v>1.7505876843593839</v>
      </c>
      <c r="F259">
        <v>1.8442000090405599</v>
      </c>
      <c r="G259">
        <f t="shared" si="4"/>
        <v>9.3612324681175973E-2</v>
      </c>
      <c r="H259">
        <v>4.3141098767000223E-2</v>
      </c>
    </row>
    <row r="260" spans="1:8" x14ac:dyDescent="0.35">
      <c r="A260" t="s">
        <v>77</v>
      </c>
      <c r="B260" t="s">
        <v>71</v>
      </c>
      <c r="C260" t="s">
        <v>38</v>
      </c>
      <c r="D260">
        <v>2026</v>
      </c>
      <c r="E260">
        <v>2.230218535318218</v>
      </c>
      <c r="G260" t="str">
        <f t="shared" si="4"/>
        <v/>
      </c>
      <c r="H260">
        <v>9.3006789852331434E-2</v>
      </c>
    </row>
    <row r="261" spans="1:8" x14ac:dyDescent="0.35">
      <c r="A261" t="s">
        <v>77</v>
      </c>
      <c r="B261" t="s">
        <v>72</v>
      </c>
      <c r="C261" t="s">
        <v>40</v>
      </c>
      <c r="D261">
        <v>2026</v>
      </c>
      <c r="E261">
        <v>2.2455624522224049</v>
      </c>
      <c r="G261" t="str">
        <f t="shared" si="4"/>
        <v/>
      </c>
      <c r="H261">
        <v>9.3006789852331434E-2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313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7</v>
      </c>
    </row>
    <row r="2" spans="1:8" x14ac:dyDescent="0.35">
      <c r="A2" t="s">
        <v>36</v>
      </c>
      <c r="B2" t="s">
        <v>37</v>
      </c>
      <c r="C2" t="s">
        <v>38</v>
      </c>
      <c r="D2">
        <v>2011</v>
      </c>
      <c r="E2">
        <v>2.8875773288541411</v>
      </c>
      <c r="F2">
        <v>2.98019333147692</v>
      </c>
      <c r="G2">
        <f t="shared" ref="G2:G65" si="0">IF(OR(F2="",E2=""),"",F2-E2)</f>
        <v>9.2616002622778915E-2</v>
      </c>
      <c r="H2">
        <v>0.84405172952214014</v>
      </c>
    </row>
    <row r="3" spans="1:8" x14ac:dyDescent="0.35">
      <c r="A3" t="s">
        <v>36</v>
      </c>
      <c r="B3" t="s">
        <v>39</v>
      </c>
      <c r="C3" t="s">
        <v>40</v>
      </c>
      <c r="D3">
        <v>2011</v>
      </c>
      <c r="E3">
        <v>2.3656449720009132</v>
      </c>
      <c r="F3">
        <v>2.98019333147692</v>
      </c>
      <c r="G3">
        <f t="shared" si="0"/>
        <v>0.61454835947600683</v>
      </c>
      <c r="H3">
        <v>0.84405172952214014</v>
      </c>
    </row>
    <row r="4" spans="1:8" x14ac:dyDescent="0.35">
      <c r="A4" t="s">
        <v>36</v>
      </c>
      <c r="B4" t="s">
        <v>37</v>
      </c>
      <c r="C4" t="s">
        <v>38</v>
      </c>
      <c r="D4">
        <v>2012</v>
      </c>
      <c r="E4">
        <v>0.92282948340831616</v>
      </c>
      <c r="F4">
        <v>0.73761701476599373</v>
      </c>
      <c r="G4">
        <f t="shared" si="0"/>
        <v>-0.18521246864232244</v>
      </c>
      <c r="H4">
        <v>0.86375015188608173</v>
      </c>
    </row>
    <row r="5" spans="1:8" x14ac:dyDescent="0.35">
      <c r="A5" t="s">
        <v>36</v>
      </c>
      <c r="B5" t="s">
        <v>41</v>
      </c>
      <c r="C5" t="s">
        <v>38</v>
      </c>
      <c r="D5">
        <v>2012</v>
      </c>
      <c r="E5">
        <v>0.7904128560278334</v>
      </c>
      <c r="F5">
        <v>0.73761701476599373</v>
      </c>
      <c r="G5">
        <f t="shared" si="0"/>
        <v>-5.2795841261839671E-2</v>
      </c>
      <c r="H5">
        <v>0.86375015188608173</v>
      </c>
    </row>
    <row r="6" spans="1:8" x14ac:dyDescent="0.35">
      <c r="A6" t="s">
        <v>36</v>
      </c>
      <c r="B6" t="s">
        <v>39</v>
      </c>
      <c r="C6" t="s">
        <v>40</v>
      </c>
      <c r="D6">
        <v>2012</v>
      </c>
      <c r="E6">
        <v>2.001395495121816</v>
      </c>
      <c r="F6">
        <v>0.73761701476599373</v>
      </c>
      <c r="G6">
        <f t="shared" si="0"/>
        <v>-1.2637784803558223</v>
      </c>
      <c r="H6">
        <v>0.86375015188608173</v>
      </c>
    </row>
    <row r="7" spans="1:8" x14ac:dyDescent="0.35">
      <c r="A7" t="s">
        <v>36</v>
      </c>
      <c r="B7" t="s">
        <v>42</v>
      </c>
      <c r="C7" t="s">
        <v>40</v>
      </c>
      <c r="D7">
        <v>2012</v>
      </c>
      <c r="E7">
        <v>0.77706713829110985</v>
      </c>
      <c r="F7">
        <v>0.73761701476599373</v>
      </c>
      <c r="G7">
        <f t="shared" si="0"/>
        <v>-3.9450123525116121E-2</v>
      </c>
      <c r="H7">
        <v>0.86375015188608173</v>
      </c>
    </row>
    <row r="8" spans="1:8" x14ac:dyDescent="0.35">
      <c r="A8" t="s">
        <v>36</v>
      </c>
      <c r="B8" t="s">
        <v>41</v>
      </c>
      <c r="C8" t="s">
        <v>38</v>
      </c>
      <c r="D8">
        <v>2013</v>
      </c>
      <c r="E8">
        <v>0.86316182913936945</v>
      </c>
      <c r="F8">
        <v>-0.32817504676766701</v>
      </c>
      <c r="G8">
        <f t="shared" si="0"/>
        <v>-1.1913368759070364</v>
      </c>
      <c r="H8">
        <v>0.53923405826348692</v>
      </c>
    </row>
    <row r="9" spans="1:8" x14ac:dyDescent="0.35">
      <c r="A9" t="s">
        <v>36</v>
      </c>
      <c r="B9" t="s">
        <v>43</v>
      </c>
      <c r="C9" t="s">
        <v>38</v>
      </c>
      <c r="D9">
        <v>2013</v>
      </c>
      <c r="E9">
        <v>0.40906708913857059</v>
      </c>
      <c r="F9">
        <v>-0.32817504676766701</v>
      </c>
      <c r="G9">
        <f t="shared" si="0"/>
        <v>-0.73724213590623755</v>
      </c>
      <c r="H9">
        <v>0.53923405826348692</v>
      </c>
    </row>
    <row r="10" spans="1:8" x14ac:dyDescent="0.35">
      <c r="A10" t="s">
        <v>36</v>
      </c>
      <c r="B10" t="s">
        <v>42</v>
      </c>
      <c r="C10" t="s">
        <v>40</v>
      </c>
      <c r="D10">
        <v>2013</v>
      </c>
      <c r="E10">
        <v>1.669657429075766</v>
      </c>
      <c r="F10">
        <v>-0.32817504676766701</v>
      </c>
      <c r="G10">
        <f t="shared" si="0"/>
        <v>-1.9978324758434329</v>
      </c>
      <c r="H10">
        <v>0.53923405826348692</v>
      </c>
    </row>
    <row r="11" spans="1:8" x14ac:dyDescent="0.35">
      <c r="A11" t="s">
        <v>36</v>
      </c>
      <c r="B11" t="s">
        <v>44</v>
      </c>
      <c r="C11" t="s">
        <v>40</v>
      </c>
      <c r="D11">
        <v>2013</v>
      </c>
      <c r="E11">
        <v>0.5837846269189928</v>
      </c>
      <c r="F11">
        <v>-0.32817504676766701</v>
      </c>
      <c r="G11">
        <f t="shared" si="0"/>
        <v>-0.91195967368665976</v>
      </c>
      <c r="H11">
        <v>0.53923405826348692</v>
      </c>
    </row>
    <row r="12" spans="1:8" x14ac:dyDescent="0.35">
      <c r="A12" t="s">
        <v>36</v>
      </c>
      <c r="B12" t="s">
        <v>43</v>
      </c>
      <c r="C12" t="s">
        <v>38</v>
      </c>
      <c r="D12">
        <v>2014</v>
      </c>
      <c r="E12">
        <v>1.6172789472429281</v>
      </c>
      <c r="F12">
        <v>0.87952767279372546</v>
      </c>
      <c r="G12">
        <f t="shared" si="0"/>
        <v>-0.73775127444920263</v>
      </c>
      <c r="H12">
        <v>-0.13290468332128169</v>
      </c>
    </row>
    <row r="13" spans="1:8" x14ac:dyDescent="0.35">
      <c r="A13" t="s">
        <v>36</v>
      </c>
      <c r="B13" t="s">
        <v>45</v>
      </c>
      <c r="C13" t="s">
        <v>38</v>
      </c>
      <c r="D13">
        <v>2014</v>
      </c>
      <c r="E13">
        <v>0.67669638838701029</v>
      </c>
      <c r="F13">
        <v>0.87952767279372546</v>
      </c>
      <c r="G13">
        <f t="shared" si="0"/>
        <v>0.20283128440671516</v>
      </c>
      <c r="H13">
        <v>-0.13290468332128169</v>
      </c>
    </row>
    <row r="14" spans="1:8" x14ac:dyDescent="0.35">
      <c r="A14" t="s">
        <v>36</v>
      </c>
      <c r="B14" t="s">
        <v>44</v>
      </c>
      <c r="C14" t="s">
        <v>40</v>
      </c>
      <c r="D14">
        <v>2014</v>
      </c>
      <c r="E14">
        <v>1.753478025840405</v>
      </c>
      <c r="F14">
        <v>0.87952767279372546</v>
      </c>
      <c r="G14">
        <f t="shared" si="0"/>
        <v>-0.87395035304667956</v>
      </c>
      <c r="H14">
        <v>-0.13290468332128169</v>
      </c>
    </row>
    <row r="15" spans="1:8" x14ac:dyDescent="0.35">
      <c r="A15" t="s">
        <v>36</v>
      </c>
      <c r="B15" t="s">
        <v>46</v>
      </c>
      <c r="C15" t="s">
        <v>40</v>
      </c>
      <c r="D15">
        <v>2014</v>
      </c>
      <c r="E15">
        <v>1.6499152648066451</v>
      </c>
      <c r="F15">
        <v>0.87952767279372546</v>
      </c>
      <c r="G15">
        <f t="shared" si="0"/>
        <v>-0.77038759201291962</v>
      </c>
      <c r="H15">
        <v>-0.13290468332128169</v>
      </c>
    </row>
    <row r="16" spans="1:8" x14ac:dyDescent="0.35">
      <c r="A16" t="s">
        <v>36</v>
      </c>
      <c r="B16" t="s">
        <v>45</v>
      </c>
      <c r="C16" t="s">
        <v>38</v>
      </c>
      <c r="D16">
        <v>2015</v>
      </c>
      <c r="E16">
        <v>1.23399360343428</v>
      </c>
      <c r="F16">
        <v>1.2553290281528069</v>
      </c>
      <c r="G16">
        <f t="shared" si="0"/>
        <v>2.1335424718526896E-2</v>
      </c>
      <c r="H16">
        <v>0.15905090344588599</v>
      </c>
    </row>
    <row r="17" spans="1:8" x14ac:dyDescent="0.35">
      <c r="A17" t="s">
        <v>36</v>
      </c>
      <c r="B17" t="s">
        <v>47</v>
      </c>
      <c r="C17" t="s">
        <v>38</v>
      </c>
      <c r="D17">
        <v>2015</v>
      </c>
      <c r="E17">
        <v>0.59754498836805947</v>
      </c>
      <c r="F17">
        <v>1.2553290281528069</v>
      </c>
      <c r="G17">
        <f t="shared" si="0"/>
        <v>0.65778403978474742</v>
      </c>
      <c r="H17">
        <v>0.15905090344588599</v>
      </c>
    </row>
    <row r="18" spans="1:8" x14ac:dyDescent="0.35">
      <c r="A18" t="s">
        <v>36</v>
      </c>
      <c r="B18" t="s">
        <v>46</v>
      </c>
      <c r="C18" t="s">
        <v>40</v>
      </c>
      <c r="D18">
        <v>2015</v>
      </c>
      <c r="E18">
        <v>1.8494694742448909</v>
      </c>
      <c r="F18">
        <v>1.2553290281528069</v>
      </c>
      <c r="G18">
        <f t="shared" si="0"/>
        <v>-0.59414044609208405</v>
      </c>
      <c r="H18">
        <v>0.15905090344588599</v>
      </c>
    </row>
    <row r="19" spans="1:8" x14ac:dyDescent="0.35">
      <c r="A19" t="s">
        <v>36</v>
      </c>
      <c r="B19" t="s">
        <v>48</v>
      </c>
      <c r="C19" t="s">
        <v>40</v>
      </c>
      <c r="D19">
        <v>2015</v>
      </c>
      <c r="E19">
        <v>0.79966080907698522</v>
      </c>
      <c r="F19">
        <v>1.2553290281528069</v>
      </c>
      <c r="G19">
        <f t="shared" si="0"/>
        <v>0.45566821907582167</v>
      </c>
      <c r="H19">
        <v>0.15905090344588599</v>
      </c>
    </row>
    <row r="20" spans="1:8" x14ac:dyDescent="0.35">
      <c r="A20" t="s">
        <v>36</v>
      </c>
      <c r="B20" t="s">
        <v>47</v>
      </c>
      <c r="C20" t="s">
        <v>38</v>
      </c>
      <c r="D20">
        <v>2016</v>
      </c>
      <c r="E20">
        <v>1.4571009650163671</v>
      </c>
      <c r="F20">
        <v>2.1495386728737769</v>
      </c>
      <c r="G20">
        <f t="shared" si="0"/>
        <v>0.69243770785740977</v>
      </c>
      <c r="H20">
        <v>0.52904236060662513</v>
      </c>
    </row>
    <row r="21" spans="1:8" x14ac:dyDescent="0.35">
      <c r="A21" t="s">
        <v>36</v>
      </c>
      <c r="B21" t="s">
        <v>49</v>
      </c>
      <c r="C21" t="s">
        <v>38</v>
      </c>
      <c r="D21">
        <v>2016</v>
      </c>
      <c r="E21">
        <v>1.493056987075114</v>
      </c>
      <c r="F21">
        <v>2.1495386728737769</v>
      </c>
      <c r="G21">
        <f t="shared" si="0"/>
        <v>0.65648168579866284</v>
      </c>
      <c r="H21">
        <v>0.52904236060662513</v>
      </c>
    </row>
    <row r="22" spans="1:8" x14ac:dyDescent="0.35">
      <c r="A22" t="s">
        <v>36</v>
      </c>
      <c r="B22" t="s">
        <v>48</v>
      </c>
      <c r="C22" t="s">
        <v>40</v>
      </c>
      <c r="D22">
        <v>2016</v>
      </c>
      <c r="E22">
        <v>1.4528661212303451</v>
      </c>
      <c r="F22">
        <v>2.1495386728737769</v>
      </c>
      <c r="G22">
        <f t="shared" si="0"/>
        <v>0.69667255164343178</v>
      </c>
      <c r="H22">
        <v>0.52904236060662513</v>
      </c>
    </row>
    <row r="23" spans="1:8" x14ac:dyDescent="0.35">
      <c r="A23" t="s">
        <v>36</v>
      </c>
      <c r="B23" t="s">
        <v>50</v>
      </c>
      <c r="C23" t="s">
        <v>40</v>
      </c>
      <c r="D23">
        <v>2016</v>
      </c>
      <c r="E23">
        <v>1.4756673621598939</v>
      </c>
      <c r="F23">
        <v>2.1495386728737769</v>
      </c>
      <c r="G23">
        <f t="shared" si="0"/>
        <v>0.67387131071388295</v>
      </c>
      <c r="H23">
        <v>0.52904236060662513</v>
      </c>
    </row>
    <row r="24" spans="1:8" x14ac:dyDescent="0.35">
      <c r="A24" t="s">
        <v>36</v>
      </c>
      <c r="B24" t="s">
        <v>49</v>
      </c>
      <c r="C24" t="s">
        <v>38</v>
      </c>
      <c r="D24">
        <v>2017</v>
      </c>
      <c r="E24">
        <v>1.5818491497620271</v>
      </c>
      <c r="F24">
        <v>2.3680132788277781</v>
      </c>
      <c r="G24">
        <f t="shared" si="0"/>
        <v>0.78616412906575106</v>
      </c>
      <c r="H24">
        <v>0.76433492494395139</v>
      </c>
    </row>
    <row r="25" spans="1:8" x14ac:dyDescent="0.35">
      <c r="A25" t="s">
        <v>36</v>
      </c>
      <c r="B25" t="s">
        <v>51</v>
      </c>
      <c r="C25" t="s">
        <v>38</v>
      </c>
      <c r="D25">
        <v>2017</v>
      </c>
      <c r="E25">
        <v>2.5716586567718469</v>
      </c>
      <c r="F25">
        <v>2.3680132788277781</v>
      </c>
      <c r="G25">
        <f t="shared" si="0"/>
        <v>-0.20364537794406878</v>
      </c>
      <c r="H25">
        <v>0.76433492494395139</v>
      </c>
    </row>
    <row r="26" spans="1:8" x14ac:dyDescent="0.35">
      <c r="A26" t="s">
        <v>36</v>
      </c>
      <c r="B26" t="s">
        <v>50</v>
      </c>
      <c r="C26" t="s">
        <v>40</v>
      </c>
      <c r="D26">
        <v>2017</v>
      </c>
      <c r="E26">
        <v>1.626978361111475</v>
      </c>
      <c r="F26">
        <v>2.3680132788277781</v>
      </c>
      <c r="G26">
        <f t="shared" si="0"/>
        <v>0.74103491771630314</v>
      </c>
      <c r="H26">
        <v>0.76433492494395139</v>
      </c>
    </row>
    <row r="27" spans="1:8" x14ac:dyDescent="0.35">
      <c r="A27" t="s">
        <v>36</v>
      </c>
      <c r="B27" t="s">
        <v>52</v>
      </c>
      <c r="C27" t="s">
        <v>40</v>
      </c>
      <c r="D27">
        <v>2017</v>
      </c>
      <c r="E27">
        <v>1.728692467241477</v>
      </c>
      <c r="F27">
        <v>2.3680132788277781</v>
      </c>
      <c r="G27">
        <f t="shared" si="0"/>
        <v>0.63932081158630116</v>
      </c>
      <c r="H27">
        <v>0.76433492494395139</v>
      </c>
    </row>
    <row r="28" spans="1:8" x14ac:dyDescent="0.35">
      <c r="A28" t="s">
        <v>36</v>
      </c>
      <c r="B28" t="s">
        <v>51</v>
      </c>
      <c r="C28" t="s">
        <v>38</v>
      </c>
      <c r="D28">
        <v>2018</v>
      </c>
      <c r="E28">
        <v>2.3931358040782502</v>
      </c>
      <c r="F28">
        <v>2.3622453086648898</v>
      </c>
      <c r="G28">
        <f t="shared" si="0"/>
        <v>-3.0890495413360419E-2</v>
      </c>
      <c r="H28">
        <v>0.70974761126512598</v>
      </c>
    </row>
    <row r="29" spans="1:8" x14ac:dyDescent="0.35">
      <c r="A29" t="s">
        <v>36</v>
      </c>
      <c r="B29" t="s">
        <v>53</v>
      </c>
      <c r="C29" t="s">
        <v>38</v>
      </c>
      <c r="D29">
        <v>2018</v>
      </c>
      <c r="E29">
        <v>2.740700342709967</v>
      </c>
      <c r="F29">
        <v>2.3622453086648898</v>
      </c>
      <c r="G29">
        <f t="shared" si="0"/>
        <v>-0.37845503404507719</v>
      </c>
      <c r="H29">
        <v>0.70974761126512598</v>
      </c>
    </row>
    <row r="30" spans="1:8" x14ac:dyDescent="0.35">
      <c r="A30" t="s">
        <v>36</v>
      </c>
      <c r="B30" t="s">
        <v>52</v>
      </c>
      <c r="C30" t="s">
        <v>40</v>
      </c>
      <c r="D30">
        <v>2018</v>
      </c>
      <c r="E30">
        <v>1.65788346393998</v>
      </c>
      <c r="F30">
        <v>2.3622453086648898</v>
      </c>
      <c r="G30">
        <f t="shared" si="0"/>
        <v>0.70436184472490981</v>
      </c>
      <c r="H30">
        <v>0.70974761126512598</v>
      </c>
    </row>
    <row r="31" spans="1:8" x14ac:dyDescent="0.35">
      <c r="A31" t="s">
        <v>36</v>
      </c>
      <c r="B31" t="s">
        <v>54</v>
      </c>
      <c r="C31" t="s">
        <v>40</v>
      </c>
      <c r="D31">
        <v>2018</v>
      </c>
      <c r="E31">
        <v>2.8029630500962628</v>
      </c>
      <c r="F31">
        <v>2.3622453086648898</v>
      </c>
      <c r="G31">
        <f t="shared" si="0"/>
        <v>-0.44071774143137299</v>
      </c>
      <c r="H31">
        <v>0.70974761126512598</v>
      </c>
    </row>
    <row r="32" spans="1:8" x14ac:dyDescent="0.35">
      <c r="A32" t="s">
        <v>36</v>
      </c>
      <c r="B32" t="s">
        <v>53</v>
      </c>
      <c r="C32" t="s">
        <v>38</v>
      </c>
      <c r="D32">
        <v>2019</v>
      </c>
      <c r="E32">
        <v>1.956993039697497</v>
      </c>
      <c r="F32">
        <v>1.6857084827373969</v>
      </c>
      <c r="G32">
        <f t="shared" si="0"/>
        <v>-0.27128455696010012</v>
      </c>
      <c r="H32">
        <v>0.95570461099392501</v>
      </c>
    </row>
    <row r="33" spans="1:8" x14ac:dyDescent="0.35">
      <c r="A33" t="s">
        <v>36</v>
      </c>
      <c r="B33" t="s">
        <v>55</v>
      </c>
      <c r="C33" t="s">
        <v>38</v>
      </c>
      <c r="D33">
        <v>2019</v>
      </c>
      <c r="E33">
        <v>1.548243112232184</v>
      </c>
      <c r="F33">
        <v>1.6857084827373969</v>
      </c>
      <c r="G33">
        <f t="shared" si="0"/>
        <v>0.1374653705052129</v>
      </c>
      <c r="H33">
        <v>0.95570461099392501</v>
      </c>
    </row>
    <row r="34" spans="1:8" x14ac:dyDescent="0.35">
      <c r="A34" t="s">
        <v>36</v>
      </c>
      <c r="B34" t="s">
        <v>54</v>
      </c>
      <c r="C34" t="s">
        <v>40</v>
      </c>
      <c r="D34">
        <v>2019</v>
      </c>
      <c r="E34">
        <v>2.158686474515914</v>
      </c>
      <c r="F34">
        <v>1.6857084827373969</v>
      </c>
      <c r="G34">
        <f t="shared" si="0"/>
        <v>-0.47297799177851707</v>
      </c>
      <c r="H34">
        <v>0.95570461099392501</v>
      </c>
    </row>
    <row r="35" spans="1:8" x14ac:dyDescent="0.35">
      <c r="A35" t="s">
        <v>36</v>
      </c>
      <c r="B35" t="s">
        <v>56</v>
      </c>
      <c r="C35" t="s">
        <v>40</v>
      </c>
      <c r="D35">
        <v>2019</v>
      </c>
      <c r="E35">
        <v>1.5232710630633359</v>
      </c>
      <c r="F35">
        <v>1.6857084827373969</v>
      </c>
      <c r="G35">
        <f t="shared" si="0"/>
        <v>0.162437419674061</v>
      </c>
      <c r="H35">
        <v>0.95570461099392501</v>
      </c>
    </row>
    <row r="36" spans="1:8" x14ac:dyDescent="0.35">
      <c r="A36" t="s">
        <v>67</v>
      </c>
      <c r="B36" t="s">
        <v>37</v>
      </c>
      <c r="C36" t="s">
        <v>38</v>
      </c>
      <c r="D36">
        <v>2011</v>
      </c>
      <c r="E36">
        <v>2.1783942373023502</v>
      </c>
      <c r="F36">
        <v>1.9127519277234819</v>
      </c>
      <c r="G36">
        <f t="shared" si="0"/>
        <v>-0.26564230957886825</v>
      </c>
      <c r="H36">
        <v>0.76745955333446914</v>
      </c>
    </row>
    <row r="37" spans="1:8" x14ac:dyDescent="0.35">
      <c r="A37" t="s">
        <v>67</v>
      </c>
      <c r="B37" t="s">
        <v>39</v>
      </c>
      <c r="C37" t="s">
        <v>40</v>
      </c>
      <c r="D37">
        <v>2011</v>
      </c>
      <c r="E37">
        <v>2.356686907237338</v>
      </c>
      <c r="F37">
        <v>1.9127519277234819</v>
      </c>
      <c r="G37">
        <f t="shared" si="0"/>
        <v>-0.44393497951385608</v>
      </c>
      <c r="H37">
        <v>0.76745955333446914</v>
      </c>
    </row>
    <row r="38" spans="1:8" x14ac:dyDescent="0.35">
      <c r="A38" t="s">
        <v>67</v>
      </c>
      <c r="B38" t="s">
        <v>37</v>
      </c>
      <c r="C38" t="s">
        <v>38</v>
      </c>
      <c r="D38">
        <v>2012</v>
      </c>
      <c r="E38">
        <v>0.94750037204316406</v>
      </c>
      <c r="F38">
        <v>0.2155903836940283</v>
      </c>
      <c r="G38">
        <f t="shared" si="0"/>
        <v>-0.73190998834913579</v>
      </c>
      <c r="H38">
        <v>0.81973101760919642</v>
      </c>
    </row>
    <row r="39" spans="1:8" x14ac:dyDescent="0.35">
      <c r="A39" t="s">
        <v>67</v>
      </c>
      <c r="B39" t="s">
        <v>41</v>
      </c>
      <c r="C39" t="s">
        <v>38</v>
      </c>
      <c r="D39">
        <v>2012</v>
      </c>
      <c r="E39">
        <v>-0.20103838842507879</v>
      </c>
      <c r="F39">
        <v>0.2155903836940283</v>
      </c>
      <c r="G39">
        <f t="shared" si="0"/>
        <v>0.41662877211910709</v>
      </c>
      <c r="H39">
        <v>0.81973101760919642</v>
      </c>
    </row>
    <row r="40" spans="1:8" x14ac:dyDescent="0.35">
      <c r="A40" t="s">
        <v>67</v>
      </c>
      <c r="B40" t="s">
        <v>39</v>
      </c>
      <c r="C40" t="s">
        <v>40</v>
      </c>
      <c r="D40">
        <v>2012</v>
      </c>
      <c r="E40">
        <v>2.2102235249893849</v>
      </c>
      <c r="F40">
        <v>0.2155903836940283</v>
      </c>
      <c r="G40">
        <f t="shared" si="0"/>
        <v>-1.9946331412953566</v>
      </c>
      <c r="H40">
        <v>0.81973101760919642</v>
      </c>
    </row>
    <row r="41" spans="1:8" x14ac:dyDescent="0.35">
      <c r="A41" t="s">
        <v>67</v>
      </c>
      <c r="B41" t="s">
        <v>42</v>
      </c>
      <c r="C41" t="s">
        <v>40</v>
      </c>
      <c r="D41">
        <v>2012</v>
      </c>
      <c r="E41">
        <v>-1.8249929426483739E-2</v>
      </c>
      <c r="F41">
        <v>0.2155903836940283</v>
      </c>
      <c r="G41">
        <f t="shared" si="0"/>
        <v>0.23384031312051204</v>
      </c>
      <c r="H41">
        <v>0.81973101760919642</v>
      </c>
    </row>
    <row r="42" spans="1:8" x14ac:dyDescent="0.35">
      <c r="A42" t="s">
        <v>67</v>
      </c>
      <c r="B42" t="s">
        <v>41</v>
      </c>
      <c r="C42" t="s">
        <v>38</v>
      </c>
      <c r="D42">
        <v>2013</v>
      </c>
      <c r="E42">
        <v>0.74022419318038324</v>
      </c>
      <c r="F42">
        <v>0.30504047757239749</v>
      </c>
      <c r="G42">
        <f t="shared" si="0"/>
        <v>-0.43518371560798574</v>
      </c>
      <c r="H42">
        <v>0.69331955515361221</v>
      </c>
    </row>
    <row r="43" spans="1:8" x14ac:dyDescent="0.35">
      <c r="A43" t="s">
        <v>67</v>
      </c>
      <c r="B43" t="s">
        <v>43</v>
      </c>
      <c r="C43" t="s">
        <v>38</v>
      </c>
      <c r="D43">
        <v>2013</v>
      </c>
      <c r="E43">
        <v>0.1418580624652277</v>
      </c>
      <c r="F43">
        <v>0.30504047757239749</v>
      </c>
      <c r="G43">
        <f t="shared" si="0"/>
        <v>0.1631824151071698</v>
      </c>
      <c r="H43">
        <v>0.69331955515361221</v>
      </c>
    </row>
    <row r="44" spans="1:8" x14ac:dyDescent="0.35">
      <c r="A44" t="s">
        <v>67</v>
      </c>
      <c r="B44" t="s">
        <v>42</v>
      </c>
      <c r="C44" t="s">
        <v>40</v>
      </c>
      <c r="D44">
        <v>2013</v>
      </c>
      <c r="E44">
        <v>1.243358392394422</v>
      </c>
      <c r="F44">
        <v>0.30504047757239749</v>
      </c>
      <c r="G44">
        <f t="shared" si="0"/>
        <v>-0.93831791482202453</v>
      </c>
      <c r="H44">
        <v>0.69331955515361221</v>
      </c>
    </row>
    <row r="45" spans="1:8" x14ac:dyDescent="0.35">
      <c r="A45" t="s">
        <v>67</v>
      </c>
      <c r="B45" t="s">
        <v>44</v>
      </c>
      <c r="C45" t="s">
        <v>40</v>
      </c>
      <c r="D45">
        <v>2013</v>
      </c>
      <c r="E45">
        <v>4.2242834906547337E-2</v>
      </c>
      <c r="F45">
        <v>0.30504047757239749</v>
      </c>
      <c r="G45">
        <f t="shared" si="0"/>
        <v>0.26279764266585015</v>
      </c>
      <c r="H45">
        <v>0.69331955515361221</v>
      </c>
    </row>
    <row r="46" spans="1:8" x14ac:dyDescent="0.35">
      <c r="A46" t="s">
        <v>67</v>
      </c>
      <c r="B46" t="s">
        <v>43</v>
      </c>
      <c r="C46" t="s">
        <v>38</v>
      </c>
      <c r="D46">
        <v>2014</v>
      </c>
      <c r="E46">
        <v>1.142047499237697</v>
      </c>
      <c r="F46">
        <v>1.750092739581359</v>
      </c>
      <c r="G46">
        <f t="shared" si="0"/>
        <v>0.60804524034366203</v>
      </c>
      <c r="H46">
        <v>8.0999733416350986E-2</v>
      </c>
    </row>
    <row r="47" spans="1:8" x14ac:dyDescent="0.35">
      <c r="A47" t="s">
        <v>67</v>
      </c>
      <c r="B47" t="s">
        <v>45</v>
      </c>
      <c r="C47" t="s">
        <v>38</v>
      </c>
      <c r="D47">
        <v>2014</v>
      </c>
      <c r="E47">
        <v>0.92282985431766384</v>
      </c>
      <c r="F47">
        <v>1.750092739581359</v>
      </c>
      <c r="G47">
        <f t="shared" si="0"/>
        <v>0.82726288526369518</v>
      </c>
      <c r="H47">
        <v>8.0999733416350986E-2</v>
      </c>
    </row>
    <row r="48" spans="1:8" x14ac:dyDescent="0.35">
      <c r="A48" t="s">
        <v>67</v>
      </c>
      <c r="B48" t="s">
        <v>44</v>
      </c>
      <c r="C48" t="s">
        <v>40</v>
      </c>
      <c r="D48">
        <v>2014</v>
      </c>
      <c r="E48">
        <v>1.19023811784591</v>
      </c>
      <c r="F48">
        <v>1.750092739581359</v>
      </c>
      <c r="G48">
        <f t="shared" si="0"/>
        <v>0.55985462173544898</v>
      </c>
      <c r="H48">
        <v>8.0999733416350986E-2</v>
      </c>
    </row>
    <row r="49" spans="1:8" x14ac:dyDescent="0.35">
      <c r="A49" t="s">
        <v>67</v>
      </c>
      <c r="B49" t="s">
        <v>46</v>
      </c>
      <c r="C49" t="s">
        <v>40</v>
      </c>
      <c r="D49">
        <v>2014</v>
      </c>
      <c r="E49">
        <v>1.443053096414237</v>
      </c>
      <c r="F49">
        <v>1.750092739581359</v>
      </c>
      <c r="G49">
        <f t="shared" si="0"/>
        <v>0.30703964316712207</v>
      </c>
      <c r="H49">
        <v>8.0999733416350986E-2</v>
      </c>
    </row>
    <row r="50" spans="1:8" x14ac:dyDescent="0.35">
      <c r="A50" t="s">
        <v>67</v>
      </c>
      <c r="B50" t="s">
        <v>45</v>
      </c>
      <c r="C50" t="s">
        <v>38</v>
      </c>
      <c r="D50">
        <v>2015</v>
      </c>
      <c r="E50">
        <v>0.86159735965183337</v>
      </c>
      <c r="F50">
        <v>1.4634410714791239</v>
      </c>
      <c r="G50">
        <f t="shared" si="0"/>
        <v>0.60184371182729057</v>
      </c>
      <c r="H50">
        <v>0.2294452116555474</v>
      </c>
    </row>
    <row r="51" spans="1:8" x14ac:dyDescent="0.35">
      <c r="A51" t="s">
        <v>67</v>
      </c>
      <c r="B51" t="s">
        <v>47</v>
      </c>
      <c r="C51" t="s">
        <v>38</v>
      </c>
      <c r="D51">
        <v>2015</v>
      </c>
      <c r="E51">
        <v>1.262482967982592</v>
      </c>
      <c r="F51">
        <v>1.4634410714791239</v>
      </c>
      <c r="G51">
        <f t="shared" si="0"/>
        <v>0.20095810349653198</v>
      </c>
      <c r="H51">
        <v>0.2294452116555474</v>
      </c>
    </row>
    <row r="52" spans="1:8" x14ac:dyDescent="0.35">
      <c r="A52" t="s">
        <v>67</v>
      </c>
      <c r="B52" t="s">
        <v>46</v>
      </c>
      <c r="C52" t="s">
        <v>40</v>
      </c>
      <c r="D52">
        <v>2015</v>
      </c>
      <c r="E52">
        <v>1.5593135161243941</v>
      </c>
      <c r="F52">
        <v>1.4634410714791239</v>
      </c>
      <c r="G52">
        <f t="shared" si="0"/>
        <v>-9.5872444645270116E-2</v>
      </c>
      <c r="H52">
        <v>0.2294452116555474</v>
      </c>
    </row>
    <row r="53" spans="1:8" x14ac:dyDescent="0.35">
      <c r="A53" t="s">
        <v>67</v>
      </c>
      <c r="B53" t="s">
        <v>48</v>
      </c>
      <c r="C53" t="s">
        <v>40</v>
      </c>
      <c r="D53">
        <v>2015</v>
      </c>
      <c r="E53">
        <v>1.08741840250608</v>
      </c>
      <c r="F53">
        <v>1.4634410714791239</v>
      </c>
      <c r="G53">
        <f t="shared" si="0"/>
        <v>0.37602266897304393</v>
      </c>
      <c r="H53">
        <v>0.2294452116555474</v>
      </c>
    </row>
    <row r="54" spans="1:8" x14ac:dyDescent="0.35">
      <c r="A54" t="s">
        <v>67</v>
      </c>
      <c r="B54" t="s">
        <v>47</v>
      </c>
      <c r="C54" t="s">
        <v>38</v>
      </c>
      <c r="D54">
        <v>2016</v>
      </c>
      <c r="E54">
        <v>1.305005005659998</v>
      </c>
      <c r="F54">
        <v>1.1863946679844091</v>
      </c>
      <c r="G54">
        <f t="shared" si="0"/>
        <v>-0.11861033767558893</v>
      </c>
      <c r="H54">
        <v>0.52852209699415054</v>
      </c>
    </row>
    <row r="55" spans="1:8" x14ac:dyDescent="0.35">
      <c r="A55" t="s">
        <v>67</v>
      </c>
      <c r="B55" t="s">
        <v>49</v>
      </c>
      <c r="C55" t="s">
        <v>38</v>
      </c>
      <c r="D55">
        <v>2016</v>
      </c>
      <c r="E55">
        <v>1.233699257987553</v>
      </c>
      <c r="F55">
        <v>1.1863946679844091</v>
      </c>
      <c r="G55">
        <f t="shared" si="0"/>
        <v>-4.7304590003143909E-2</v>
      </c>
      <c r="H55">
        <v>0.52852209699415054</v>
      </c>
    </row>
    <row r="56" spans="1:8" x14ac:dyDescent="0.35">
      <c r="A56" t="s">
        <v>67</v>
      </c>
      <c r="B56" t="s">
        <v>48</v>
      </c>
      <c r="C56" t="s">
        <v>40</v>
      </c>
      <c r="D56">
        <v>2016</v>
      </c>
      <c r="E56">
        <v>1.466822845081617</v>
      </c>
      <c r="F56">
        <v>1.1863946679844091</v>
      </c>
      <c r="G56">
        <f t="shared" si="0"/>
        <v>-0.28042817709720791</v>
      </c>
      <c r="H56">
        <v>0.52852209699415054</v>
      </c>
    </row>
    <row r="57" spans="1:8" x14ac:dyDescent="0.35">
      <c r="A57" t="s">
        <v>67</v>
      </c>
      <c r="B57" t="s">
        <v>50</v>
      </c>
      <c r="C57" t="s">
        <v>40</v>
      </c>
      <c r="D57">
        <v>2016</v>
      </c>
      <c r="E57">
        <v>1.197250966203911</v>
      </c>
      <c r="F57">
        <v>1.1863946679844091</v>
      </c>
      <c r="G57">
        <f t="shared" si="0"/>
        <v>-1.0856298219501959E-2</v>
      </c>
      <c r="H57">
        <v>0.52852209699415054</v>
      </c>
    </row>
    <row r="58" spans="1:8" x14ac:dyDescent="0.35">
      <c r="A58" t="s">
        <v>67</v>
      </c>
      <c r="B58" t="s">
        <v>49</v>
      </c>
      <c r="C58" t="s">
        <v>38</v>
      </c>
      <c r="D58">
        <v>2017</v>
      </c>
      <c r="E58">
        <v>1.3129307877172809</v>
      </c>
      <c r="F58">
        <v>1.4637105039357461</v>
      </c>
      <c r="G58">
        <f t="shared" si="0"/>
        <v>0.1507797162184652</v>
      </c>
      <c r="H58">
        <v>0.74248837679873125</v>
      </c>
    </row>
    <row r="59" spans="1:8" x14ac:dyDescent="0.35">
      <c r="A59" t="s">
        <v>67</v>
      </c>
      <c r="B59" t="s">
        <v>51</v>
      </c>
      <c r="C59" t="s">
        <v>38</v>
      </c>
      <c r="D59">
        <v>2017</v>
      </c>
      <c r="E59">
        <v>1.732555567629479</v>
      </c>
      <c r="F59">
        <v>1.4637105039357461</v>
      </c>
      <c r="G59">
        <f t="shared" si="0"/>
        <v>-0.26884506369373296</v>
      </c>
      <c r="H59">
        <v>0.74248837679873125</v>
      </c>
    </row>
    <row r="60" spans="1:8" x14ac:dyDescent="0.35">
      <c r="A60" t="s">
        <v>67</v>
      </c>
      <c r="B60" t="s">
        <v>50</v>
      </c>
      <c r="C60" t="s">
        <v>40</v>
      </c>
      <c r="D60">
        <v>2017</v>
      </c>
      <c r="E60">
        <v>1.566209901734994</v>
      </c>
      <c r="F60">
        <v>1.4637105039357461</v>
      </c>
      <c r="G60">
        <f t="shared" si="0"/>
        <v>-0.10249939779924788</v>
      </c>
      <c r="H60">
        <v>0.74248837679873125</v>
      </c>
    </row>
    <row r="61" spans="1:8" x14ac:dyDescent="0.35">
      <c r="A61" t="s">
        <v>67</v>
      </c>
      <c r="B61" t="s">
        <v>52</v>
      </c>
      <c r="C61" t="s">
        <v>40</v>
      </c>
      <c r="D61">
        <v>2017</v>
      </c>
      <c r="E61">
        <v>1.543494370971477</v>
      </c>
      <c r="F61">
        <v>1.4637105039357461</v>
      </c>
      <c r="G61">
        <f t="shared" si="0"/>
        <v>-7.9783867035730927E-2</v>
      </c>
      <c r="H61">
        <v>0.74248837679873125</v>
      </c>
    </row>
    <row r="62" spans="1:8" x14ac:dyDescent="0.35">
      <c r="A62" t="s">
        <v>67</v>
      </c>
      <c r="B62" t="s">
        <v>51</v>
      </c>
      <c r="C62" t="s">
        <v>38</v>
      </c>
      <c r="D62">
        <v>2018</v>
      </c>
      <c r="E62">
        <v>1.802338911935264</v>
      </c>
      <c r="F62">
        <v>1.8605501927054691</v>
      </c>
      <c r="G62">
        <f t="shared" si="0"/>
        <v>5.8211280770205098E-2</v>
      </c>
      <c r="H62">
        <v>0.87942205352349401</v>
      </c>
    </row>
    <row r="63" spans="1:8" x14ac:dyDescent="0.35">
      <c r="A63" t="s">
        <v>67</v>
      </c>
      <c r="B63" t="s">
        <v>53</v>
      </c>
      <c r="C63" t="s">
        <v>38</v>
      </c>
      <c r="D63">
        <v>2018</v>
      </c>
      <c r="E63">
        <v>1.5323838734635939</v>
      </c>
      <c r="F63">
        <v>1.8605501927054691</v>
      </c>
      <c r="G63">
        <f t="shared" si="0"/>
        <v>0.32816631924187512</v>
      </c>
      <c r="H63">
        <v>0.87942205352349401</v>
      </c>
    </row>
    <row r="64" spans="1:8" x14ac:dyDescent="0.35">
      <c r="A64" t="s">
        <v>67</v>
      </c>
      <c r="B64" t="s">
        <v>52</v>
      </c>
      <c r="C64" t="s">
        <v>40</v>
      </c>
      <c r="D64">
        <v>2018</v>
      </c>
      <c r="E64">
        <v>1.6830527400463651</v>
      </c>
      <c r="F64">
        <v>1.8605501927054691</v>
      </c>
      <c r="G64">
        <f t="shared" si="0"/>
        <v>0.17749745265910399</v>
      </c>
      <c r="H64">
        <v>0.87942205352349401</v>
      </c>
    </row>
    <row r="65" spans="1:8" x14ac:dyDescent="0.35">
      <c r="A65" t="s">
        <v>67</v>
      </c>
      <c r="B65" t="s">
        <v>54</v>
      </c>
      <c r="C65" t="s">
        <v>40</v>
      </c>
      <c r="D65">
        <v>2018</v>
      </c>
      <c r="E65">
        <v>1.8083342533319999</v>
      </c>
      <c r="F65">
        <v>1.8605501927054691</v>
      </c>
      <c r="G65">
        <f t="shared" si="0"/>
        <v>5.2215939373469133E-2</v>
      </c>
      <c r="H65">
        <v>0.87942205352349401</v>
      </c>
    </row>
    <row r="66" spans="1:8" x14ac:dyDescent="0.35">
      <c r="A66" t="s">
        <v>67</v>
      </c>
      <c r="B66" t="s">
        <v>53</v>
      </c>
      <c r="C66" t="s">
        <v>38</v>
      </c>
      <c r="D66">
        <v>2019</v>
      </c>
      <c r="E66">
        <v>1.5152383923937141</v>
      </c>
      <c r="F66">
        <v>2.4135230125478802</v>
      </c>
      <c r="G66">
        <f t="shared" ref="G66:G129" si="1">IF(OR(F66="",E66=""),"",F66-E66)</f>
        <v>0.8982846201541661</v>
      </c>
      <c r="H66">
        <v>0.94798441449834092</v>
      </c>
    </row>
    <row r="67" spans="1:8" x14ac:dyDescent="0.35">
      <c r="A67" t="s">
        <v>67</v>
      </c>
      <c r="B67" t="s">
        <v>55</v>
      </c>
      <c r="C67" t="s">
        <v>38</v>
      </c>
      <c r="D67">
        <v>2019</v>
      </c>
      <c r="E67">
        <v>1.136502566631536</v>
      </c>
      <c r="F67">
        <v>2.4135230125478802</v>
      </c>
      <c r="G67">
        <f t="shared" si="1"/>
        <v>1.2770204459163441</v>
      </c>
      <c r="H67">
        <v>0.94798441449834092</v>
      </c>
    </row>
    <row r="68" spans="1:8" x14ac:dyDescent="0.35">
      <c r="A68" t="s">
        <v>67</v>
      </c>
      <c r="B68" t="s">
        <v>54</v>
      </c>
      <c r="C68" t="s">
        <v>40</v>
      </c>
      <c r="D68">
        <v>2019</v>
      </c>
      <c r="E68">
        <v>1.7329380565713759</v>
      </c>
      <c r="F68">
        <v>2.4135230125478802</v>
      </c>
      <c r="G68">
        <f t="shared" si="1"/>
        <v>0.68058495597650426</v>
      </c>
      <c r="H68">
        <v>0.94798441449834092</v>
      </c>
    </row>
    <row r="69" spans="1:8" x14ac:dyDescent="0.35">
      <c r="A69" t="s">
        <v>67</v>
      </c>
      <c r="B69" t="s">
        <v>56</v>
      </c>
      <c r="C69" t="s">
        <v>40</v>
      </c>
      <c r="D69">
        <v>2019</v>
      </c>
      <c r="E69">
        <v>1.2263795589823929</v>
      </c>
      <c r="F69">
        <v>2.4135230125478802</v>
      </c>
      <c r="G69">
        <f t="shared" si="1"/>
        <v>1.1871434535654872</v>
      </c>
      <c r="H69">
        <v>0.94798441449834092</v>
      </c>
    </row>
    <row r="70" spans="1:8" x14ac:dyDescent="0.35">
      <c r="A70" t="s">
        <v>68</v>
      </c>
      <c r="B70" t="s">
        <v>37</v>
      </c>
      <c r="C70" t="s">
        <v>38</v>
      </c>
      <c r="D70">
        <v>2011</v>
      </c>
      <c r="E70">
        <v>2.871708621036118</v>
      </c>
      <c r="F70">
        <v>3.7711034609926739</v>
      </c>
      <c r="G70">
        <f t="shared" si="1"/>
        <v>0.89939483995655589</v>
      </c>
      <c r="H70">
        <v>0.85547195387252284</v>
      </c>
    </row>
    <row r="71" spans="1:8" x14ac:dyDescent="0.35">
      <c r="A71" t="s">
        <v>68</v>
      </c>
      <c r="B71" t="s">
        <v>39</v>
      </c>
      <c r="C71" t="s">
        <v>40</v>
      </c>
      <c r="D71">
        <v>2011</v>
      </c>
      <c r="E71">
        <v>2.5902474284125621</v>
      </c>
      <c r="F71">
        <v>3.7711034609926739</v>
      </c>
      <c r="G71">
        <f t="shared" si="1"/>
        <v>1.1808560325801118</v>
      </c>
      <c r="H71">
        <v>0.85547195387252284</v>
      </c>
    </row>
    <row r="72" spans="1:8" x14ac:dyDescent="0.35">
      <c r="A72" t="s">
        <v>68</v>
      </c>
      <c r="B72" t="s">
        <v>37</v>
      </c>
      <c r="C72" t="s">
        <v>38</v>
      </c>
      <c r="D72">
        <v>2012</v>
      </c>
      <c r="E72">
        <v>0.75853952005673353</v>
      </c>
      <c r="F72">
        <v>0.70451026571915831</v>
      </c>
      <c r="G72">
        <f t="shared" si="1"/>
        <v>-5.4029254337575217E-2</v>
      </c>
      <c r="H72">
        <v>0.85819884210171127</v>
      </c>
    </row>
    <row r="73" spans="1:8" x14ac:dyDescent="0.35">
      <c r="A73" t="s">
        <v>68</v>
      </c>
      <c r="B73" t="s">
        <v>41</v>
      </c>
      <c r="C73" t="s">
        <v>38</v>
      </c>
      <c r="D73">
        <v>2012</v>
      </c>
      <c r="E73">
        <v>0.8314871930005685</v>
      </c>
      <c r="F73">
        <v>0.70451026571915831</v>
      </c>
      <c r="G73">
        <f t="shared" si="1"/>
        <v>-0.12697692728141019</v>
      </c>
      <c r="H73">
        <v>0.85819884210171127</v>
      </c>
    </row>
    <row r="74" spans="1:8" x14ac:dyDescent="0.35">
      <c r="A74" t="s">
        <v>68</v>
      </c>
      <c r="B74" t="s">
        <v>39</v>
      </c>
      <c r="C74" t="s">
        <v>40</v>
      </c>
      <c r="D74">
        <v>2012</v>
      </c>
      <c r="E74">
        <v>1.947486880825489</v>
      </c>
      <c r="F74">
        <v>0.70451026571915831</v>
      </c>
      <c r="G74">
        <f t="shared" si="1"/>
        <v>-1.2429766151063308</v>
      </c>
      <c r="H74">
        <v>0.85819884210171127</v>
      </c>
    </row>
    <row r="75" spans="1:8" x14ac:dyDescent="0.35">
      <c r="A75" t="s">
        <v>68</v>
      </c>
      <c r="B75" t="s">
        <v>42</v>
      </c>
      <c r="C75" t="s">
        <v>40</v>
      </c>
      <c r="D75">
        <v>2012</v>
      </c>
      <c r="E75">
        <v>0.68323358153099534</v>
      </c>
      <c r="F75">
        <v>0.70451026571915831</v>
      </c>
      <c r="G75">
        <f t="shared" si="1"/>
        <v>2.1276684188162975E-2</v>
      </c>
      <c r="H75">
        <v>0.85819884210171127</v>
      </c>
    </row>
    <row r="76" spans="1:8" x14ac:dyDescent="0.35">
      <c r="A76" t="s">
        <v>68</v>
      </c>
      <c r="B76" t="s">
        <v>41</v>
      </c>
      <c r="C76" t="s">
        <v>38</v>
      </c>
      <c r="D76">
        <v>2013</v>
      </c>
      <c r="E76">
        <v>0.83761648451896598</v>
      </c>
      <c r="F76">
        <v>0.57080505068838228</v>
      </c>
      <c r="G76">
        <f t="shared" si="1"/>
        <v>-0.2668114338305837</v>
      </c>
      <c r="H76">
        <v>0.74606709497390522</v>
      </c>
    </row>
    <row r="77" spans="1:8" x14ac:dyDescent="0.35">
      <c r="A77" t="s">
        <v>68</v>
      </c>
      <c r="B77" t="s">
        <v>43</v>
      </c>
      <c r="C77" t="s">
        <v>38</v>
      </c>
      <c r="D77">
        <v>2013</v>
      </c>
      <c r="E77">
        <v>0.46473090150995772</v>
      </c>
      <c r="F77">
        <v>0.57080505068838228</v>
      </c>
      <c r="G77">
        <f t="shared" si="1"/>
        <v>0.10607414917842456</v>
      </c>
      <c r="H77">
        <v>0.74606709497390522</v>
      </c>
    </row>
    <row r="78" spans="1:8" x14ac:dyDescent="0.35">
      <c r="A78" t="s">
        <v>68</v>
      </c>
      <c r="B78" t="s">
        <v>42</v>
      </c>
      <c r="C78" t="s">
        <v>40</v>
      </c>
      <c r="D78">
        <v>2013</v>
      </c>
      <c r="E78">
        <v>1.6744076981229929</v>
      </c>
      <c r="F78">
        <v>0.57080505068838228</v>
      </c>
      <c r="G78">
        <f t="shared" si="1"/>
        <v>-1.1036026474346108</v>
      </c>
      <c r="H78">
        <v>0.74606709497390522</v>
      </c>
    </row>
    <row r="79" spans="1:8" x14ac:dyDescent="0.35">
      <c r="A79" t="s">
        <v>68</v>
      </c>
      <c r="B79" t="s">
        <v>44</v>
      </c>
      <c r="C79" t="s">
        <v>40</v>
      </c>
      <c r="D79">
        <v>2013</v>
      </c>
      <c r="E79">
        <v>0.37981982770534112</v>
      </c>
      <c r="F79">
        <v>0.57080505068838228</v>
      </c>
      <c r="G79">
        <f t="shared" si="1"/>
        <v>0.19098522298304116</v>
      </c>
      <c r="H79">
        <v>0.74606709497390522</v>
      </c>
    </row>
    <row r="80" spans="1:8" x14ac:dyDescent="0.35">
      <c r="A80" t="s">
        <v>68</v>
      </c>
      <c r="B80" t="s">
        <v>43</v>
      </c>
      <c r="C80" t="s">
        <v>38</v>
      </c>
      <c r="D80">
        <v>2014</v>
      </c>
      <c r="E80">
        <v>1.702614326444496</v>
      </c>
      <c r="F80">
        <v>2.2065294370805351</v>
      </c>
      <c r="G80">
        <f t="shared" si="1"/>
        <v>0.50391511063603911</v>
      </c>
      <c r="H80">
        <v>8.1447093601964587E-2</v>
      </c>
    </row>
    <row r="81" spans="1:8" x14ac:dyDescent="0.35">
      <c r="A81" t="s">
        <v>68</v>
      </c>
      <c r="B81" t="s">
        <v>45</v>
      </c>
      <c r="C81" t="s">
        <v>38</v>
      </c>
      <c r="D81">
        <v>2014</v>
      </c>
      <c r="E81">
        <v>1.267570285804642</v>
      </c>
      <c r="F81">
        <v>2.2065294370805351</v>
      </c>
      <c r="G81">
        <f t="shared" si="1"/>
        <v>0.93895915127589302</v>
      </c>
      <c r="H81">
        <v>8.1447093601964587E-2</v>
      </c>
    </row>
    <row r="82" spans="1:8" x14ac:dyDescent="0.35">
      <c r="A82" t="s">
        <v>68</v>
      </c>
      <c r="B82" t="s">
        <v>44</v>
      </c>
      <c r="C82" t="s">
        <v>40</v>
      </c>
      <c r="D82">
        <v>2014</v>
      </c>
      <c r="E82">
        <v>1.821630101383787</v>
      </c>
      <c r="F82">
        <v>2.2065294370805351</v>
      </c>
      <c r="G82">
        <f t="shared" si="1"/>
        <v>0.38489933569674806</v>
      </c>
      <c r="H82">
        <v>8.1447093601964587E-2</v>
      </c>
    </row>
    <row r="83" spans="1:8" x14ac:dyDescent="0.35">
      <c r="A83" t="s">
        <v>68</v>
      </c>
      <c r="B83" t="s">
        <v>46</v>
      </c>
      <c r="C83" t="s">
        <v>40</v>
      </c>
      <c r="D83">
        <v>2014</v>
      </c>
      <c r="E83">
        <v>1.846054067989833</v>
      </c>
      <c r="F83">
        <v>2.2065294370805351</v>
      </c>
      <c r="G83">
        <f t="shared" si="1"/>
        <v>0.3604753690907021</v>
      </c>
      <c r="H83">
        <v>8.1447093601964587E-2</v>
      </c>
    </row>
    <row r="84" spans="1:8" x14ac:dyDescent="0.35">
      <c r="A84" t="s">
        <v>68</v>
      </c>
      <c r="B84" t="s">
        <v>45</v>
      </c>
      <c r="C84" t="s">
        <v>38</v>
      </c>
      <c r="D84">
        <v>2015</v>
      </c>
      <c r="E84">
        <v>1.095015499462715</v>
      </c>
      <c r="F84">
        <v>1.511701771928704</v>
      </c>
      <c r="G84">
        <f t="shared" si="1"/>
        <v>0.41668627246598899</v>
      </c>
      <c r="H84">
        <v>0.29731514481803739</v>
      </c>
    </row>
    <row r="85" spans="1:8" x14ac:dyDescent="0.35">
      <c r="A85" t="s">
        <v>68</v>
      </c>
      <c r="B85" t="s">
        <v>47</v>
      </c>
      <c r="C85" t="s">
        <v>38</v>
      </c>
      <c r="D85">
        <v>2015</v>
      </c>
      <c r="E85">
        <v>1.7105611289528031</v>
      </c>
      <c r="F85">
        <v>1.511701771928704</v>
      </c>
      <c r="G85">
        <f t="shared" si="1"/>
        <v>-0.19885935702409907</v>
      </c>
      <c r="H85">
        <v>0.29731514481803739</v>
      </c>
    </row>
    <row r="86" spans="1:8" x14ac:dyDescent="0.35">
      <c r="A86" t="s">
        <v>68</v>
      </c>
      <c r="B86" t="s">
        <v>46</v>
      </c>
      <c r="C86" t="s">
        <v>40</v>
      </c>
      <c r="D86">
        <v>2015</v>
      </c>
      <c r="E86">
        <v>1.9840546273578901</v>
      </c>
      <c r="F86">
        <v>1.511701771928704</v>
      </c>
      <c r="G86">
        <f t="shared" si="1"/>
        <v>-0.47235285542918604</v>
      </c>
      <c r="H86">
        <v>0.29731514481803739</v>
      </c>
    </row>
    <row r="87" spans="1:8" x14ac:dyDescent="0.35">
      <c r="A87" t="s">
        <v>68</v>
      </c>
      <c r="B87" t="s">
        <v>48</v>
      </c>
      <c r="C87" t="s">
        <v>40</v>
      </c>
      <c r="D87">
        <v>2015</v>
      </c>
      <c r="E87">
        <v>1.8717908251089099</v>
      </c>
      <c r="F87">
        <v>1.511701771928704</v>
      </c>
      <c r="G87">
        <f t="shared" si="1"/>
        <v>-0.3600890531802059</v>
      </c>
      <c r="H87">
        <v>0.29731514481803739</v>
      </c>
    </row>
    <row r="88" spans="1:8" x14ac:dyDescent="0.35">
      <c r="A88" t="s">
        <v>68</v>
      </c>
      <c r="B88" t="s">
        <v>47</v>
      </c>
      <c r="C88" t="s">
        <v>38</v>
      </c>
      <c r="D88">
        <v>2016</v>
      </c>
      <c r="E88">
        <v>1.9064608618794221</v>
      </c>
      <c r="F88">
        <v>2.1850659941992001</v>
      </c>
      <c r="G88">
        <f t="shared" si="1"/>
        <v>0.27860513231977801</v>
      </c>
      <c r="H88">
        <v>0.60343555846157637</v>
      </c>
    </row>
    <row r="89" spans="1:8" x14ac:dyDescent="0.35">
      <c r="A89" t="s">
        <v>68</v>
      </c>
      <c r="B89" t="s">
        <v>49</v>
      </c>
      <c r="C89" t="s">
        <v>38</v>
      </c>
      <c r="D89">
        <v>2016</v>
      </c>
      <c r="E89">
        <v>1.9388708932542631</v>
      </c>
      <c r="F89">
        <v>2.1850659941992001</v>
      </c>
      <c r="G89">
        <f t="shared" si="1"/>
        <v>0.24619510094493702</v>
      </c>
      <c r="H89">
        <v>0.60343555846157637</v>
      </c>
    </row>
    <row r="90" spans="1:8" x14ac:dyDescent="0.35">
      <c r="A90" t="s">
        <v>68</v>
      </c>
      <c r="B90" t="s">
        <v>48</v>
      </c>
      <c r="C90" t="s">
        <v>40</v>
      </c>
      <c r="D90">
        <v>2016</v>
      </c>
      <c r="E90">
        <v>2.0247448397811012</v>
      </c>
      <c r="F90">
        <v>2.1850659941992001</v>
      </c>
      <c r="G90">
        <f t="shared" si="1"/>
        <v>0.16032115441809891</v>
      </c>
      <c r="H90">
        <v>0.60343555846157637</v>
      </c>
    </row>
    <row r="91" spans="1:8" x14ac:dyDescent="0.35">
      <c r="A91" t="s">
        <v>68</v>
      </c>
      <c r="B91" t="s">
        <v>50</v>
      </c>
      <c r="C91" t="s">
        <v>40</v>
      </c>
      <c r="D91">
        <v>2016</v>
      </c>
      <c r="E91">
        <v>1.624850184809512</v>
      </c>
      <c r="F91">
        <v>2.1850659941992001</v>
      </c>
      <c r="G91">
        <f t="shared" si="1"/>
        <v>0.56021580938968807</v>
      </c>
      <c r="H91">
        <v>0.60343555846157637</v>
      </c>
    </row>
    <row r="92" spans="1:8" x14ac:dyDescent="0.35">
      <c r="A92" t="s">
        <v>68</v>
      </c>
      <c r="B92" t="s">
        <v>49</v>
      </c>
      <c r="C92" t="s">
        <v>38</v>
      </c>
      <c r="D92">
        <v>2017</v>
      </c>
      <c r="E92">
        <v>1.4744000913811779</v>
      </c>
      <c r="F92">
        <v>3.139119319610074</v>
      </c>
      <c r="G92">
        <f t="shared" si="1"/>
        <v>1.6647192282288961</v>
      </c>
      <c r="H92">
        <v>0.82120507713586166</v>
      </c>
    </row>
    <row r="93" spans="1:8" x14ac:dyDescent="0.35">
      <c r="A93" t="s">
        <v>68</v>
      </c>
      <c r="B93" t="s">
        <v>51</v>
      </c>
      <c r="C93" t="s">
        <v>38</v>
      </c>
      <c r="D93">
        <v>2017</v>
      </c>
      <c r="E93">
        <v>2.1518537819505301</v>
      </c>
      <c r="F93">
        <v>3.139119319610074</v>
      </c>
      <c r="G93">
        <f t="shared" si="1"/>
        <v>0.98726553765954383</v>
      </c>
      <c r="H93">
        <v>0.82120507713586166</v>
      </c>
    </row>
    <row r="94" spans="1:8" x14ac:dyDescent="0.35">
      <c r="A94" t="s">
        <v>68</v>
      </c>
      <c r="B94" t="s">
        <v>50</v>
      </c>
      <c r="C94" t="s">
        <v>40</v>
      </c>
      <c r="D94">
        <v>2017</v>
      </c>
      <c r="E94">
        <v>1.5665137095587811</v>
      </c>
      <c r="F94">
        <v>3.139119319610074</v>
      </c>
      <c r="G94">
        <f t="shared" si="1"/>
        <v>1.5726056100512928</v>
      </c>
      <c r="H94">
        <v>0.82120507713586166</v>
      </c>
    </row>
    <row r="95" spans="1:8" x14ac:dyDescent="0.35">
      <c r="A95" t="s">
        <v>68</v>
      </c>
      <c r="B95" t="s">
        <v>52</v>
      </c>
      <c r="C95" t="s">
        <v>40</v>
      </c>
      <c r="D95">
        <v>2017</v>
      </c>
      <c r="E95">
        <v>1.6411721834364681</v>
      </c>
      <c r="F95">
        <v>3.139119319610074</v>
      </c>
      <c r="G95">
        <f t="shared" si="1"/>
        <v>1.4979471361736059</v>
      </c>
      <c r="H95">
        <v>0.82120507713586166</v>
      </c>
    </row>
    <row r="96" spans="1:8" x14ac:dyDescent="0.35">
      <c r="A96" t="s">
        <v>68</v>
      </c>
      <c r="B96" t="s">
        <v>51</v>
      </c>
      <c r="C96" t="s">
        <v>38</v>
      </c>
      <c r="D96">
        <v>2018</v>
      </c>
      <c r="E96">
        <v>2.1207866853858448</v>
      </c>
      <c r="F96">
        <v>1.2673227814059229</v>
      </c>
      <c r="G96">
        <f t="shared" si="1"/>
        <v>-0.85346390397992189</v>
      </c>
      <c r="H96">
        <v>0.63417632525182588</v>
      </c>
    </row>
    <row r="97" spans="1:8" x14ac:dyDescent="0.35">
      <c r="A97" t="s">
        <v>68</v>
      </c>
      <c r="B97" t="s">
        <v>53</v>
      </c>
      <c r="C97" t="s">
        <v>38</v>
      </c>
      <c r="D97">
        <v>2018</v>
      </c>
      <c r="E97">
        <v>1.7181609113874341</v>
      </c>
      <c r="F97">
        <v>1.2673227814059229</v>
      </c>
      <c r="G97">
        <f t="shared" si="1"/>
        <v>-0.45083812998151118</v>
      </c>
      <c r="H97">
        <v>0.63417632525182588</v>
      </c>
    </row>
    <row r="98" spans="1:8" x14ac:dyDescent="0.35">
      <c r="A98" t="s">
        <v>68</v>
      </c>
      <c r="B98" t="s">
        <v>52</v>
      </c>
      <c r="C98" t="s">
        <v>40</v>
      </c>
      <c r="D98">
        <v>2018</v>
      </c>
      <c r="E98">
        <v>1.853976950650349</v>
      </c>
      <c r="F98">
        <v>1.2673227814059229</v>
      </c>
      <c r="G98">
        <f t="shared" si="1"/>
        <v>-0.58665416924442604</v>
      </c>
      <c r="H98">
        <v>0.63417632525182588</v>
      </c>
    </row>
    <row r="99" spans="1:8" x14ac:dyDescent="0.35">
      <c r="A99" t="s">
        <v>68</v>
      </c>
      <c r="B99" t="s">
        <v>54</v>
      </c>
      <c r="C99" t="s">
        <v>40</v>
      </c>
      <c r="D99">
        <v>2018</v>
      </c>
      <c r="E99">
        <v>2.3062043523037761</v>
      </c>
      <c r="F99">
        <v>1.2673227814059229</v>
      </c>
      <c r="G99">
        <f t="shared" si="1"/>
        <v>-1.0388815708978532</v>
      </c>
      <c r="H99">
        <v>0.63417632525182588</v>
      </c>
    </row>
    <row r="100" spans="1:8" x14ac:dyDescent="0.35">
      <c r="A100" t="s">
        <v>68</v>
      </c>
      <c r="B100" t="s">
        <v>53</v>
      </c>
      <c r="C100" t="s">
        <v>38</v>
      </c>
      <c r="D100">
        <v>2019</v>
      </c>
      <c r="E100">
        <v>1.837083008004692</v>
      </c>
      <c r="F100">
        <v>1.110244719033926</v>
      </c>
      <c r="G100">
        <f t="shared" si="1"/>
        <v>-0.72683828897076608</v>
      </c>
      <c r="H100">
        <v>0.82793739835477054</v>
      </c>
    </row>
    <row r="101" spans="1:8" x14ac:dyDescent="0.35">
      <c r="A101" t="s">
        <v>68</v>
      </c>
      <c r="B101" t="s">
        <v>55</v>
      </c>
      <c r="C101" t="s">
        <v>38</v>
      </c>
      <c r="D101">
        <v>2019</v>
      </c>
      <c r="E101">
        <v>0.43652728225691551</v>
      </c>
      <c r="F101">
        <v>1.110244719033926</v>
      </c>
      <c r="G101">
        <f t="shared" si="1"/>
        <v>0.67371743677701046</v>
      </c>
      <c r="H101">
        <v>0.82793739835477054</v>
      </c>
    </row>
    <row r="102" spans="1:8" x14ac:dyDescent="0.35">
      <c r="A102" t="s">
        <v>68</v>
      </c>
      <c r="B102" t="s">
        <v>54</v>
      </c>
      <c r="C102" t="s">
        <v>40</v>
      </c>
      <c r="D102">
        <v>2019</v>
      </c>
      <c r="E102">
        <v>2.050241516126516</v>
      </c>
      <c r="F102">
        <v>1.110244719033926</v>
      </c>
      <c r="G102">
        <f t="shared" si="1"/>
        <v>-0.93999679709258999</v>
      </c>
      <c r="H102">
        <v>0.82793739835477054</v>
      </c>
    </row>
    <row r="103" spans="1:8" x14ac:dyDescent="0.35">
      <c r="A103" t="s">
        <v>68</v>
      </c>
      <c r="B103" t="s">
        <v>56</v>
      </c>
      <c r="C103" t="s">
        <v>40</v>
      </c>
      <c r="D103">
        <v>2019</v>
      </c>
      <c r="E103">
        <v>0.54362498919910962</v>
      </c>
      <c r="F103">
        <v>1.110244719033926</v>
      </c>
      <c r="G103">
        <f t="shared" si="1"/>
        <v>0.56661972983481634</v>
      </c>
      <c r="H103">
        <v>0.82793739835477054</v>
      </c>
    </row>
    <row r="104" spans="1:8" x14ac:dyDescent="0.35">
      <c r="A104" t="s">
        <v>69</v>
      </c>
      <c r="B104" t="s">
        <v>37</v>
      </c>
      <c r="C104" t="s">
        <v>38</v>
      </c>
      <c r="D104">
        <v>2011</v>
      </c>
      <c r="E104">
        <v>0.73935243476188628</v>
      </c>
      <c r="F104">
        <v>-0.64197941531252334</v>
      </c>
      <c r="G104">
        <f t="shared" si="1"/>
        <v>-1.3813318500744096</v>
      </c>
      <c r="H104">
        <v>0.62377758549174633</v>
      </c>
    </row>
    <row r="105" spans="1:8" x14ac:dyDescent="0.35">
      <c r="A105" t="s">
        <v>69</v>
      </c>
      <c r="B105" t="s">
        <v>39</v>
      </c>
      <c r="C105" t="s">
        <v>40</v>
      </c>
      <c r="D105">
        <v>2011</v>
      </c>
      <c r="E105">
        <v>0.76223621019062548</v>
      </c>
      <c r="F105">
        <v>-0.64197941531252334</v>
      </c>
      <c r="G105">
        <f t="shared" si="1"/>
        <v>-1.4042156255031488</v>
      </c>
      <c r="H105">
        <v>0.62377758549174633</v>
      </c>
    </row>
    <row r="106" spans="1:8" x14ac:dyDescent="0.35">
      <c r="A106" t="s">
        <v>69</v>
      </c>
      <c r="B106" t="s">
        <v>37</v>
      </c>
      <c r="C106" t="s">
        <v>38</v>
      </c>
      <c r="D106">
        <v>2012</v>
      </c>
      <c r="E106">
        <v>0.65087819203448749</v>
      </c>
      <c r="F106">
        <v>-2.906965118995676</v>
      </c>
      <c r="G106">
        <f t="shared" si="1"/>
        <v>-3.5578433110301635</v>
      </c>
      <c r="H106">
        <v>0.48398462678037191</v>
      </c>
    </row>
    <row r="107" spans="1:8" x14ac:dyDescent="0.35">
      <c r="A107" t="s">
        <v>69</v>
      </c>
      <c r="B107" t="s">
        <v>41</v>
      </c>
      <c r="C107" t="s">
        <v>38</v>
      </c>
      <c r="D107">
        <v>2012</v>
      </c>
      <c r="E107">
        <v>-1.438880133100584</v>
      </c>
      <c r="F107">
        <v>-2.906965118995676</v>
      </c>
      <c r="G107">
        <f t="shared" si="1"/>
        <v>-1.468084985895092</v>
      </c>
      <c r="H107">
        <v>0.48398462678037191</v>
      </c>
    </row>
    <row r="108" spans="1:8" x14ac:dyDescent="0.35">
      <c r="A108" t="s">
        <v>69</v>
      </c>
      <c r="B108" t="s">
        <v>39</v>
      </c>
      <c r="C108" t="s">
        <v>40</v>
      </c>
      <c r="D108">
        <v>2012</v>
      </c>
      <c r="E108">
        <v>1.5110276949649171</v>
      </c>
      <c r="F108">
        <v>-2.906965118995676</v>
      </c>
      <c r="G108">
        <f t="shared" si="1"/>
        <v>-4.4179928139605931</v>
      </c>
      <c r="H108">
        <v>0.48398462678037191</v>
      </c>
    </row>
    <row r="109" spans="1:8" x14ac:dyDescent="0.35">
      <c r="A109" t="s">
        <v>69</v>
      </c>
      <c r="B109" t="s">
        <v>42</v>
      </c>
      <c r="C109" t="s">
        <v>40</v>
      </c>
      <c r="D109">
        <v>2012</v>
      </c>
      <c r="E109">
        <v>-1.7627808297010159</v>
      </c>
      <c r="F109">
        <v>-2.906965118995676</v>
      </c>
      <c r="G109">
        <f t="shared" si="1"/>
        <v>-1.1441842892946601</v>
      </c>
      <c r="H109">
        <v>0.48398462678037191</v>
      </c>
    </row>
    <row r="110" spans="1:8" x14ac:dyDescent="0.35">
      <c r="A110" t="s">
        <v>69</v>
      </c>
      <c r="B110" t="s">
        <v>41</v>
      </c>
      <c r="C110" t="s">
        <v>38</v>
      </c>
      <c r="D110">
        <v>2013</v>
      </c>
      <c r="E110">
        <v>-1.4440800286151581</v>
      </c>
      <c r="F110">
        <v>-1.437599419188256</v>
      </c>
      <c r="G110">
        <f t="shared" si="1"/>
        <v>6.4806094269020953E-3</v>
      </c>
      <c r="H110">
        <v>0.26402469726120398</v>
      </c>
    </row>
    <row r="111" spans="1:8" x14ac:dyDescent="0.35">
      <c r="A111" t="s">
        <v>69</v>
      </c>
      <c r="B111" t="s">
        <v>43</v>
      </c>
      <c r="C111" t="s">
        <v>38</v>
      </c>
      <c r="D111">
        <v>2013</v>
      </c>
      <c r="E111">
        <v>-1.3067912142153639</v>
      </c>
      <c r="F111">
        <v>-1.437599419188256</v>
      </c>
      <c r="G111">
        <f t="shared" si="1"/>
        <v>-0.13080820497289203</v>
      </c>
      <c r="H111">
        <v>0.26402469726120398</v>
      </c>
    </row>
    <row r="112" spans="1:8" x14ac:dyDescent="0.35">
      <c r="A112" t="s">
        <v>69</v>
      </c>
      <c r="B112" t="s">
        <v>42</v>
      </c>
      <c r="C112" t="s">
        <v>40</v>
      </c>
      <c r="D112">
        <v>2013</v>
      </c>
      <c r="E112">
        <v>-0.3312062646812497</v>
      </c>
      <c r="F112">
        <v>-1.437599419188256</v>
      </c>
      <c r="G112">
        <f t="shared" si="1"/>
        <v>-1.1063931545070063</v>
      </c>
      <c r="H112">
        <v>0.26402469726120398</v>
      </c>
    </row>
    <row r="113" spans="1:8" x14ac:dyDescent="0.35">
      <c r="A113" t="s">
        <v>69</v>
      </c>
      <c r="B113" t="s">
        <v>44</v>
      </c>
      <c r="C113" t="s">
        <v>40</v>
      </c>
      <c r="D113">
        <v>2013</v>
      </c>
      <c r="E113">
        <v>-1.474157069656223</v>
      </c>
      <c r="F113">
        <v>-1.437599419188256</v>
      </c>
      <c r="G113">
        <f t="shared" si="1"/>
        <v>3.6557650467966996E-2</v>
      </c>
      <c r="H113">
        <v>0.26402469726120398</v>
      </c>
    </row>
    <row r="114" spans="1:8" x14ac:dyDescent="0.35">
      <c r="A114" t="s">
        <v>69</v>
      </c>
      <c r="B114" t="s">
        <v>43</v>
      </c>
      <c r="C114" t="s">
        <v>38</v>
      </c>
      <c r="D114">
        <v>2014</v>
      </c>
      <c r="E114">
        <v>0.53460867752352925</v>
      </c>
      <c r="F114">
        <v>1.509054117610189</v>
      </c>
      <c r="G114">
        <f t="shared" si="1"/>
        <v>0.97444544008665979</v>
      </c>
      <c r="H114">
        <v>-0.12579054882825261</v>
      </c>
    </row>
    <row r="115" spans="1:8" x14ac:dyDescent="0.35">
      <c r="A115" t="s">
        <v>69</v>
      </c>
      <c r="B115" t="s">
        <v>45</v>
      </c>
      <c r="C115" t="s">
        <v>38</v>
      </c>
      <c r="D115">
        <v>2014</v>
      </c>
      <c r="E115">
        <v>1.249540362435053</v>
      </c>
      <c r="F115">
        <v>1.509054117610189</v>
      </c>
      <c r="G115">
        <f t="shared" si="1"/>
        <v>0.25951375517513608</v>
      </c>
      <c r="H115">
        <v>-0.12579054882825261</v>
      </c>
    </row>
    <row r="116" spans="1:8" x14ac:dyDescent="0.35">
      <c r="A116" t="s">
        <v>69</v>
      </c>
      <c r="B116" t="s">
        <v>44</v>
      </c>
      <c r="C116" t="s">
        <v>40</v>
      </c>
      <c r="D116">
        <v>2014</v>
      </c>
      <c r="E116">
        <v>0.93589599660655054</v>
      </c>
      <c r="F116">
        <v>1.509054117610189</v>
      </c>
      <c r="G116">
        <f t="shared" si="1"/>
        <v>0.5731581210036385</v>
      </c>
      <c r="H116">
        <v>-0.12579054882825261</v>
      </c>
    </row>
    <row r="117" spans="1:8" x14ac:dyDescent="0.35">
      <c r="A117" t="s">
        <v>69</v>
      </c>
      <c r="B117" t="s">
        <v>46</v>
      </c>
      <c r="C117" t="s">
        <v>40</v>
      </c>
      <c r="D117">
        <v>2014</v>
      </c>
      <c r="E117">
        <v>1.14800430968125</v>
      </c>
      <c r="F117">
        <v>1.509054117610189</v>
      </c>
      <c r="G117">
        <f t="shared" si="1"/>
        <v>0.36104980792893904</v>
      </c>
      <c r="H117">
        <v>-0.12579054882825261</v>
      </c>
    </row>
    <row r="118" spans="1:8" x14ac:dyDescent="0.35">
      <c r="A118" t="s">
        <v>69</v>
      </c>
      <c r="B118" t="s">
        <v>45</v>
      </c>
      <c r="C118" t="s">
        <v>38</v>
      </c>
      <c r="D118">
        <v>2015</v>
      </c>
      <c r="E118">
        <v>1.7298208953237191</v>
      </c>
      <c r="F118">
        <v>3.980574024380553</v>
      </c>
      <c r="G118">
        <f t="shared" si="1"/>
        <v>2.2507531290568341</v>
      </c>
      <c r="H118">
        <v>0.33584162128485229</v>
      </c>
    </row>
    <row r="119" spans="1:8" x14ac:dyDescent="0.35">
      <c r="A119" t="s">
        <v>69</v>
      </c>
      <c r="B119" t="s">
        <v>47</v>
      </c>
      <c r="C119" t="s">
        <v>38</v>
      </c>
      <c r="D119">
        <v>2015</v>
      </c>
      <c r="E119">
        <v>3.1330217546616361</v>
      </c>
      <c r="F119">
        <v>3.980574024380553</v>
      </c>
      <c r="G119">
        <f t="shared" si="1"/>
        <v>0.84755226971891684</v>
      </c>
      <c r="H119">
        <v>0.33584162128485229</v>
      </c>
    </row>
    <row r="120" spans="1:8" x14ac:dyDescent="0.35">
      <c r="A120" t="s">
        <v>69</v>
      </c>
      <c r="B120" t="s">
        <v>46</v>
      </c>
      <c r="C120" t="s">
        <v>40</v>
      </c>
      <c r="D120">
        <v>2015</v>
      </c>
      <c r="E120">
        <v>2.0578550096999941</v>
      </c>
      <c r="F120">
        <v>3.980574024380553</v>
      </c>
      <c r="G120">
        <f t="shared" si="1"/>
        <v>1.9227190146805588</v>
      </c>
      <c r="H120">
        <v>0.33584162128485229</v>
      </c>
    </row>
    <row r="121" spans="1:8" x14ac:dyDescent="0.35">
      <c r="A121" t="s">
        <v>69</v>
      </c>
      <c r="B121" t="s">
        <v>48</v>
      </c>
      <c r="C121" t="s">
        <v>40</v>
      </c>
      <c r="D121">
        <v>2015</v>
      </c>
      <c r="E121">
        <v>2.8163023499567119</v>
      </c>
      <c r="F121">
        <v>3.980574024380553</v>
      </c>
      <c r="G121">
        <f t="shared" si="1"/>
        <v>1.1642716744238411</v>
      </c>
      <c r="H121">
        <v>0.33584162128485229</v>
      </c>
    </row>
    <row r="122" spans="1:8" x14ac:dyDescent="0.35">
      <c r="A122" t="s">
        <v>69</v>
      </c>
      <c r="B122" t="s">
        <v>47</v>
      </c>
      <c r="C122" t="s">
        <v>38</v>
      </c>
      <c r="D122">
        <v>2016</v>
      </c>
      <c r="E122">
        <v>2.6664587847684769</v>
      </c>
      <c r="F122">
        <v>2.8733724111720398</v>
      </c>
      <c r="G122">
        <f t="shared" si="1"/>
        <v>0.20691362640356292</v>
      </c>
      <c r="H122">
        <v>0.5384352042804752</v>
      </c>
    </row>
    <row r="123" spans="1:8" x14ac:dyDescent="0.35">
      <c r="A123" t="s">
        <v>69</v>
      </c>
      <c r="B123" t="s">
        <v>49</v>
      </c>
      <c r="C123" t="s">
        <v>38</v>
      </c>
      <c r="D123">
        <v>2016</v>
      </c>
      <c r="E123">
        <v>3.1977481622379229</v>
      </c>
      <c r="F123">
        <v>2.8733724111720398</v>
      </c>
      <c r="G123">
        <f t="shared" si="1"/>
        <v>-0.32437575106588312</v>
      </c>
      <c r="H123">
        <v>0.5384352042804752</v>
      </c>
    </row>
    <row r="124" spans="1:8" x14ac:dyDescent="0.35">
      <c r="A124" t="s">
        <v>69</v>
      </c>
      <c r="B124" t="s">
        <v>48</v>
      </c>
      <c r="C124" t="s">
        <v>40</v>
      </c>
      <c r="D124">
        <v>2016</v>
      </c>
      <c r="E124">
        <v>2.5804277166284968</v>
      </c>
      <c r="F124">
        <v>2.8733724111720398</v>
      </c>
      <c r="G124">
        <f t="shared" si="1"/>
        <v>0.29294469454354299</v>
      </c>
      <c r="H124">
        <v>0.5384352042804752</v>
      </c>
    </row>
    <row r="125" spans="1:8" x14ac:dyDescent="0.35">
      <c r="A125" t="s">
        <v>69</v>
      </c>
      <c r="B125" t="s">
        <v>50</v>
      </c>
      <c r="C125" t="s">
        <v>40</v>
      </c>
      <c r="D125">
        <v>2016</v>
      </c>
      <c r="E125">
        <v>2.5934687983342641</v>
      </c>
      <c r="F125">
        <v>2.8733724111720398</v>
      </c>
      <c r="G125">
        <f t="shared" si="1"/>
        <v>0.27990361283777565</v>
      </c>
      <c r="H125">
        <v>0.5384352042804752</v>
      </c>
    </row>
    <row r="126" spans="1:8" x14ac:dyDescent="0.35">
      <c r="A126" t="s">
        <v>69</v>
      </c>
      <c r="B126" t="s">
        <v>49</v>
      </c>
      <c r="C126" t="s">
        <v>38</v>
      </c>
      <c r="D126">
        <v>2017</v>
      </c>
      <c r="E126">
        <v>2.255443360388365</v>
      </c>
      <c r="F126">
        <v>2.855001546118654</v>
      </c>
      <c r="G126">
        <f t="shared" si="1"/>
        <v>0.59955818573028896</v>
      </c>
      <c r="H126">
        <v>0.76844861224739902</v>
      </c>
    </row>
    <row r="127" spans="1:8" x14ac:dyDescent="0.35">
      <c r="A127" t="s">
        <v>69</v>
      </c>
      <c r="B127" t="s">
        <v>51</v>
      </c>
      <c r="C127" t="s">
        <v>38</v>
      </c>
      <c r="D127">
        <v>2017</v>
      </c>
      <c r="E127">
        <v>3.068359604619419</v>
      </c>
      <c r="F127">
        <v>2.855001546118654</v>
      </c>
      <c r="G127">
        <f t="shared" si="1"/>
        <v>-0.21335805850076506</v>
      </c>
      <c r="H127">
        <v>0.76844861224739902</v>
      </c>
    </row>
    <row r="128" spans="1:8" x14ac:dyDescent="0.35">
      <c r="A128" t="s">
        <v>69</v>
      </c>
      <c r="B128" t="s">
        <v>50</v>
      </c>
      <c r="C128" t="s">
        <v>40</v>
      </c>
      <c r="D128">
        <v>2017</v>
      </c>
      <c r="E128">
        <v>2.5049942578537321</v>
      </c>
      <c r="F128">
        <v>2.855001546118654</v>
      </c>
      <c r="G128">
        <f t="shared" si="1"/>
        <v>0.35000728826492189</v>
      </c>
      <c r="H128">
        <v>0.76844861224739902</v>
      </c>
    </row>
    <row r="129" spans="1:8" x14ac:dyDescent="0.35">
      <c r="A129" t="s">
        <v>69</v>
      </c>
      <c r="B129" t="s">
        <v>52</v>
      </c>
      <c r="C129" t="s">
        <v>40</v>
      </c>
      <c r="D129">
        <v>2017</v>
      </c>
      <c r="E129">
        <v>2.763295099061525</v>
      </c>
      <c r="F129">
        <v>2.855001546118654</v>
      </c>
      <c r="G129">
        <f t="shared" si="1"/>
        <v>9.1706447057128937E-2</v>
      </c>
      <c r="H129">
        <v>0.76844861224739902</v>
      </c>
    </row>
    <row r="130" spans="1:8" x14ac:dyDescent="0.35">
      <c r="A130" t="s">
        <v>69</v>
      </c>
      <c r="B130" t="s">
        <v>51</v>
      </c>
      <c r="C130" t="s">
        <v>38</v>
      </c>
      <c r="D130">
        <v>2018</v>
      </c>
      <c r="E130">
        <v>2.5372488700963869</v>
      </c>
      <c r="F130">
        <v>2.367158610415725</v>
      </c>
      <c r="G130">
        <f t="shared" ref="G130:G193" si="2">IF(OR(F130="",E130=""),"",F130-E130)</f>
        <v>-0.17009025968066194</v>
      </c>
      <c r="H130">
        <v>0.54937504833741979</v>
      </c>
    </row>
    <row r="131" spans="1:8" x14ac:dyDescent="0.35">
      <c r="A131" t="s">
        <v>69</v>
      </c>
      <c r="B131" t="s">
        <v>53</v>
      </c>
      <c r="C131" t="s">
        <v>38</v>
      </c>
      <c r="D131">
        <v>2018</v>
      </c>
      <c r="E131">
        <v>2.5579730614092582</v>
      </c>
      <c r="F131">
        <v>2.367158610415725</v>
      </c>
      <c r="G131">
        <f t="shared" si="2"/>
        <v>-0.19081445099353322</v>
      </c>
      <c r="H131">
        <v>0.54937504833741979</v>
      </c>
    </row>
    <row r="132" spans="1:8" x14ac:dyDescent="0.35">
      <c r="A132" t="s">
        <v>69</v>
      </c>
      <c r="B132" t="s">
        <v>52</v>
      </c>
      <c r="C132" t="s">
        <v>40</v>
      </c>
      <c r="D132">
        <v>2018</v>
      </c>
      <c r="E132">
        <v>2.3641938543665701</v>
      </c>
      <c r="F132">
        <v>2.367158610415725</v>
      </c>
      <c r="G132">
        <f t="shared" si="2"/>
        <v>2.9647560491548042E-3</v>
      </c>
      <c r="H132">
        <v>0.54937504833741979</v>
      </c>
    </row>
    <row r="133" spans="1:8" x14ac:dyDescent="0.35">
      <c r="A133" t="s">
        <v>69</v>
      </c>
      <c r="B133" t="s">
        <v>54</v>
      </c>
      <c r="C133" t="s">
        <v>40</v>
      </c>
      <c r="D133">
        <v>2018</v>
      </c>
      <c r="E133">
        <v>2.8513007726971522</v>
      </c>
      <c r="F133">
        <v>2.367158610415725</v>
      </c>
      <c r="G133">
        <f t="shared" si="2"/>
        <v>-0.48414216228142726</v>
      </c>
      <c r="H133">
        <v>0.54937504833741979</v>
      </c>
    </row>
    <row r="134" spans="1:8" x14ac:dyDescent="0.35">
      <c r="A134" t="s">
        <v>69</v>
      </c>
      <c r="B134" t="s">
        <v>53</v>
      </c>
      <c r="C134" t="s">
        <v>38</v>
      </c>
      <c r="D134">
        <v>2019</v>
      </c>
      <c r="E134">
        <v>2.1553608163649152</v>
      </c>
      <c r="F134">
        <v>1.9422910480512949</v>
      </c>
      <c r="G134">
        <f t="shared" si="2"/>
        <v>-0.21306976831362023</v>
      </c>
      <c r="H134">
        <v>0.8375403037033835</v>
      </c>
    </row>
    <row r="135" spans="1:8" x14ac:dyDescent="0.35">
      <c r="A135" t="s">
        <v>69</v>
      </c>
      <c r="B135" t="s">
        <v>55</v>
      </c>
      <c r="C135" t="s">
        <v>38</v>
      </c>
      <c r="D135">
        <v>2019</v>
      </c>
      <c r="E135">
        <v>1.870053317687548</v>
      </c>
      <c r="F135">
        <v>1.9422910480512949</v>
      </c>
      <c r="G135">
        <f t="shared" si="2"/>
        <v>7.2237730363746921E-2</v>
      </c>
      <c r="H135">
        <v>0.8375403037033835</v>
      </c>
    </row>
    <row r="136" spans="1:8" x14ac:dyDescent="0.35">
      <c r="A136" t="s">
        <v>69</v>
      </c>
      <c r="B136" t="s">
        <v>54</v>
      </c>
      <c r="C136" t="s">
        <v>40</v>
      </c>
      <c r="D136">
        <v>2019</v>
      </c>
      <c r="E136">
        <v>2.355960635013798</v>
      </c>
      <c r="F136">
        <v>1.9422910480512949</v>
      </c>
      <c r="G136">
        <f t="shared" si="2"/>
        <v>-0.41366958696250311</v>
      </c>
      <c r="H136">
        <v>0.8375403037033835</v>
      </c>
    </row>
    <row r="137" spans="1:8" x14ac:dyDescent="0.35">
      <c r="A137" t="s">
        <v>69</v>
      </c>
      <c r="B137" t="s">
        <v>56</v>
      </c>
      <c r="C137" t="s">
        <v>40</v>
      </c>
      <c r="D137">
        <v>2019</v>
      </c>
      <c r="E137">
        <v>2.0959399874803002</v>
      </c>
      <c r="F137">
        <v>1.9422910480512949</v>
      </c>
      <c r="G137">
        <f t="shared" si="2"/>
        <v>-0.15364893942900526</v>
      </c>
      <c r="H137">
        <v>0.8375403037033835</v>
      </c>
    </row>
    <row r="138" spans="1:8" x14ac:dyDescent="0.35">
      <c r="A138" t="s">
        <v>70</v>
      </c>
      <c r="B138" t="s">
        <v>45</v>
      </c>
      <c r="C138" t="s">
        <v>38</v>
      </c>
      <c r="D138">
        <v>2015</v>
      </c>
      <c r="E138">
        <v>0.6115453306968277</v>
      </c>
      <c r="F138">
        <v>0.46533578746174248</v>
      </c>
      <c r="G138">
        <f t="shared" si="2"/>
        <v>-0.14620954323508523</v>
      </c>
      <c r="H138">
        <v>0.21524731915347789</v>
      </c>
    </row>
    <row r="139" spans="1:8" x14ac:dyDescent="0.35">
      <c r="A139" t="s">
        <v>70</v>
      </c>
      <c r="B139" t="s">
        <v>47</v>
      </c>
      <c r="C139" t="s">
        <v>38</v>
      </c>
      <c r="D139">
        <v>2015</v>
      </c>
      <c r="E139">
        <v>0.33999838965084178</v>
      </c>
      <c r="F139">
        <v>0.46533578746174248</v>
      </c>
      <c r="G139">
        <f t="shared" si="2"/>
        <v>0.1253373978109007</v>
      </c>
      <c r="H139">
        <v>0.21524731915347789</v>
      </c>
    </row>
    <row r="140" spans="1:8" x14ac:dyDescent="0.35">
      <c r="A140" t="s">
        <v>70</v>
      </c>
      <c r="B140" t="s">
        <v>46</v>
      </c>
      <c r="C140" t="s">
        <v>40</v>
      </c>
      <c r="D140">
        <v>2015</v>
      </c>
      <c r="E140">
        <v>1.03813878882193</v>
      </c>
      <c r="F140">
        <v>0.46533578746174248</v>
      </c>
      <c r="G140">
        <f t="shared" si="2"/>
        <v>-0.57280300136018747</v>
      </c>
      <c r="H140">
        <v>0.21524731915347789</v>
      </c>
    </row>
    <row r="141" spans="1:8" x14ac:dyDescent="0.35">
      <c r="A141" t="s">
        <v>70</v>
      </c>
      <c r="B141" t="s">
        <v>48</v>
      </c>
      <c r="C141" t="s">
        <v>40</v>
      </c>
      <c r="D141">
        <v>2015</v>
      </c>
      <c r="E141">
        <v>0.34221817011690359</v>
      </c>
      <c r="F141">
        <v>0.46533578746174248</v>
      </c>
      <c r="G141">
        <f t="shared" si="2"/>
        <v>0.12311761734483889</v>
      </c>
      <c r="H141">
        <v>0.21524731915347789</v>
      </c>
    </row>
    <row r="142" spans="1:8" x14ac:dyDescent="0.35">
      <c r="A142" t="s">
        <v>70</v>
      </c>
      <c r="B142" t="s">
        <v>47</v>
      </c>
      <c r="C142" t="s">
        <v>38</v>
      </c>
      <c r="D142">
        <v>2016</v>
      </c>
      <c r="E142">
        <v>0.66078776686688823</v>
      </c>
      <c r="F142">
        <v>2.5394630680659041</v>
      </c>
      <c r="G142">
        <f t="shared" si="2"/>
        <v>1.8786753011990158</v>
      </c>
      <c r="H142">
        <v>0.62859282370307934</v>
      </c>
    </row>
    <row r="143" spans="1:8" x14ac:dyDescent="0.35">
      <c r="A143" t="s">
        <v>70</v>
      </c>
      <c r="B143" t="s">
        <v>49</v>
      </c>
      <c r="C143" t="s">
        <v>38</v>
      </c>
      <c r="D143">
        <v>2016</v>
      </c>
      <c r="E143">
        <v>0.8211412144474739</v>
      </c>
      <c r="F143">
        <v>2.5394630680659041</v>
      </c>
      <c r="G143">
        <f t="shared" si="2"/>
        <v>1.7183218536184302</v>
      </c>
      <c r="H143">
        <v>0.62859282370307934</v>
      </c>
    </row>
    <row r="144" spans="1:8" x14ac:dyDescent="0.35">
      <c r="A144" t="s">
        <v>70</v>
      </c>
      <c r="B144" t="s">
        <v>48</v>
      </c>
      <c r="C144" t="s">
        <v>40</v>
      </c>
      <c r="D144">
        <v>2016</v>
      </c>
      <c r="E144">
        <v>1.029139259030432</v>
      </c>
      <c r="F144">
        <v>2.5394630680659041</v>
      </c>
      <c r="G144">
        <f t="shared" si="2"/>
        <v>1.510323809035472</v>
      </c>
      <c r="H144">
        <v>0.62859282370307934</v>
      </c>
    </row>
    <row r="145" spans="1:8" x14ac:dyDescent="0.35">
      <c r="A145" t="s">
        <v>70</v>
      </c>
      <c r="B145" t="s">
        <v>50</v>
      </c>
      <c r="C145" t="s">
        <v>40</v>
      </c>
      <c r="D145">
        <v>2016</v>
      </c>
      <c r="E145">
        <v>0.68041183214515577</v>
      </c>
      <c r="F145">
        <v>2.5394630680659041</v>
      </c>
      <c r="G145">
        <f t="shared" si="2"/>
        <v>1.8590512359207483</v>
      </c>
      <c r="H145">
        <v>0.62859282370307934</v>
      </c>
    </row>
    <row r="146" spans="1:8" x14ac:dyDescent="0.35">
      <c r="A146" t="s">
        <v>70</v>
      </c>
      <c r="B146" t="s">
        <v>49</v>
      </c>
      <c r="C146" t="s">
        <v>38</v>
      </c>
      <c r="D146">
        <v>2017</v>
      </c>
      <c r="E146">
        <v>0.7788253796826794</v>
      </c>
      <c r="F146">
        <v>3.2509193804219478</v>
      </c>
      <c r="G146">
        <f t="shared" si="2"/>
        <v>2.4720940007392684</v>
      </c>
      <c r="H146">
        <v>0.71940483524885424</v>
      </c>
    </row>
    <row r="147" spans="1:8" x14ac:dyDescent="0.35">
      <c r="A147" t="s">
        <v>70</v>
      </c>
      <c r="B147" t="s">
        <v>51</v>
      </c>
      <c r="C147" t="s">
        <v>38</v>
      </c>
      <c r="D147">
        <v>2017</v>
      </c>
      <c r="E147">
        <v>3.2999705467780189</v>
      </c>
      <c r="F147">
        <v>3.2509193804219478</v>
      </c>
      <c r="G147">
        <f t="shared" si="2"/>
        <v>-4.9051166356071096E-2</v>
      </c>
      <c r="H147">
        <v>0.71940483524885424</v>
      </c>
    </row>
    <row r="148" spans="1:8" x14ac:dyDescent="0.35">
      <c r="A148" t="s">
        <v>70</v>
      </c>
      <c r="B148" t="s">
        <v>50</v>
      </c>
      <c r="C148" t="s">
        <v>40</v>
      </c>
      <c r="D148">
        <v>2017</v>
      </c>
      <c r="E148">
        <v>0.72652337554917068</v>
      </c>
      <c r="F148">
        <v>3.2509193804219478</v>
      </c>
      <c r="G148">
        <f t="shared" si="2"/>
        <v>2.5243960048727772</v>
      </c>
      <c r="H148">
        <v>0.71940483524885424</v>
      </c>
    </row>
    <row r="149" spans="1:8" x14ac:dyDescent="0.35">
      <c r="A149" t="s">
        <v>70</v>
      </c>
      <c r="B149" t="s">
        <v>52</v>
      </c>
      <c r="C149" t="s">
        <v>40</v>
      </c>
      <c r="D149">
        <v>2017</v>
      </c>
      <c r="E149">
        <v>1.2981877046543739</v>
      </c>
      <c r="F149">
        <v>3.2509193804219478</v>
      </c>
      <c r="G149">
        <f t="shared" si="2"/>
        <v>1.9527316757675739</v>
      </c>
      <c r="H149">
        <v>0.71940483524885424</v>
      </c>
    </row>
    <row r="150" spans="1:8" x14ac:dyDescent="0.35">
      <c r="A150" t="s">
        <v>70</v>
      </c>
      <c r="B150" t="s">
        <v>51</v>
      </c>
      <c r="C150" t="s">
        <v>38</v>
      </c>
      <c r="D150">
        <v>2018</v>
      </c>
      <c r="E150">
        <v>2.6543445907794232</v>
      </c>
      <c r="F150">
        <v>1.1858569030435471</v>
      </c>
      <c r="G150">
        <f t="shared" si="2"/>
        <v>-1.4684876877358761</v>
      </c>
      <c r="H150">
        <v>0.33002959137272642</v>
      </c>
    </row>
    <row r="151" spans="1:8" x14ac:dyDescent="0.35">
      <c r="A151" t="s">
        <v>70</v>
      </c>
      <c r="B151" t="s">
        <v>53</v>
      </c>
      <c r="C151" t="s">
        <v>38</v>
      </c>
      <c r="D151">
        <v>2018</v>
      </c>
      <c r="E151">
        <v>2.8893530093298199</v>
      </c>
      <c r="F151">
        <v>1.1858569030435471</v>
      </c>
      <c r="G151">
        <f t="shared" si="2"/>
        <v>-1.7034961062862728</v>
      </c>
      <c r="H151">
        <v>0.33002959137272642</v>
      </c>
    </row>
    <row r="152" spans="1:8" x14ac:dyDescent="0.35">
      <c r="A152" t="s">
        <v>70</v>
      </c>
      <c r="B152" t="s">
        <v>52</v>
      </c>
      <c r="C152" t="s">
        <v>40</v>
      </c>
      <c r="D152">
        <v>2018</v>
      </c>
      <c r="E152">
        <v>1.745345139008192</v>
      </c>
      <c r="F152">
        <v>1.1858569030435471</v>
      </c>
      <c r="G152">
        <f t="shared" si="2"/>
        <v>-0.55948823596464492</v>
      </c>
      <c r="H152">
        <v>0.33002959137272642</v>
      </c>
    </row>
    <row r="153" spans="1:8" x14ac:dyDescent="0.35">
      <c r="A153" t="s">
        <v>70</v>
      </c>
      <c r="B153" t="s">
        <v>54</v>
      </c>
      <c r="C153" t="s">
        <v>40</v>
      </c>
      <c r="D153">
        <v>2018</v>
      </c>
      <c r="E153">
        <v>2.519865182310288</v>
      </c>
      <c r="F153">
        <v>1.1858569030435471</v>
      </c>
      <c r="G153">
        <f t="shared" si="2"/>
        <v>-1.3340082792667409</v>
      </c>
      <c r="H153">
        <v>0.33002959137272642</v>
      </c>
    </row>
    <row r="154" spans="1:8" x14ac:dyDescent="0.35">
      <c r="A154" t="s">
        <v>70</v>
      </c>
      <c r="B154" t="s">
        <v>53</v>
      </c>
      <c r="C154" t="s">
        <v>38</v>
      </c>
      <c r="D154">
        <v>2019</v>
      </c>
      <c r="E154">
        <v>2.1742555460234851</v>
      </c>
      <c r="F154">
        <v>1.3406806953806429</v>
      </c>
      <c r="G154">
        <f t="shared" si="2"/>
        <v>-0.8335748506428422</v>
      </c>
      <c r="H154">
        <v>0.85330044822257167</v>
      </c>
    </row>
    <row r="155" spans="1:8" x14ac:dyDescent="0.35">
      <c r="A155" t="s">
        <v>70</v>
      </c>
      <c r="B155" t="s">
        <v>55</v>
      </c>
      <c r="C155" t="s">
        <v>38</v>
      </c>
      <c r="D155">
        <v>2019</v>
      </c>
      <c r="E155">
        <v>1.354791564440649</v>
      </c>
      <c r="F155">
        <v>1.3406806953806429</v>
      </c>
      <c r="G155">
        <f t="shared" si="2"/>
        <v>-1.4110869060006026E-2</v>
      </c>
      <c r="H155">
        <v>0.85330044822257167</v>
      </c>
    </row>
    <row r="156" spans="1:8" x14ac:dyDescent="0.35">
      <c r="A156" t="s">
        <v>70</v>
      </c>
      <c r="B156" t="s">
        <v>54</v>
      </c>
      <c r="C156" t="s">
        <v>40</v>
      </c>
      <c r="D156">
        <v>2019</v>
      </c>
      <c r="E156">
        <v>2.2702366672909808</v>
      </c>
      <c r="F156">
        <v>1.3406806953806429</v>
      </c>
      <c r="G156">
        <f t="shared" si="2"/>
        <v>-0.9295559719103379</v>
      </c>
      <c r="H156">
        <v>0.85330044822257167</v>
      </c>
    </row>
    <row r="157" spans="1:8" x14ac:dyDescent="0.35">
      <c r="A157" t="s">
        <v>70</v>
      </c>
      <c r="B157" t="s">
        <v>56</v>
      </c>
      <c r="C157" t="s">
        <v>40</v>
      </c>
      <c r="D157">
        <v>2019</v>
      </c>
      <c r="E157">
        <v>1.638521358484613</v>
      </c>
      <c r="F157">
        <v>1.3406806953806429</v>
      </c>
      <c r="G157">
        <f t="shared" si="2"/>
        <v>-0.29784066310397006</v>
      </c>
      <c r="H157">
        <v>0.85330044822257167</v>
      </c>
    </row>
    <row r="158" spans="1:8" x14ac:dyDescent="0.35">
      <c r="A158" t="s">
        <v>73</v>
      </c>
      <c r="B158" t="s">
        <v>37</v>
      </c>
      <c r="C158" t="s">
        <v>38</v>
      </c>
      <c r="D158">
        <v>2011</v>
      </c>
      <c r="E158">
        <v>1.6159410538217229</v>
      </c>
      <c r="F158">
        <v>2.4520659404670382</v>
      </c>
      <c r="G158">
        <f t="shared" si="2"/>
        <v>0.83612488664531526</v>
      </c>
      <c r="H158">
        <v>0.86455349240999857</v>
      </c>
    </row>
    <row r="159" spans="1:8" x14ac:dyDescent="0.35">
      <c r="A159" t="s">
        <v>73</v>
      </c>
      <c r="B159" t="s">
        <v>39</v>
      </c>
      <c r="C159" t="s">
        <v>40</v>
      </c>
      <c r="D159">
        <v>2011</v>
      </c>
      <c r="E159">
        <v>1.7720935903862369</v>
      </c>
      <c r="F159">
        <v>2.4520659404670382</v>
      </c>
      <c r="G159">
        <f t="shared" si="2"/>
        <v>0.67997235008080126</v>
      </c>
      <c r="H159">
        <v>0.86455349240999857</v>
      </c>
    </row>
    <row r="160" spans="1:8" x14ac:dyDescent="0.35">
      <c r="A160" t="s">
        <v>73</v>
      </c>
      <c r="B160" t="s">
        <v>37</v>
      </c>
      <c r="C160" t="s">
        <v>38</v>
      </c>
      <c r="D160">
        <v>2012</v>
      </c>
      <c r="E160">
        <v>0.55167308327404019</v>
      </c>
      <c r="F160">
        <v>0.226946609537066</v>
      </c>
      <c r="G160">
        <f t="shared" si="2"/>
        <v>-0.32472647373697416</v>
      </c>
      <c r="H160">
        <v>0.83359266727057346</v>
      </c>
    </row>
    <row r="161" spans="1:8" x14ac:dyDescent="0.35">
      <c r="A161" t="s">
        <v>73</v>
      </c>
      <c r="B161" t="s">
        <v>41</v>
      </c>
      <c r="C161" t="s">
        <v>38</v>
      </c>
      <c r="D161">
        <v>2012</v>
      </c>
      <c r="E161">
        <v>0.191602674222735</v>
      </c>
      <c r="F161">
        <v>0.226946609537066</v>
      </c>
      <c r="G161">
        <f t="shared" si="2"/>
        <v>3.5343935314330999E-2</v>
      </c>
      <c r="H161">
        <v>0.83359266727057346</v>
      </c>
    </row>
    <row r="162" spans="1:8" x14ac:dyDescent="0.35">
      <c r="A162" t="s">
        <v>73</v>
      </c>
      <c r="B162" t="s">
        <v>39</v>
      </c>
      <c r="C162" t="s">
        <v>40</v>
      </c>
      <c r="D162">
        <v>2012</v>
      </c>
      <c r="E162">
        <v>2.040883011076966</v>
      </c>
      <c r="F162">
        <v>0.226946609537066</v>
      </c>
      <c r="G162">
        <f t="shared" si="2"/>
        <v>-1.8139364015399</v>
      </c>
      <c r="H162">
        <v>0.83359266727057346</v>
      </c>
    </row>
    <row r="163" spans="1:8" x14ac:dyDescent="0.35">
      <c r="A163" t="s">
        <v>73</v>
      </c>
      <c r="B163" t="s">
        <v>42</v>
      </c>
      <c r="C163" t="s">
        <v>40</v>
      </c>
      <c r="D163">
        <v>2012</v>
      </c>
      <c r="E163">
        <v>0.47308017111291623</v>
      </c>
      <c r="F163">
        <v>0.226946609537066</v>
      </c>
      <c r="G163">
        <f t="shared" si="2"/>
        <v>-0.24613356157585023</v>
      </c>
      <c r="H163">
        <v>0.83359266727057346</v>
      </c>
    </row>
    <row r="164" spans="1:8" x14ac:dyDescent="0.35">
      <c r="A164" t="s">
        <v>73</v>
      </c>
      <c r="B164" t="s">
        <v>41</v>
      </c>
      <c r="C164" t="s">
        <v>38</v>
      </c>
      <c r="D164">
        <v>2013</v>
      </c>
      <c r="E164">
        <v>0.38047816820923058</v>
      </c>
      <c r="F164">
        <v>0.92634815984379837</v>
      </c>
      <c r="G164">
        <f t="shared" si="2"/>
        <v>0.54586999163456773</v>
      </c>
      <c r="H164">
        <v>0.6952933760342126</v>
      </c>
    </row>
    <row r="165" spans="1:8" x14ac:dyDescent="0.35">
      <c r="A165" t="s">
        <v>73</v>
      </c>
      <c r="B165" t="s">
        <v>43</v>
      </c>
      <c r="C165" t="s">
        <v>38</v>
      </c>
      <c r="D165">
        <v>2013</v>
      </c>
      <c r="E165">
        <v>0.21992165083872811</v>
      </c>
      <c r="F165">
        <v>0.92634815984379837</v>
      </c>
      <c r="G165">
        <f t="shared" si="2"/>
        <v>0.70642650900507031</v>
      </c>
      <c r="H165">
        <v>0.6952933760342126</v>
      </c>
    </row>
    <row r="166" spans="1:8" x14ac:dyDescent="0.35">
      <c r="A166" t="s">
        <v>73</v>
      </c>
      <c r="B166" t="s">
        <v>42</v>
      </c>
      <c r="C166" t="s">
        <v>40</v>
      </c>
      <c r="D166">
        <v>2013</v>
      </c>
      <c r="E166">
        <v>1.3369944796204569</v>
      </c>
      <c r="F166">
        <v>0.92634815984379837</v>
      </c>
      <c r="G166">
        <f t="shared" si="2"/>
        <v>-0.41064631977665855</v>
      </c>
      <c r="H166">
        <v>0.6952933760342126</v>
      </c>
    </row>
    <row r="167" spans="1:8" x14ac:dyDescent="0.35">
      <c r="A167" t="s">
        <v>73</v>
      </c>
      <c r="B167" t="s">
        <v>44</v>
      </c>
      <c r="C167" t="s">
        <v>40</v>
      </c>
      <c r="D167">
        <v>2013</v>
      </c>
      <c r="E167">
        <v>-9.6293692429949562E-2</v>
      </c>
      <c r="F167">
        <v>0.92634815984379837</v>
      </c>
      <c r="G167">
        <f t="shared" si="2"/>
        <v>1.0226418522737479</v>
      </c>
      <c r="H167">
        <v>0.6952933760342126</v>
      </c>
    </row>
    <row r="168" spans="1:8" x14ac:dyDescent="0.35">
      <c r="A168" t="s">
        <v>73</v>
      </c>
      <c r="B168" t="s">
        <v>43</v>
      </c>
      <c r="C168" t="s">
        <v>38</v>
      </c>
      <c r="D168">
        <v>2014</v>
      </c>
      <c r="E168">
        <v>0.91019216638974498</v>
      </c>
      <c r="F168">
        <v>0.99281792910282507</v>
      </c>
      <c r="G168">
        <f t="shared" si="2"/>
        <v>8.2625762713080086E-2</v>
      </c>
      <c r="H168">
        <v>-7.1145736829973161E-2</v>
      </c>
    </row>
    <row r="169" spans="1:8" x14ac:dyDescent="0.35">
      <c r="A169" t="s">
        <v>73</v>
      </c>
      <c r="B169" t="s">
        <v>45</v>
      </c>
      <c r="C169" t="s">
        <v>38</v>
      </c>
      <c r="D169">
        <v>2014</v>
      </c>
      <c r="E169">
        <v>0.31811884101464738</v>
      </c>
      <c r="F169">
        <v>0.99281792910282507</v>
      </c>
      <c r="G169">
        <f t="shared" si="2"/>
        <v>0.67469908808817769</v>
      </c>
      <c r="H169">
        <v>-7.1145736829973161E-2</v>
      </c>
    </row>
    <row r="170" spans="1:8" x14ac:dyDescent="0.35">
      <c r="A170" t="s">
        <v>73</v>
      </c>
      <c r="B170" t="s">
        <v>44</v>
      </c>
      <c r="C170" t="s">
        <v>40</v>
      </c>
      <c r="D170">
        <v>2014</v>
      </c>
      <c r="E170">
        <v>1.095437649770115</v>
      </c>
      <c r="F170">
        <v>0.99281792910282507</v>
      </c>
      <c r="G170">
        <f t="shared" si="2"/>
        <v>-0.10261972066728997</v>
      </c>
      <c r="H170">
        <v>-7.1145736829973161E-2</v>
      </c>
    </row>
    <row r="171" spans="1:8" x14ac:dyDescent="0.35">
      <c r="A171" t="s">
        <v>73</v>
      </c>
      <c r="B171" t="s">
        <v>46</v>
      </c>
      <c r="C171" t="s">
        <v>40</v>
      </c>
      <c r="D171">
        <v>2014</v>
      </c>
      <c r="E171">
        <v>0.97562348050159731</v>
      </c>
      <c r="F171">
        <v>0.99281792910282507</v>
      </c>
      <c r="G171">
        <f t="shared" si="2"/>
        <v>1.7194448601227763E-2</v>
      </c>
      <c r="H171">
        <v>-7.1145736829973161E-2</v>
      </c>
    </row>
    <row r="172" spans="1:8" x14ac:dyDescent="0.35">
      <c r="A172" t="s">
        <v>73</v>
      </c>
      <c r="B172" t="s">
        <v>45</v>
      </c>
      <c r="C172" t="s">
        <v>38</v>
      </c>
      <c r="D172">
        <v>2015</v>
      </c>
      <c r="E172">
        <v>0.69497120757255892</v>
      </c>
      <c r="F172">
        <v>0.99352475042418931</v>
      </c>
      <c r="G172">
        <f t="shared" si="2"/>
        <v>0.29855354285163038</v>
      </c>
      <c r="H172">
        <v>6.2533223926305753E-2</v>
      </c>
    </row>
    <row r="173" spans="1:8" x14ac:dyDescent="0.35">
      <c r="A173" t="s">
        <v>73</v>
      </c>
      <c r="B173" t="s">
        <v>47</v>
      </c>
      <c r="C173" t="s">
        <v>38</v>
      </c>
      <c r="D173">
        <v>2015</v>
      </c>
      <c r="E173">
        <v>1.0829396488476919</v>
      </c>
      <c r="F173">
        <v>0.99352475042418931</v>
      </c>
      <c r="G173">
        <f t="shared" si="2"/>
        <v>-8.9414898423502587E-2</v>
      </c>
      <c r="H173">
        <v>6.2533223926305753E-2</v>
      </c>
    </row>
    <row r="174" spans="1:8" x14ac:dyDescent="0.35">
      <c r="A174" t="s">
        <v>73</v>
      </c>
      <c r="B174" t="s">
        <v>46</v>
      </c>
      <c r="C174" t="s">
        <v>40</v>
      </c>
      <c r="D174">
        <v>2015</v>
      </c>
      <c r="E174">
        <v>1.4732524317461191</v>
      </c>
      <c r="F174">
        <v>0.99352475042418931</v>
      </c>
      <c r="G174">
        <f t="shared" si="2"/>
        <v>-0.47972768132192978</v>
      </c>
      <c r="H174">
        <v>6.2533223926305753E-2</v>
      </c>
    </row>
    <row r="175" spans="1:8" x14ac:dyDescent="0.35">
      <c r="A175" t="s">
        <v>73</v>
      </c>
      <c r="B175" t="s">
        <v>48</v>
      </c>
      <c r="C175" t="s">
        <v>40</v>
      </c>
      <c r="D175">
        <v>2015</v>
      </c>
      <c r="E175">
        <v>1.081963871443703</v>
      </c>
      <c r="F175">
        <v>0.99352475042418931</v>
      </c>
      <c r="G175">
        <f t="shared" si="2"/>
        <v>-8.8439121019513678E-2</v>
      </c>
      <c r="H175">
        <v>6.2533223926305753E-2</v>
      </c>
    </row>
    <row r="176" spans="1:8" x14ac:dyDescent="0.35">
      <c r="A176" t="s">
        <v>73</v>
      </c>
      <c r="B176" t="s">
        <v>47</v>
      </c>
      <c r="C176" t="s">
        <v>38</v>
      </c>
      <c r="D176">
        <v>2016</v>
      </c>
      <c r="E176">
        <v>1.4293943423307589</v>
      </c>
      <c r="F176">
        <v>0.7341997048160207</v>
      </c>
      <c r="G176">
        <f t="shared" si="2"/>
        <v>-0.6951946375147382</v>
      </c>
      <c r="H176">
        <v>0.40116276873655787</v>
      </c>
    </row>
    <row r="177" spans="1:8" x14ac:dyDescent="0.35">
      <c r="A177" t="s">
        <v>73</v>
      </c>
      <c r="B177" t="s">
        <v>49</v>
      </c>
      <c r="C177" t="s">
        <v>38</v>
      </c>
      <c r="D177">
        <v>2016</v>
      </c>
      <c r="E177">
        <v>1.254473785454957</v>
      </c>
      <c r="F177">
        <v>0.7341997048160207</v>
      </c>
      <c r="G177">
        <f t="shared" si="2"/>
        <v>-0.52027408063893632</v>
      </c>
      <c r="H177">
        <v>0.40116276873655787</v>
      </c>
    </row>
    <row r="178" spans="1:8" x14ac:dyDescent="0.35">
      <c r="A178" t="s">
        <v>73</v>
      </c>
      <c r="B178" t="s">
        <v>48</v>
      </c>
      <c r="C178" t="s">
        <v>40</v>
      </c>
      <c r="D178">
        <v>2016</v>
      </c>
      <c r="E178">
        <v>1.6816047146198001</v>
      </c>
      <c r="F178">
        <v>0.7341997048160207</v>
      </c>
      <c r="G178">
        <f t="shared" si="2"/>
        <v>-0.9474050098037794</v>
      </c>
      <c r="H178">
        <v>0.40116276873655787</v>
      </c>
    </row>
    <row r="179" spans="1:8" x14ac:dyDescent="0.35">
      <c r="A179" t="s">
        <v>73</v>
      </c>
      <c r="B179" t="s">
        <v>50</v>
      </c>
      <c r="C179" t="s">
        <v>40</v>
      </c>
      <c r="D179">
        <v>2016</v>
      </c>
      <c r="E179">
        <v>1.331417785335498</v>
      </c>
      <c r="F179">
        <v>0.7341997048160207</v>
      </c>
      <c r="G179">
        <f t="shared" si="2"/>
        <v>-0.59721808051947733</v>
      </c>
      <c r="H179">
        <v>0.40116276873655787</v>
      </c>
    </row>
    <row r="180" spans="1:8" x14ac:dyDescent="0.35">
      <c r="A180" t="s">
        <v>73</v>
      </c>
      <c r="B180" t="s">
        <v>49</v>
      </c>
      <c r="C180" t="s">
        <v>38</v>
      </c>
      <c r="D180">
        <v>2017</v>
      </c>
      <c r="E180">
        <v>1.3568331696729889</v>
      </c>
      <c r="F180">
        <v>2.2441414587468929</v>
      </c>
      <c r="G180">
        <f t="shared" si="2"/>
        <v>0.88730828907390391</v>
      </c>
      <c r="H180">
        <v>0.74423388640620014</v>
      </c>
    </row>
    <row r="181" spans="1:8" x14ac:dyDescent="0.35">
      <c r="A181" t="s">
        <v>73</v>
      </c>
      <c r="B181" t="s">
        <v>51</v>
      </c>
      <c r="C181" t="s">
        <v>38</v>
      </c>
      <c r="D181">
        <v>2017</v>
      </c>
      <c r="E181">
        <v>1.6108305416448809</v>
      </c>
      <c r="F181">
        <v>2.2441414587468929</v>
      </c>
      <c r="G181">
        <f t="shared" si="2"/>
        <v>0.63331091710201193</v>
      </c>
      <c r="H181">
        <v>0.74423388640620014</v>
      </c>
    </row>
    <row r="182" spans="1:8" x14ac:dyDescent="0.35">
      <c r="A182" t="s">
        <v>73</v>
      </c>
      <c r="B182" t="s">
        <v>50</v>
      </c>
      <c r="C182" t="s">
        <v>40</v>
      </c>
      <c r="D182">
        <v>2017</v>
      </c>
      <c r="E182">
        <v>1.686145619472357</v>
      </c>
      <c r="F182">
        <v>2.2441414587468929</v>
      </c>
      <c r="G182">
        <f t="shared" si="2"/>
        <v>0.55799583927453589</v>
      </c>
      <c r="H182">
        <v>0.74423388640620014</v>
      </c>
    </row>
    <row r="183" spans="1:8" x14ac:dyDescent="0.35">
      <c r="A183" t="s">
        <v>73</v>
      </c>
      <c r="B183" t="s">
        <v>52</v>
      </c>
      <c r="C183" t="s">
        <v>40</v>
      </c>
      <c r="D183">
        <v>2017</v>
      </c>
      <c r="E183">
        <v>1.353609964652547</v>
      </c>
      <c r="F183">
        <v>2.2441414587468929</v>
      </c>
      <c r="G183">
        <f t="shared" si="2"/>
        <v>0.89053149409434584</v>
      </c>
      <c r="H183">
        <v>0.74423388640620014</v>
      </c>
    </row>
    <row r="184" spans="1:8" x14ac:dyDescent="0.35">
      <c r="A184" t="s">
        <v>73</v>
      </c>
      <c r="B184" t="s">
        <v>51</v>
      </c>
      <c r="C184" t="s">
        <v>38</v>
      </c>
      <c r="D184">
        <v>2018</v>
      </c>
      <c r="E184">
        <v>1.745757461080699</v>
      </c>
      <c r="F184">
        <v>1.5720137685547519</v>
      </c>
      <c r="G184">
        <f t="shared" si="2"/>
        <v>-0.17374369252594701</v>
      </c>
      <c r="H184">
        <v>0.5622454958802221</v>
      </c>
    </row>
    <row r="185" spans="1:8" x14ac:dyDescent="0.35">
      <c r="A185" t="s">
        <v>73</v>
      </c>
      <c r="B185" t="s">
        <v>53</v>
      </c>
      <c r="C185" t="s">
        <v>38</v>
      </c>
      <c r="D185">
        <v>2018</v>
      </c>
      <c r="E185">
        <v>1.6664324661772369</v>
      </c>
      <c r="F185">
        <v>1.5720137685547519</v>
      </c>
      <c r="G185">
        <f t="shared" si="2"/>
        <v>-9.4418697622485004E-2</v>
      </c>
      <c r="H185">
        <v>0.5622454958802221</v>
      </c>
    </row>
    <row r="186" spans="1:8" x14ac:dyDescent="0.35">
      <c r="A186" t="s">
        <v>73</v>
      </c>
      <c r="B186" t="s">
        <v>52</v>
      </c>
      <c r="C186" t="s">
        <v>40</v>
      </c>
      <c r="D186">
        <v>2018</v>
      </c>
      <c r="E186">
        <v>1.72584962487905</v>
      </c>
      <c r="F186">
        <v>1.5720137685547519</v>
      </c>
      <c r="G186">
        <f t="shared" si="2"/>
        <v>-0.15383585632429808</v>
      </c>
      <c r="H186">
        <v>0.5622454958802221</v>
      </c>
    </row>
    <row r="187" spans="1:8" x14ac:dyDescent="0.35">
      <c r="A187" t="s">
        <v>73</v>
      </c>
      <c r="B187" t="s">
        <v>54</v>
      </c>
      <c r="C187" t="s">
        <v>40</v>
      </c>
      <c r="D187">
        <v>2018</v>
      </c>
      <c r="E187">
        <v>1.989603282667241</v>
      </c>
      <c r="F187">
        <v>1.5720137685547519</v>
      </c>
      <c r="G187">
        <f t="shared" si="2"/>
        <v>-0.41758951411248901</v>
      </c>
      <c r="H187">
        <v>0.5622454958802221</v>
      </c>
    </row>
    <row r="188" spans="1:8" x14ac:dyDescent="0.35">
      <c r="A188" t="s">
        <v>73</v>
      </c>
      <c r="B188" t="s">
        <v>53</v>
      </c>
      <c r="C188" t="s">
        <v>38</v>
      </c>
      <c r="D188">
        <v>2019</v>
      </c>
      <c r="E188">
        <v>1.641202261320762</v>
      </c>
      <c r="F188">
        <v>2.0796189403330492</v>
      </c>
      <c r="G188">
        <f t="shared" si="2"/>
        <v>0.4384166790122872</v>
      </c>
      <c r="H188">
        <v>0.89455061740559294</v>
      </c>
    </row>
    <row r="189" spans="1:8" x14ac:dyDescent="0.35">
      <c r="A189" t="s">
        <v>73</v>
      </c>
      <c r="B189" t="s">
        <v>55</v>
      </c>
      <c r="C189" t="s">
        <v>38</v>
      </c>
      <c r="D189">
        <v>2019</v>
      </c>
      <c r="E189">
        <v>1.2870082454169649</v>
      </c>
      <c r="F189">
        <v>2.0796189403330492</v>
      </c>
      <c r="G189">
        <f t="shared" si="2"/>
        <v>0.79261069491608427</v>
      </c>
      <c r="H189">
        <v>0.89455061740559294</v>
      </c>
    </row>
    <row r="190" spans="1:8" x14ac:dyDescent="0.35">
      <c r="A190" t="s">
        <v>73</v>
      </c>
      <c r="B190" t="s">
        <v>54</v>
      </c>
      <c r="C190" t="s">
        <v>40</v>
      </c>
      <c r="D190">
        <v>2019</v>
      </c>
      <c r="E190">
        <v>1.837933157898797</v>
      </c>
      <c r="F190">
        <v>2.0796189403330492</v>
      </c>
      <c r="G190">
        <f t="shared" si="2"/>
        <v>0.24168578243425221</v>
      </c>
      <c r="H190">
        <v>0.89455061740559294</v>
      </c>
    </row>
    <row r="191" spans="1:8" x14ac:dyDescent="0.35">
      <c r="A191" t="s">
        <v>73</v>
      </c>
      <c r="B191" t="s">
        <v>56</v>
      </c>
      <c r="C191" t="s">
        <v>40</v>
      </c>
      <c r="D191">
        <v>2019</v>
      </c>
      <c r="E191">
        <v>1.333589129915191</v>
      </c>
      <c r="F191">
        <v>2.0796189403330492</v>
      </c>
      <c r="G191">
        <f t="shared" si="2"/>
        <v>0.74602981041785821</v>
      </c>
      <c r="H191">
        <v>0.89455061740559294</v>
      </c>
    </row>
    <row r="192" spans="1:8" x14ac:dyDescent="0.35">
      <c r="A192" t="s">
        <v>74</v>
      </c>
      <c r="B192" t="s">
        <v>37</v>
      </c>
      <c r="C192" t="s">
        <v>38</v>
      </c>
      <c r="D192">
        <v>2011</v>
      </c>
      <c r="E192">
        <v>1.085473342594079</v>
      </c>
      <c r="F192">
        <v>1.585963389687955</v>
      </c>
      <c r="G192">
        <f t="shared" si="2"/>
        <v>0.50049004709387601</v>
      </c>
      <c r="H192">
        <v>0.62946516501811001</v>
      </c>
    </row>
    <row r="193" spans="1:8" x14ac:dyDescent="0.35">
      <c r="A193" t="s">
        <v>74</v>
      </c>
      <c r="B193" t="s">
        <v>39</v>
      </c>
      <c r="C193" t="s">
        <v>40</v>
      </c>
      <c r="D193">
        <v>2011</v>
      </c>
      <c r="E193">
        <v>0.64463752068673053</v>
      </c>
      <c r="F193">
        <v>1.585963389687955</v>
      </c>
      <c r="G193">
        <f t="shared" si="2"/>
        <v>0.9413258690012245</v>
      </c>
      <c r="H193">
        <v>0.62946516501811001</v>
      </c>
    </row>
    <row r="194" spans="1:8" x14ac:dyDescent="0.35">
      <c r="A194" t="s">
        <v>74</v>
      </c>
      <c r="B194" t="s">
        <v>37</v>
      </c>
      <c r="C194" t="s">
        <v>38</v>
      </c>
      <c r="D194">
        <v>2012</v>
      </c>
      <c r="E194">
        <v>1.0901130974096951</v>
      </c>
      <c r="F194">
        <v>-0.53795048916406796</v>
      </c>
      <c r="G194">
        <f t="shared" ref="G194:G257" si="3">IF(OR(F194="",E194=""),"",F194-E194)</f>
        <v>-1.6280635865737629</v>
      </c>
      <c r="H194">
        <v>0.80455270009552871</v>
      </c>
    </row>
    <row r="195" spans="1:8" x14ac:dyDescent="0.35">
      <c r="A195" t="s">
        <v>74</v>
      </c>
      <c r="B195" t="s">
        <v>41</v>
      </c>
      <c r="C195" t="s">
        <v>38</v>
      </c>
      <c r="D195">
        <v>2012</v>
      </c>
      <c r="E195">
        <v>0.43127476645701268</v>
      </c>
      <c r="F195">
        <v>-0.53795048916406796</v>
      </c>
      <c r="G195">
        <f t="shared" si="3"/>
        <v>-0.96922525562108064</v>
      </c>
      <c r="H195">
        <v>0.80455270009552871</v>
      </c>
    </row>
    <row r="196" spans="1:8" x14ac:dyDescent="0.35">
      <c r="A196" t="s">
        <v>74</v>
      </c>
      <c r="B196" t="s">
        <v>39</v>
      </c>
      <c r="C196" t="s">
        <v>40</v>
      </c>
      <c r="D196">
        <v>2012</v>
      </c>
      <c r="E196">
        <v>1.915684733449208</v>
      </c>
      <c r="F196">
        <v>-0.53795048916406796</v>
      </c>
      <c r="G196">
        <f t="shared" si="3"/>
        <v>-2.453635222613276</v>
      </c>
      <c r="H196">
        <v>0.80455270009552871</v>
      </c>
    </row>
    <row r="197" spans="1:8" x14ac:dyDescent="0.35">
      <c r="A197" t="s">
        <v>74</v>
      </c>
      <c r="B197" t="s">
        <v>42</v>
      </c>
      <c r="C197" t="s">
        <v>40</v>
      </c>
      <c r="D197">
        <v>2012</v>
      </c>
      <c r="E197">
        <v>0.53448290594637626</v>
      </c>
      <c r="F197">
        <v>-0.53795048916406796</v>
      </c>
      <c r="G197">
        <f t="shared" si="3"/>
        <v>-1.0724333951104441</v>
      </c>
      <c r="H197">
        <v>0.80455270009552871</v>
      </c>
    </row>
    <row r="198" spans="1:8" x14ac:dyDescent="0.35">
      <c r="A198" t="s">
        <v>74</v>
      </c>
      <c r="B198" t="s">
        <v>41</v>
      </c>
      <c r="C198" t="s">
        <v>38</v>
      </c>
      <c r="D198">
        <v>2013</v>
      </c>
      <c r="E198">
        <v>1.055742969234341</v>
      </c>
      <c r="F198">
        <v>2.260800070139938</v>
      </c>
      <c r="G198">
        <f t="shared" si="3"/>
        <v>1.205057100905597</v>
      </c>
      <c r="H198">
        <v>0.8458141491316713</v>
      </c>
    </row>
    <row r="199" spans="1:8" x14ac:dyDescent="0.35">
      <c r="A199" t="s">
        <v>74</v>
      </c>
      <c r="B199" t="s">
        <v>43</v>
      </c>
      <c r="C199" t="s">
        <v>38</v>
      </c>
      <c r="D199">
        <v>2013</v>
      </c>
      <c r="E199">
        <v>0.30402131855349351</v>
      </c>
      <c r="F199">
        <v>2.260800070139938</v>
      </c>
      <c r="G199">
        <f t="shared" si="3"/>
        <v>1.9567787515864445</v>
      </c>
      <c r="H199">
        <v>0.8458141491316713</v>
      </c>
    </row>
    <row r="200" spans="1:8" x14ac:dyDescent="0.35">
      <c r="A200" t="s">
        <v>74</v>
      </c>
      <c r="B200" t="s">
        <v>42</v>
      </c>
      <c r="C200" t="s">
        <v>40</v>
      </c>
      <c r="D200">
        <v>2013</v>
      </c>
      <c r="E200">
        <v>1.9060651556646271</v>
      </c>
      <c r="F200">
        <v>2.260800070139938</v>
      </c>
      <c r="G200">
        <f t="shared" si="3"/>
        <v>0.35473491447531091</v>
      </c>
      <c r="H200">
        <v>0.8458141491316713</v>
      </c>
    </row>
    <row r="201" spans="1:8" x14ac:dyDescent="0.35">
      <c r="A201" t="s">
        <v>74</v>
      </c>
      <c r="B201" t="s">
        <v>44</v>
      </c>
      <c r="C201" t="s">
        <v>40</v>
      </c>
      <c r="D201">
        <v>2013</v>
      </c>
      <c r="E201">
        <v>1.069987927348115</v>
      </c>
      <c r="F201">
        <v>2.260800070139938</v>
      </c>
      <c r="G201">
        <f t="shared" si="3"/>
        <v>1.190812142791823</v>
      </c>
      <c r="H201">
        <v>0.8458141491316713</v>
      </c>
    </row>
    <row r="202" spans="1:8" x14ac:dyDescent="0.35">
      <c r="A202" t="s">
        <v>74</v>
      </c>
      <c r="B202" t="s">
        <v>43</v>
      </c>
      <c r="C202" t="s">
        <v>38</v>
      </c>
      <c r="D202">
        <v>2014</v>
      </c>
      <c r="E202">
        <v>1.703044407164489</v>
      </c>
      <c r="F202">
        <v>9.0504209935939262</v>
      </c>
      <c r="G202">
        <f t="shared" si="3"/>
        <v>7.3473765864294371</v>
      </c>
      <c r="H202">
        <v>0.49439163876765568</v>
      </c>
    </row>
    <row r="203" spans="1:8" x14ac:dyDescent="0.35">
      <c r="A203" t="s">
        <v>74</v>
      </c>
      <c r="B203" t="s">
        <v>45</v>
      </c>
      <c r="C203" t="s">
        <v>38</v>
      </c>
      <c r="D203">
        <v>2014</v>
      </c>
      <c r="E203">
        <v>4.6151910205822766</v>
      </c>
      <c r="F203">
        <v>9.0504209935939262</v>
      </c>
      <c r="G203">
        <f t="shared" si="3"/>
        <v>4.4352299730116496</v>
      </c>
      <c r="H203">
        <v>0.49439163876765568</v>
      </c>
    </row>
    <row r="204" spans="1:8" x14ac:dyDescent="0.35">
      <c r="A204" t="s">
        <v>74</v>
      </c>
      <c r="B204" t="s">
        <v>44</v>
      </c>
      <c r="C204" t="s">
        <v>40</v>
      </c>
      <c r="D204">
        <v>2014</v>
      </c>
      <c r="E204">
        <v>2.1762610607392712</v>
      </c>
      <c r="F204">
        <v>9.0504209935939262</v>
      </c>
      <c r="G204">
        <f t="shared" si="3"/>
        <v>6.8741599328546545</v>
      </c>
      <c r="H204">
        <v>0.49439163876765568</v>
      </c>
    </row>
    <row r="205" spans="1:8" x14ac:dyDescent="0.35">
      <c r="A205" t="s">
        <v>74</v>
      </c>
      <c r="B205" t="s">
        <v>46</v>
      </c>
      <c r="C205" t="s">
        <v>40</v>
      </c>
      <c r="D205">
        <v>2014</v>
      </c>
      <c r="E205">
        <v>1.740487538042057</v>
      </c>
      <c r="F205">
        <v>9.0504209935939262</v>
      </c>
      <c r="G205">
        <f t="shared" si="3"/>
        <v>7.3099334555518691</v>
      </c>
      <c r="H205">
        <v>0.49439163876765568</v>
      </c>
    </row>
    <row r="206" spans="1:8" x14ac:dyDescent="0.35">
      <c r="A206" t="s">
        <v>74</v>
      </c>
      <c r="B206" t="s">
        <v>45</v>
      </c>
      <c r="C206" t="s">
        <v>38</v>
      </c>
      <c r="D206">
        <v>2015</v>
      </c>
      <c r="E206">
        <v>3.6221665910883831</v>
      </c>
      <c r="F206">
        <v>21.950744654507421</v>
      </c>
      <c r="G206">
        <f t="shared" si="3"/>
        <v>18.328578063419037</v>
      </c>
      <c r="H206">
        <v>2.5527266581010271E-2</v>
      </c>
    </row>
    <row r="207" spans="1:8" x14ac:dyDescent="0.35">
      <c r="A207" t="s">
        <v>74</v>
      </c>
      <c r="B207" t="s">
        <v>47</v>
      </c>
      <c r="C207" t="s">
        <v>38</v>
      </c>
      <c r="D207">
        <v>2015</v>
      </c>
      <c r="E207">
        <v>6.0449344943167782</v>
      </c>
      <c r="F207">
        <v>21.950744654507421</v>
      </c>
      <c r="G207">
        <f t="shared" si="3"/>
        <v>15.905810160190644</v>
      </c>
      <c r="H207">
        <v>2.5527266581010271E-2</v>
      </c>
    </row>
    <row r="208" spans="1:8" x14ac:dyDescent="0.35">
      <c r="A208" t="s">
        <v>74</v>
      </c>
      <c r="B208" t="s">
        <v>46</v>
      </c>
      <c r="C208" t="s">
        <v>40</v>
      </c>
      <c r="D208">
        <v>2015</v>
      </c>
      <c r="E208">
        <v>2.99572233370986</v>
      </c>
      <c r="F208">
        <v>21.950744654507421</v>
      </c>
      <c r="G208">
        <f t="shared" si="3"/>
        <v>18.955022320797561</v>
      </c>
      <c r="H208">
        <v>2.5527266581010271E-2</v>
      </c>
    </row>
    <row r="209" spans="1:8" x14ac:dyDescent="0.35">
      <c r="A209" t="s">
        <v>74</v>
      </c>
      <c r="B209" t="s">
        <v>48</v>
      </c>
      <c r="C209" t="s">
        <v>40</v>
      </c>
      <c r="D209">
        <v>2015</v>
      </c>
      <c r="E209">
        <v>3.6070418929936339</v>
      </c>
      <c r="F209">
        <v>21.950744654507421</v>
      </c>
      <c r="G209">
        <f t="shared" si="3"/>
        <v>18.343702761513786</v>
      </c>
      <c r="H209">
        <v>2.5527266581010271E-2</v>
      </c>
    </row>
    <row r="210" spans="1:8" x14ac:dyDescent="0.35">
      <c r="A210" t="s">
        <v>74</v>
      </c>
      <c r="B210" t="s">
        <v>47</v>
      </c>
      <c r="C210" t="s">
        <v>38</v>
      </c>
      <c r="D210">
        <v>2016</v>
      </c>
      <c r="E210">
        <v>4.4841243342324866</v>
      </c>
      <c r="F210">
        <v>1.1725462785856491</v>
      </c>
      <c r="G210">
        <f t="shared" si="3"/>
        <v>-3.3115780556468373</v>
      </c>
      <c r="H210">
        <v>0.25910164240467398</v>
      </c>
    </row>
    <row r="211" spans="1:8" x14ac:dyDescent="0.35">
      <c r="A211" t="s">
        <v>74</v>
      </c>
      <c r="B211" t="s">
        <v>49</v>
      </c>
      <c r="C211" t="s">
        <v>38</v>
      </c>
      <c r="D211">
        <v>2016</v>
      </c>
      <c r="E211">
        <v>4.0884411162628984</v>
      </c>
      <c r="F211">
        <v>1.1725462785856491</v>
      </c>
      <c r="G211">
        <f t="shared" si="3"/>
        <v>-2.9158948376772491</v>
      </c>
      <c r="H211">
        <v>0.25910164240467398</v>
      </c>
    </row>
    <row r="212" spans="1:8" x14ac:dyDescent="0.35">
      <c r="A212" t="s">
        <v>74</v>
      </c>
      <c r="B212" t="s">
        <v>48</v>
      </c>
      <c r="C212" t="s">
        <v>40</v>
      </c>
      <c r="D212">
        <v>2016</v>
      </c>
      <c r="E212">
        <v>3.4764574668220138</v>
      </c>
      <c r="F212">
        <v>1.1725462785856491</v>
      </c>
      <c r="G212">
        <f t="shared" si="3"/>
        <v>-2.3039111882363645</v>
      </c>
      <c r="H212">
        <v>0.25910164240467398</v>
      </c>
    </row>
    <row r="213" spans="1:8" x14ac:dyDescent="0.35">
      <c r="A213" t="s">
        <v>74</v>
      </c>
      <c r="B213" t="s">
        <v>50</v>
      </c>
      <c r="C213" t="s">
        <v>40</v>
      </c>
      <c r="D213">
        <v>2016</v>
      </c>
      <c r="E213">
        <v>4.8687098071762858</v>
      </c>
      <c r="F213">
        <v>1.1725462785856491</v>
      </c>
      <c r="G213">
        <f t="shared" si="3"/>
        <v>-3.6961635285906365</v>
      </c>
      <c r="H213">
        <v>0.25910164240467398</v>
      </c>
    </row>
    <row r="214" spans="1:8" x14ac:dyDescent="0.35">
      <c r="A214" t="s">
        <v>74</v>
      </c>
      <c r="B214" t="s">
        <v>49</v>
      </c>
      <c r="C214" t="s">
        <v>38</v>
      </c>
      <c r="D214">
        <v>2017</v>
      </c>
      <c r="E214">
        <v>3.6014209648164601</v>
      </c>
      <c r="F214">
        <v>9.6242949957613337</v>
      </c>
      <c r="G214">
        <f t="shared" si="3"/>
        <v>6.0228740309448732</v>
      </c>
      <c r="H214">
        <v>0.54612187050093675</v>
      </c>
    </row>
    <row r="215" spans="1:8" x14ac:dyDescent="0.35">
      <c r="A215" t="s">
        <v>74</v>
      </c>
      <c r="B215" t="s">
        <v>51</v>
      </c>
      <c r="C215" t="s">
        <v>38</v>
      </c>
      <c r="D215">
        <v>2017</v>
      </c>
      <c r="E215">
        <v>4.8263025218790556</v>
      </c>
      <c r="F215">
        <v>9.6242949957613337</v>
      </c>
      <c r="G215">
        <f t="shared" si="3"/>
        <v>4.7979924738822781</v>
      </c>
      <c r="H215">
        <v>0.54612187050093675</v>
      </c>
    </row>
    <row r="216" spans="1:8" x14ac:dyDescent="0.35">
      <c r="A216" t="s">
        <v>74</v>
      </c>
      <c r="B216" t="s">
        <v>50</v>
      </c>
      <c r="C216" t="s">
        <v>40</v>
      </c>
      <c r="D216">
        <v>2017</v>
      </c>
      <c r="E216">
        <v>3.6717987560630938</v>
      </c>
      <c r="F216">
        <v>9.6242949957613337</v>
      </c>
      <c r="G216">
        <f t="shared" si="3"/>
        <v>5.9524962396982399</v>
      </c>
      <c r="H216">
        <v>0.54612187050093675</v>
      </c>
    </row>
    <row r="217" spans="1:8" x14ac:dyDescent="0.35">
      <c r="A217" t="s">
        <v>74</v>
      </c>
      <c r="B217" t="s">
        <v>52</v>
      </c>
      <c r="C217" t="s">
        <v>40</v>
      </c>
      <c r="D217">
        <v>2017</v>
      </c>
      <c r="E217">
        <v>3.9509452446526701</v>
      </c>
      <c r="F217">
        <v>9.6242949957613337</v>
      </c>
      <c r="G217">
        <f t="shared" si="3"/>
        <v>5.6733497511086632</v>
      </c>
      <c r="H217">
        <v>0.54612187050093675</v>
      </c>
    </row>
    <row r="218" spans="1:8" x14ac:dyDescent="0.35">
      <c r="A218" t="s">
        <v>74</v>
      </c>
      <c r="B218" t="s">
        <v>51</v>
      </c>
      <c r="C218" t="s">
        <v>38</v>
      </c>
      <c r="D218">
        <v>2018</v>
      </c>
      <c r="E218">
        <v>3.9055452515839528</v>
      </c>
      <c r="F218">
        <v>7.4446874521163222</v>
      </c>
      <c r="G218">
        <f t="shared" si="3"/>
        <v>3.5391422005323694</v>
      </c>
      <c r="H218">
        <v>0.34414813760761909</v>
      </c>
    </row>
    <row r="219" spans="1:8" x14ac:dyDescent="0.35">
      <c r="A219" t="s">
        <v>74</v>
      </c>
      <c r="B219" t="s">
        <v>53</v>
      </c>
      <c r="C219" t="s">
        <v>38</v>
      </c>
      <c r="D219">
        <v>2018</v>
      </c>
      <c r="E219">
        <v>7.8117760082768486</v>
      </c>
      <c r="F219">
        <v>7.4446874521163222</v>
      </c>
      <c r="G219">
        <f t="shared" si="3"/>
        <v>-0.36708855616052638</v>
      </c>
      <c r="H219">
        <v>0.34414813760761909</v>
      </c>
    </row>
    <row r="220" spans="1:8" x14ac:dyDescent="0.35">
      <c r="A220" t="s">
        <v>74</v>
      </c>
      <c r="B220" t="s">
        <v>52</v>
      </c>
      <c r="C220" t="s">
        <v>40</v>
      </c>
      <c r="D220">
        <v>2018</v>
      </c>
      <c r="E220">
        <v>3.6432271266646499</v>
      </c>
      <c r="F220">
        <v>7.4446874521163222</v>
      </c>
      <c r="G220">
        <f t="shared" si="3"/>
        <v>3.8014603254516723</v>
      </c>
      <c r="H220">
        <v>0.34414813760761909</v>
      </c>
    </row>
    <row r="221" spans="1:8" x14ac:dyDescent="0.35">
      <c r="A221" t="s">
        <v>74</v>
      </c>
      <c r="B221" t="s">
        <v>54</v>
      </c>
      <c r="C221" t="s">
        <v>40</v>
      </c>
      <c r="D221">
        <v>2018</v>
      </c>
      <c r="E221">
        <v>5.6808928025538163</v>
      </c>
      <c r="F221">
        <v>7.4446874521163222</v>
      </c>
      <c r="G221">
        <f t="shared" si="3"/>
        <v>1.7637946495625059</v>
      </c>
      <c r="H221">
        <v>0.34414813760761909</v>
      </c>
    </row>
    <row r="222" spans="1:8" x14ac:dyDescent="0.35">
      <c r="A222" t="s">
        <v>74</v>
      </c>
      <c r="B222" t="s">
        <v>53</v>
      </c>
      <c r="C222" t="s">
        <v>38</v>
      </c>
      <c r="D222">
        <v>2019</v>
      </c>
      <c r="E222">
        <v>4.5299756937161373</v>
      </c>
      <c r="F222">
        <v>4.8237638263446936</v>
      </c>
      <c r="G222">
        <f t="shared" si="3"/>
        <v>0.2937881326285563</v>
      </c>
      <c r="H222">
        <v>0.79719383190250992</v>
      </c>
    </row>
    <row r="223" spans="1:8" x14ac:dyDescent="0.35">
      <c r="A223" t="s">
        <v>74</v>
      </c>
      <c r="B223" t="s">
        <v>55</v>
      </c>
      <c r="C223" t="s">
        <v>38</v>
      </c>
      <c r="D223">
        <v>2019</v>
      </c>
      <c r="E223">
        <v>5.6355935792373302</v>
      </c>
      <c r="F223">
        <v>4.8237638263446936</v>
      </c>
      <c r="G223">
        <f t="shared" si="3"/>
        <v>-0.81182975289263659</v>
      </c>
      <c r="H223">
        <v>0.79719383190250992</v>
      </c>
    </row>
    <row r="224" spans="1:8" x14ac:dyDescent="0.35">
      <c r="A224" t="s">
        <v>74</v>
      </c>
      <c r="B224" t="s">
        <v>54</v>
      </c>
      <c r="C224" t="s">
        <v>40</v>
      </c>
      <c r="D224">
        <v>2019</v>
      </c>
      <c r="E224">
        <v>4.058674421459818</v>
      </c>
      <c r="F224">
        <v>4.8237638263446936</v>
      </c>
      <c r="G224">
        <f t="shared" si="3"/>
        <v>0.76508940488487553</v>
      </c>
      <c r="H224">
        <v>0.79719383190250992</v>
      </c>
    </row>
    <row r="225" spans="1:8" x14ac:dyDescent="0.35">
      <c r="A225" t="s">
        <v>74</v>
      </c>
      <c r="B225" t="s">
        <v>56</v>
      </c>
      <c r="C225" t="s">
        <v>40</v>
      </c>
      <c r="D225">
        <v>2019</v>
      </c>
      <c r="E225">
        <v>3.759569376747196</v>
      </c>
      <c r="F225">
        <v>4.8237638263446936</v>
      </c>
      <c r="G225">
        <f t="shared" si="3"/>
        <v>1.0641944495974975</v>
      </c>
      <c r="H225">
        <v>0.79719383190250992</v>
      </c>
    </row>
    <row r="226" spans="1:8" x14ac:dyDescent="0.35">
      <c r="A226" t="s">
        <v>75</v>
      </c>
      <c r="B226" t="s">
        <v>37</v>
      </c>
      <c r="C226" t="s">
        <v>38</v>
      </c>
      <c r="D226">
        <v>2011</v>
      </c>
      <c r="E226">
        <v>0.53999066387708794</v>
      </c>
      <c r="F226">
        <v>0.85331162783846093</v>
      </c>
      <c r="G226">
        <f t="shared" si="3"/>
        <v>0.31332096396137299</v>
      </c>
      <c r="H226">
        <v>0.81763903391524484</v>
      </c>
    </row>
    <row r="227" spans="1:8" x14ac:dyDescent="0.35">
      <c r="A227" t="s">
        <v>75</v>
      </c>
      <c r="B227" t="s">
        <v>39</v>
      </c>
      <c r="C227" t="s">
        <v>40</v>
      </c>
      <c r="D227">
        <v>2011</v>
      </c>
      <c r="E227">
        <v>0.95974398092302238</v>
      </c>
      <c r="F227">
        <v>0.85331162783846093</v>
      </c>
      <c r="G227">
        <f t="shared" si="3"/>
        <v>-0.10643235308456145</v>
      </c>
      <c r="H227">
        <v>0.81763903391524484</v>
      </c>
    </row>
    <row r="228" spans="1:8" x14ac:dyDescent="0.35">
      <c r="A228" t="s">
        <v>75</v>
      </c>
      <c r="B228" t="s">
        <v>37</v>
      </c>
      <c r="C228" t="s">
        <v>38</v>
      </c>
      <c r="D228">
        <v>2012</v>
      </c>
      <c r="E228">
        <v>5.7128352794499897E-2</v>
      </c>
      <c r="F228">
        <v>-3.2265545234223771</v>
      </c>
      <c r="G228">
        <f t="shared" si="3"/>
        <v>-3.283682876216877</v>
      </c>
      <c r="H228">
        <v>0.82627094935362411</v>
      </c>
    </row>
    <row r="229" spans="1:8" x14ac:dyDescent="0.35">
      <c r="A229" t="s">
        <v>75</v>
      </c>
      <c r="B229" t="s">
        <v>41</v>
      </c>
      <c r="C229" t="s">
        <v>38</v>
      </c>
      <c r="D229">
        <v>2012</v>
      </c>
      <c r="E229">
        <v>-2.2867991965167418</v>
      </c>
      <c r="F229">
        <v>-3.2265545234223771</v>
      </c>
      <c r="G229">
        <f t="shared" si="3"/>
        <v>-0.93975532690563535</v>
      </c>
      <c r="H229">
        <v>0.82627094935362411</v>
      </c>
    </row>
    <row r="230" spans="1:8" x14ac:dyDescent="0.35">
      <c r="A230" t="s">
        <v>75</v>
      </c>
      <c r="B230" t="s">
        <v>39</v>
      </c>
      <c r="C230" t="s">
        <v>40</v>
      </c>
      <c r="D230">
        <v>2012</v>
      </c>
      <c r="E230">
        <v>1.314970893331791</v>
      </c>
      <c r="F230">
        <v>-3.2265545234223771</v>
      </c>
      <c r="G230">
        <f t="shared" si="3"/>
        <v>-4.5415254167541681</v>
      </c>
      <c r="H230">
        <v>0.82627094935362411</v>
      </c>
    </row>
    <row r="231" spans="1:8" x14ac:dyDescent="0.35">
      <c r="A231" t="s">
        <v>75</v>
      </c>
      <c r="B231" t="s">
        <v>42</v>
      </c>
      <c r="C231" t="s">
        <v>40</v>
      </c>
      <c r="D231">
        <v>2012</v>
      </c>
      <c r="E231">
        <v>-1.4066091621440899</v>
      </c>
      <c r="F231">
        <v>-3.2265545234223771</v>
      </c>
      <c r="G231">
        <f t="shared" si="3"/>
        <v>-1.8199453612782872</v>
      </c>
      <c r="H231">
        <v>0.82627094935362411</v>
      </c>
    </row>
    <row r="232" spans="1:8" x14ac:dyDescent="0.35">
      <c r="A232" t="s">
        <v>75</v>
      </c>
      <c r="B232" t="s">
        <v>41</v>
      </c>
      <c r="C232" t="s">
        <v>38</v>
      </c>
      <c r="D232">
        <v>2013</v>
      </c>
      <c r="E232">
        <v>-0.54027205249544963</v>
      </c>
      <c r="F232">
        <v>-1.843520911707673</v>
      </c>
      <c r="G232">
        <f t="shared" si="3"/>
        <v>-1.3032488592122233</v>
      </c>
      <c r="H232">
        <v>0.5343188076695039</v>
      </c>
    </row>
    <row r="233" spans="1:8" x14ac:dyDescent="0.35">
      <c r="A233" t="s">
        <v>75</v>
      </c>
      <c r="B233" t="s">
        <v>43</v>
      </c>
      <c r="C233" t="s">
        <v>38</v>
      </c>
      <c r="D233">
        <v>2013</v>
      </c>
      <c r="E233">
        <v>-1.8298929550776939</v>
      </c>
      <c r="F233">
        <v>-1.843520911707673</v>
      </c>
      <c r="G233">
        <f t="shared" si="3"/>
        <v>-1.3627956629979066E-2</v>
      </c>
      <c r="H233">
        <v>0.5343188076695039</v>
      </c>
    </row>
    <row r="234" spans="1:8" x14ac:dyDescent="0.35">
      <c r="A234" t="s">
        <v>75</v>
      </c>
      <c r="B234" t="s">
        <v>42</v>
      </c>
      <c r="C234" t="s">
        <v>40</v>
      </c>
      <c r="D234">
        <v>2013</v>
      </c>
      <c r="E234">
        <v>0.44387559815419753</v>
      </c>
      <c r="F234">
        <v>-1.843520911707673</v>
      </c>
      <c r="G234">
        <f t="shared" si="3"/>
        <v>-2.2873965098618703</v>
      </c>
      <c r="H234">
        <v>0.5343188076695039</v>
      </c>
    </row>
    <row r="235" spans="1:8" x14ac:dyDescent="0.35">
      <c r="A235" t="s">
        <v>75</v>
      </c>
      <c r="B235" t="s">
        <v>44</v>
      </c>
      <c r="C235" t="s">
        <v>40</v>
      </c>
      <c r="D235">
        <v>2013</v>
      </c>
      <c r="E235">
        <v>-1.3409854181595351</v>
      </c>
      <c r="F235">
        <v>-1.843520911707673</v>
      </c>
      <c r="G235">
        <f t="shared" si="3"/>
        <v>-0.50253549354813787</v>
      </c>
      <c r="H235">
        <v>0.5343188076695039</v>
      </c>
    </row>
    <row r="236" spans="1:8" x14ac:dyDescent="0.35">
      <c r="A236" t="s">
        <v>75</v>
      </c>
      <c r="B236" t="s">
        <v>43</v>
      </c>
      <c r="C236" t="s">
        <v>38</v>
      </c>
      <c r="D236">
        <v>2014</v>
      </c>
      <c r="E236">
        <v>0.71082592354936303</v>
      </c>
      <c r="F236">
        <v>7.5233947391528819E-2</v>
      </c>
      <c r="G236">
        <f t="shared" si="3"/>
        <v>-0.63559197615783425</v>
      </c>
      <c r="H236">
        <v>-5.7968247493718331E-2</v>
      </c>
    </row>
    <row r="237" spans="1:8" x14ac:dyDescent="0.35">
      <c r="A237" t="s">
        <v>75</v>
      </c>
      <c r="B237" t="s">
        <v>45</v>
      </c>
      <c r="C237" t="s">
        <v>38</v>
      </c>
      <c r="D237">
        <v>2014</v>
      </c>
      <c r="E237">
        <v>-0.39461096681301377</v>
      </c>
      <c r="F237">
        <v>7.5233947391528819E-2</v>
      </c>
      <c r="G237">
        <f t="shared" si="3"/>
        <v>0.46984491420454261</v>
      </c>
      <c r="H237">
        <v>-5.7968247493718331E-2</v>
      </c>
    </row>
    <row r="238" spans="1:8" x14ac:dyDescent="0.35">
      <c r="A238" t="s">
        <v>75</v>
      </c>
      <c r="B238" t="s">
        <v>44</v>
      </c>
      <c r="C238" t="s">
        <v>40</v>
      </c>
      <c r="D238">
        <v>2014</v>
      </c>
      <c r="E238">
        <v>0.71763548551055933</v>
      </c>
      <c r="F238">
        <v>7.5233947391528819E-2</v>
      </c>
      <c r="G238">
        <f t="shared" si="3"/>
        <v>-0.64240153811903056</v>
      </c>
      <c r="H238">
        <v>-5.7968247493718331E-2</v>
      </c>
    </row>
    <row r="239" spans="1:8" x14ac:dyDescent="0.35">
      <c r="A239" t="s">
        <v>75</v>
      </c>
      <c r="B239" t="s">
        <v>46</v>
      </c>
      <c r="C239" t="s">
        <v>40</v>
      </c>
      <c r="D239">
        <v>2014</v>
      </c>
      <c r="E239">
        <v>0.57096731898795827</v>
      </c>
      <c r="F239">
        <v>7.5233947391528819E-2</v>
      </c>
      <c r="G239">
        <f t="shared" si="3"/>
        <v>-0.49573337159642944</v>
      </c>
      <c r="H239">
        <v>-5.7968247493718331E-2</v>
      </c>
    </row>
    <row r="240" spans="1:8" x14ac:dyDescent="0.35">
      <c r="A240" t="s">
        <v>75</v>
      </c>
      <c r="B240" t="s">
        <v>45</v>
      </c>
      <c r="C240" t="s">
        <v>38</v>
      </c>
      <c r="D240">
        <v>2015</v>
      </c>
      <c r="E240">
        <v>0.62872973894907425</v>
      </c>
      <c r="F240">
        <v>0.74285153390220071</v>
      </c>
      <c r="G240">
        <f t="shared" si="3"/>
        <v>0.11412179495312647</v>
      </c>
      <c r="H240">
        <v>9.8406764384742884E-2</v>
      </c>
    </row>
    <row r="241" spans="1:8" x14ac:dyDescent="0.35">
      <c r="A241" t="s">
        <v>75</v>
      </c>
      <c r="B241" t="s">
        <v>47</v>
      </c>
      <c r="C241" t="s">
        <v>38</v>
      </c>
      <c r="D241">
        <v>2015</v>
      </c>
      <c r="E241">
        <v>0.86665350989461043</v>
      </c>
      <c r="F241">
        <v>0.74285153390220071</v>
      </c>
      <c r="G241">
        <f t="shared" si="3"/>
        <v>-0.12380197599240972</v>
      </c>
      <c r="H241">
        <v>9.8406764384742884E-2</v>
      </c>
    </row>
    <row r="242" spans="1:8" x14ac:dyDescent="0.35">
      <c r="A242" t="s">
        <v>75</v>
      </c>
      <c r="B242" t="s">
        <v>46</v>
      </c>
      <c r="C242" t="s">
        <v>40</v>
      </c>
      <c r="D242">
        <v>2015</v>
      </c>
      <c r="E242">
        <v>1.229987574853153</v>
      </c>
      <c r="F242">
        <v>0.74285153390220071</v>
      </c>
      <c r="G242">
        <f t="shared" si="3"/>
        <v>-0.48713604095095231</v>
      </c>
      <c r="H242">
        <v>9.8406764384742884E-2</v>
      </c>
    </row>
    <row r="243" spans="1:8" x14ac:dyDescent="0.35">
      <c r="A243" t="s">
        <v>75</v>
      </c>
      <c r="B243" t="s">
        <v>48</v>
      </c>
      <c r="C243" t="s">
        <v>40</v>
      </c>
      <c r="D243">
        <v>2015</v>
      </c>
      <c r="E243">
        <v>0.6068597463795955</v>
      </c>
      <c r="F243">
        <v>0.74285153390220071</v>
      </c>
      <c r="G243">
        <f t="shared" si="3"/>
        <v>0.13599178752260521</v>
      </c>
      <c r="H243">
        <v>9.8406764384742884E-2</v>
      </c>
    </row>
    <row r="244" spans="1:8" x14ac:dyDescent="0.35">
      <c r="A244" t="s">
        <v>75</v>
      </c>
      <c r="B244" t="s">
        <v>47</v>
      </c>
      <c r="C244" t="s">
        <v>38</v>
      </c>
      <c r="D244">
        <v>2016</v>
      </c>
      <c r="E244">
        <v>1.4512761867371271</v>
      </c>
      <c r="F244">
        <v>1.34543552139666</v>
      </c>
      <c r="G244">
        <f t="shared" si="3"/>
        <v>-0.1058406653404671</v>
      </c>
      <c r="H244">
        <v>9.8047794412941008E-2</v>
      </c>
    </row>
    <row r="245" spans="1:8" x14ac:dyDescent="0.35">
      <c r="A245" t="s">
        <v>75</v>
      </c>
      <c r="B245" t="s">
        <v>49</v>
      </c>
      <c r="C245" t="s">
        <v>38</v>
      </c>
      <c r="D245">
        <v>2016</v>
      </c>
      <c r="E245">
        <v>0.70784283945437565</v>
      </c>
      <c r="F245">
        <v>1.34543552139666</v>
      </c>
      <c r="G245">
        <f t="shared" si="3"/>
        <v>0.63759268194228436</v>
      </c>
      <c r="H245">
        <v>9.8047794412941008E-2</v>
      </c>
    </row>
    <row r="246" spans="1:8" x14ac:dyDescent="0.35">
      <c r="A246" t="s">
        <v>75</v>
      </c>
      <c r="B246" t="s">
        <v>48</v>
      </c>
      <c r="C246" t="s">
        <v>40</v>
      </c>
      <c r="D246">
        <v>2016</v>
      </c>
      <c r="E246">
        <v>1.4109778499366681</v>
      </c>
      <c r="F246">
        <v>1.34543552139666</v>
      </c>
      <c r="G246">
        <f t="shared" si="3"/>
        <v>-6.5542328540008077E-2</v>
      </c>
      <c r="H246">
        <v>9.8047794412941008E-2</v>
      </c>
    </row>
    <row r="247" spans="1:8" x14ac:dyDescent="0.35">
      <c r="A247" t="s">
        <v>75</v>
      </c>
      <c r="B247" t="s">
        <v>50</v>
      </c>
      <c r="C247" t="s">
        <v>40</v>
      </c>
      <c r="D247">
        <v>2016</v>
      </c>
      <c r="E247">
        <v>1.090462780977397</v>
      </c>
      <c r="F247">
        <v>1.34543552139666</v>
      </c>
      <c r="G247">
        <f t="shared" si="3"/>
        <v>0.25497274041926299</v>
      </c>
      <c r="H247">
        <v>9.8047794412941008E-2</v>
      </c>
    </row>
    <row r="248" spans="1:8" x14ac:dyDescent="0.35">
      <c r="A248" t="s">
        <v>75</v>
      </c>
      <c r="B248" t="s">
        <v>49</v>
      </c>
      <c r="C248" t="s">
        <v>38</v>
      </c>
      <c r="D248">
        <v>2017</v>
      </c>
      <c r="E248">
        <v>0.90288361690229468</v>
      </c>
      <c r="F248">
        <v>1.6777714333363121</v>
      </c>
      <c r="G248">
        <f t="shared" si="3"/>
        <v>0.77488781643401738</v>
      </c>
      <c r="H248">
        <v>0.4915804129855248</v>
      </c>
    </row>
    <row r="249" spans="1:8" x14ac:dyDescent="0.35">
      <c r="A249" t="s">
        <v>75</v>
      </c>
      <c r="B249" t="s">
        <v>51</v>
      </c>
      <c r="C249" t="s">
        <v>38</v>
      </c>
      <c r="D249">
        <v>2017</v>
      </c>
      <c r="E249">
        <v>1.454734323287576</v>
      </c>
      <c r="F249">
        <v>1.6777714333363121</v>
      </c>
      <c r="G249">
        <f t="shared" si="3"/>
        <v>0.22303711004873605</v>
      </c>
      <c r="H249">
        <v>0.4915804129855248</v>
      </c>
    </row>
    <row r="250" spans="1:8" x14ac:dyDescent="0.35">
      <c r="A250" t="s">
        <v>75</v>
      </c>
      <c r="B250" t="s">
        <v>50</v>
      </c>
      <c r="C250" t="s">
        <v>40</v>
      </c>
      <c r="D250">
        <v>2017</v>
      </c>
      <c r="E250">
        <v>1.33546021526687</v>
      </c>
      <c r="F250">
        <v>1.6777714333363121</v>
      </c>
      <c r="G250">
        <f t="shared" si="3"/>
        <v>0.34231121806944209</v>
      </c>
      <c r="H250">
        <v>0.4915804129855248</v>
      </c>
    </row>
    <row r="251" spans="1:8" x14ac:dyDescent="0.35">
      <c r="A251" t="s">
        <v>75</v>
      </c>
      <c r="B251" t="s">
        <v>52</v>
      </c>
      <c r="C251" t="s">
        <v>40</v>
      </c>
      <c r="D251">
        <v>2017</v>
      </c>
      <c r="E251">
        <v>0.92886361941262319</v>
      </c>
      <c r="F251">
        <v>1.6777714333363121</v>
      </c>
      <c r="G251">
        <f t="shared" si="3"/>
        <v>0.74890781392368888</v>
      </c>
      <c r="H251">
        <v>0.4915804129855248</v>
      </c>
    </row>
    <row r="252" spans="1:8" x14ac:dyDescent="0.35">
      <c r="A252" t="s">
        <v>75</v>
      </c>
      <c r="B252" t="s">
        <v>51</v>
      </c>
      <c r="C252" t="s">
        <v>38</v>
      </c>
      <c r="D252">
        <v>2018</v>
      </c>
      <c r="E252">
        <v>1.301033595779133</v>
      </c>
      <c r="F252">
        <v>0.67915616097696463</v>
      </c>
      <c r="G252">
        <f t="shared" si="3"/>
        <v>-0.62187743480216839</v>
      </c>
      <c r="H252">
        <v>0.58027035190863618</v>
      </c>
    </row>
    <row r="253" spans="1:8" x14ac:dyDescent="0.35">
      <c r="A253" t="s">
        <v>75</v>
      </c>
      <c r="B253" t="s">
        <v>53</v>
      </c>
      <c r="C253" t="s">
        <v>38</v>
      </c>
      <c r="D253">
        <v>2018</v>
      </c>
      <c r="E253">
        <v>1.148974792689472</v>
      </c>
      <c r="F253">
        <v>0.67915616097696463</v>
      </c>
      <c r="G253">
        <f t="shared" si="3"/>
        <v>-0.46981863171250737</v>
      </c>
      <c r="H253">
        <v>0.58027035190863618</v>
      </c>
    </row>
    <row r="254" spans="1:8" x14ac:dyDescent="0.35">
      <c r="A254" t="s">
        <v>75</v>
      </c>
      <c r="B254" t="s">
        <v>52</v>
      </c>
      <c r="C254" t="s">
        <v>40</v>
      </c>
      <c r="D254">
        <v>2018</v>
      </c>
      <c r="E254">
        <v>1.1322194305175119</v>
      </c>
      <c r="F254">
        <v>0.67915616097696463</v>
      </c>
      <c r="G254">
        <f t="shared" si="3"/>
        <v>-0.45306326954054732</v>
      </c>
      <c r="H254">
        <v>0.58027035190863618</v>
      </c>
    </row>
    <row r="255" spans="1:8" x14ac:dyDescent="0.35">
      <c r="A255" t="s">
        <v>75</v>
      </c>
      <c r="B255" t="s">
        <v>54</v>
      </c>
      <c r="C255" t="s">
        <v>40</v>
      </c>
      <c r="D255">
        <v>2018</v>
      </c>
      <c r="E255">
        <v>1.453547985332837</v>
      </c>
      <c r="F255">
        <v>0.67915616097696463</v>
      </c>
      <c r="G255">
        <f t="shared" si="3"/>
        <v>-0.77439182435587239</v>
      </c>
      <c r="H255">
        <v>0.58027035190863618</v>
      </c>
    </row>
    <row r="256" spans="1:8" x14ac:dyDescent="0.35">
      <c r="A256" t="s">
        <v>75</v>
      </c>
      <c r="B256" t="s">
        <v>53</v>
      </c>
      <c r="C256" t="s">
        <v>38</v>
      </c>
      <c r="D256">
        <v>2019</v>
      </c>
      <c r="E256">
        <v>1.1508168253350211</v>
      </c>
      <c r="F256">
        <v>0.41751152968335331</v>
      </c>
      <c r="G256">
        <f t="shared" si="3"/>
        <v>-0.73330529565166769</v>
      </c>
      <c r="H256">
        <v>0.91222891503210513</v>
      </c>
    </row>
    <row r="257" spans="1:8" x14ac:dyDescent="0.35">
      <c r="A257" t="s">
        <v>75</v>
      </c>
      <c r="B257" t="s">
        <v>55</v>
      </c>
      <c r="C257" t="s">
        <v>38</v>
      </c>
      <c r="D257">
        <v>2019</v>
      </c>
      <c r="E257">
        <v>0.1046834039854172</v>
      </c>
      <c r="F257">
        <v>0.41751152968335331</v>
      </c>
      <c r="G257">
        <f t="shared" si="3"/>
        <v>0.31282812569793611</v>
      </c>
      <c r="H257">
        <v>0.91222891503210513</v>
      </c>
    </row>
    <row r="258" spans="1:8" x14ac:dyDescent="0.35">
      <c r="A258" t="s">
        <v>75</v>
      </c>
      <c r="B258" t="s">
        <v>54</v>
      </c>
      <c r="C258" t="s">
        <v>40</v>
      </c>
      <c r="D258">
        <v>2019</v>
      </c>
      <c r="E258">
        <v>1.208894526316961</v>
      </c>
      <c r="F258">
        <v>0.41751152968335331</v>
      </c>
      <c r="G258">
        <f t="shared" ref="G258:G313" si="4">IF(OR(F258="",E258=""),"",F258-E258)</f>
        <v>-0.79138299663360767</v>
      </c>
      <c r="H258">
        <v>0.91222891503210513</v>
      </c>
    </row>
    <row r="259" spans="1:8" x14ac:dyDescent="0.35">
      <c r="A259" t="s">
        <v>75</v>
      </c>
      <c r="B259" t="s">
        <v>56</v>
      </c>
      <c r="C259" t="s">
        <v>40</v>
      </c>
      <c r="D259">
        <v>2019</v>
      </c>
      <c r="E259">
        <v>0.1006276066420453</v>
      </c>
      <c r="F259">
        <v>0.41751152968335331</v>
      </c>
      <c r="G259">
        <f t="shared" si="4"/>
        <v>0.31688392304130802</v>
      </c>
      <c r="H259">
        <v>0.91222891503210513</v>
      </c>
    </row>
    <row r="260" spans="1:8" x14ac:dyDescent="0.35">
      <c r="A260" t="s">
        <v>76</v>
      </c>
      <c r="B260" t="s">
        <v>37</v>
      </c>
      <c r="C260" t="s">
        <v>38</v>
      </c>
      <c r="D260">
        <v>2011</v>
      </c>
      <c r="E260">
        <v>1.8081352289394561</v>
      </c>
      <c r="F260">
        <v>1.763265804751377</v>
      </c>
      <c r="G260">
        <f t="shared" si="4"/>
        <v>-4.4869424188079154E-2</v>
      </c>
      <c r="H260">
        <v>0.93333849233642174</v>
      </c>
    </row>
    <row r="261" spans="1:8" x14ac:dyDescent="0.35">
      <c r="A261" t="s">
        <v>76</v>
      </c>
      <c r="B261" t="s">
        <v>39</v>
      </c>
      <c r="C261" t="s">
        <v>40</v>
      </c>
      <c r="D261">
        <v>2011</v>
      </c>
      <c r="E261">
        <v>1.926005162138456</v>
      </c>
      <c r="F261">
        <v>1.763265804751377</v>
      </c>
      <c r="G261">
        <f t="shared" si="4"/>
        <v>-0.16273935738707901</v>
      </c>
      <c r="H261">
        <v>0.93333849233642174</v>
      </c>
    </row>
    <row r="262" spans="1:8" x14ac:dyDescent="0.35">
      <c r="A262" t="s">
        <v>76</v>
      </c>
      <c r="B262" t="s">
        <v>37</v>
      </c>
      <c r="C262" t="s">
        <v>38</v>
      </c>
      <c r="D262">
        <v>2012</v>
      </c>
      <c r="E262">
        <v>0.49861923570131422</v>
      </c>
      <c r="F262">
        <v>-0.98761966818776048</v>
      </c>
      <c r="G262">
        <f t="shared" si="4"/>
        <v>-1.4862389038890746</v>
      </c>
      <c r="H262">
        <v>0.8351428698232144</v>
      </c>
    </row>
    <row r="263" spans="1:8" x14ac:dyDescent="0.35">
      <c r="A263" t="s">
        <v>76</v>
      </c>
      <c r="B263" t="s">
        <v>41</v>
      </c>
      <c r="C263" t="s">
        <v>38</v>
      </c>
      <c r="D263">
        <v>2012</v>
      </c>
      <c r="E263">
        <v>-0.28000741980042099</v>
      </c>
      <c r="F263">
        <v>-0.98761966818776048</v>
      </c>
      <c r="G263">
        <f t="shared" si="4"/>
        <v>-0.70761224838733949</v>
      </c>
      <c r="H263">
        <v>0.8351428698232144</v>
      </c>
    </row>
    <row r="264" spans="1:8" x14ac:dyDescent="0.35">
      <c r="A264" t="s">
        <v>76</v>
      </c>
      <c r="B264" t="s">
        <v>39</v>
      </c>
      <c r="C264" t="s">
        <v>40</v>
      </c>
      <c r="D264">
        <v>2012</v>
      </c>
      <c r="E264">
        <v>1.661047212655653</v>
      </c>
      <c r="F264">
        <v>-0.98761966818776048</v>
      </c>
      <c r="G264">
        <f t="shared" si="4"/>
        <v>-2.6486668808434137</v>
      </c>
      <c r="H264">
        <v>0.8351428698232144</v>
      </c>
    </row>
    <row r="265" spans="1:8" x14ac:dyDescent="0.35">
      <c r="A265" t="s">
        <v>76</v>
      </c>
      <c r="B265" t="s">
        <v>42</v>
      </c>
      <c r="C265" t="s">
        <v>40</v>
      </c>
      <c r="D265">
        <v>2012</v>
      </c>
      <c r="E265">
        <v>-0.88737458554019044</v>
      </c>
      <c r="F265">
        <v>-0.98761966818776048</v>
      </c>
      <c r="G265">
        <f t="shared" si="4"/>
        <v>-0.10024508264757004</v>
      </c>
      <c r="H265">
        <v>0.8351428698232144</v>
      </c>
    </row>
    <row r="266" spans="1:8" x14ac:dyDescent="0.35">
      <c r="A266" t="s">
        <v>76</v>
      </c>
      <c r="B266" t="s">
        <v>41</v>
      </c>
      <c r="C266" t="s">
        <v>38</v>
      </c>
      <c r="D266">
        <v>2013</v>
      </c>
      <c r="E266">
        <v>0.25101306409311958</v>
      </c>
      <c r="F266">
        <v>1.2707283722487859E-2</v>
      </c>
      <c r="G266">
        <f t="shared" si="4"/>
        <v>-0.23830578037063171</v>
      </c>
      <c r="H266">
        <v>0.56214323194141969</v>
      </c>
    </row>
    <row r="267" spans="1:8" x14ac:dyDescent="0.35">
      <c r="A267" t="s">
        <v>76</v>
      </c>
      <c r="B267" t="s">
        <v>43</v>
      </c>
      <c r="C267" t="s">
        <v>38</v>
      </c>
      <c r="D267">
        <v>2013</v>
      </c>
      <c r="E267">
        <v>-0.9800045037945293</v>
      </c>
      <c r="F267">
        <v>1.2707283722487859E-2</v>
      </c>
      <c r="G267">
        <f t="shared" si="4"/>
        <v>0.99271178751701716</v>
      </c>
      <c r="H267">
        <v>0.56214323194141969</v>
      </c>
    </row>
    <row r="268" spans="1:8" x14ac:dyDescent="0.35">
      <c r="A268" t="s">
        <v>76</v>
      </c>
      <c r="B268" t="s">
        <v>42</v>
      </c>
      <c r="C268" t="s">
        <v>40</v>
      </c>
      <c r="D268">
        <v>2013</v>
      </c>
      <c r="E268">
        <v>0.70707026821927865</v>
      </c>
      <c r="F268">
        <v>1.2707283722487859E-2</v>
      </c>
      <c r="G268">
        <f t="shared" si="4"/>
        <v>-0.69436298449679079</v>
      </c>
      <c r="H268">
        <v>0.56214323194141969</v>
      </c>
    </row>
    <row r="269" spans="1:8" x14ac:dyDescent="0.35">
      <c r="A269" t="s">
        <v>76</v>
      </c>
      <c r="B269" t="s">
        <v>44</v>
      </c>
      <c r="C269" t="s">
        <v>40</v>
      </c>
      <c r="D269">
        <v>2013</v>
      </c>
      <c r="E269">
        <v>-0.79000434577850553</v>
      </c>
      <c r="F269">
        <v>1.2707283722487859E-2</v>
      </c>
      <c r="G269">
        <f t="shared" si="4"/>
        <v>0.8027116295009934</v>
      </c>
      <c r="H269">
        <v>0.56214323194141969</v>
      </c>
    </row>
    <row r="270" spans="1:8" x14ac:dyDescent="0.35">
      <c r="A270" t="s">
        <v>76</v>
      </c>
      <c r="B270" t="s">
        <v>43</v>
      </c>
      <c r="C270" t="s">
        <v>38</v>
      </c>
      <c r="D270">
        <v>2014</v>
      </c>
      <c r="E270">
        <v>0.2460103096358246</v>
      </c>
      <c r="F270">
        <v>1.6013721912486829</v>
      </c>
      <c r="G270">
        <f t="shared" si="4"/>
        <v>1.3553618816128583</v>
      </c>
      <c r="H270">
        <v>-0.14283084201054749</v>
      </c>
    </row>
    <row r="271" spans="1:8" x14ac:dyDescent="0.35">
      <c r="A271" t="s">
        <v>76</v>
      </c>
      <c r="B271" t="s">
        <v>45</v>
      </c>
      <c r="C271" t="s">
        <v>38</v>
      </c>
      <c r="D271">
        <v>2014</v>
      </c>
      <c r="E271">
        <v>0.87813009513062479</v>
      </c>
      <c r="F271">
        <v>1.6013721912486829</v>
      </c>
      <c r="G271">
        <f t="shared" si="4"/>
        <v>0.72324209611805812</v>
      </c>
      <c r="H271">
        <v>-0.14283084201054749</v>
      </c>
    </row>
    <row r="272" spans="1:8" x14ac:dyDescent="0.35">
      <c r="A272" t="s">
        <v>76</v>
      </c>
      <c r="B272" t="s">
        <v>44</v>
      </c>
      <c r="C272" t="s">
        <v>40</v>
      </c>
      <c r="D272">
        <v>2014</v>
      </c>
      <c r="E272">
        <v>0.89594425952546075</v>
      </c>
      <c r="F272">
        <v>1.6013721912486829</v>
      </c>
      <c r="G272">
        <f t="shared" si="4"/>
        <v>0.70542793172322216</v>
      </c>
      <c r="H272">
        <v>-0.14283084201054749</v>
      </c>
    </row>
    <row r="273" spans="1:8" x14ac:dyDescent="0.35">
      <c r="A273" t="s">
        <v>76</v>
      </c>
      <c r="B273" t="s">
        <v>46</v>
      </c>
      <c r="C273" t="s">
        <v>40</v>
      </c>
      <c r="D273">
        <v>2014</v>
      </c>
      <c r="E273">
        <v>1.1634467886850299</v>
      </c>
      <c r="F273">
        <v>1.6013721912486829</v>
      </c>
      <c r="G273">
        <f t="shared" si="4"/>
        <v>0.43792540256365298</v>
      </c>
      <c r="H273">
        <v>-0.14283084201054749</v>
      </c>
    </row>
    <row r="274" spans="1:8" x14ac:dyDescent="0.35">
      <c r="A274" t="s">
        <v>76</v>
      </c>
      <c r="B274" t="s">
        <v>45</v>
      </c>
      <c r="C274" t="s">
        <v>38</v>
      </c>
      <c r="D274">
        <v>2015</v>
      </c>
      <c r="E274">
        <v>1.4152411951803721</v>
      </c>
      <c r="F274">
        <v>2.075992985655045</v>
      </c>
      <c r="G274">
        <f t="shared" si="4"/>
        <v>0.66075179047467292</v>
      </c>
      <c r="H274">
        <v>0.17899868226077459</v>
      </c>
    </row>
    <row r="275" spans="1:8" x14ac:dyDescent="0.35">
      <c r="A275" t="s">
        <v>76</v>
      </c>
      <c r="B275" t="s">
        <v>47</v>
      </c>
      <c r="C275" t="s">
        <v>38</v>
      </c>
      <c r="D275">
        <v>2015</v>
      </c>
      <c r="E275">
        <v>2.048080115775686</v>
      </c>
      <c r="F275">
        <v>2.075992985655045</v>
      </c>
      <c r="G275">
        <f t="shared" si="4"/>
        <v>2.7912869879358926E-2</v>
      </c>
      <c r="H275">
        <v>0.17899868226077459</v>
      </c>
    </row>
    <row r="276" spans="1:8" x14ac:dyDescent="0.35">
      <c r="A276" t="s">
        <v>76</v>
      </c>
      <c r="B276" t="s">
        <v>46</v>
      </c>
      <c r="C276" t="s">
        <v>40</v>
      </c>
      <c r="D276">
        <v>2015</v>
      </c>
      <c r="E276">
        <v>1.3587126188379759</v>
      </c>
      <c r="F276">
        <v>2.075992985655045</v>
      </c>
      <c r="G276">
        <f t="shared" si="4"/>
        <v>0.71728036681706908</v>
      </c>
      <c r="H276">
        <v>0.17899868226077459</v>
      </c>
    </row>
    <row r="277" spans="1:8" x14ac:dyDescent="0.35">
      <c r="A277" t="s">
        <v>76</v>
      </c>
      <c r="B277" t="s">
        <v>48</v>
      </c>
      <c r="C277" t="s">
        <v>40</v>
      </c>
      <c r="D277">
        <v>2015</v>
      </c>
      <c r="E277">
        <v>1.634744403265187</v>
      </c>
      <c r="F277">
        <v>2.075992985655045</v>
      </c>
      <c r="G277">
        <f t="shared" si="4"/>
        <v>0.44124858238985798</v>
      </c>
      <c r="H277">
        <v>0.17899868226077459</v>
      </c>
    </row>
    <row r="278" spans="1:8" x14ac:dyDescent="0.35">
      <c r="A278" t="s">
        <v>76</v>
      </c>
      <c r="B278" t="s">
        <v>47</v>
      </c>
      <c r="C278" t="s">
        <v>38</v>
      </c>
      <c r="D278">
        <v>2016</v>
      </c>
      <c r="E278">
        <v>2.1325986777734669</v>
      </c>
      <c r="F278">
        <v>2.3909782656438301</v>
      </c>
      <c r="G278">
        <f t="shared" si="4"/>
        <v>0.25837958787036319</v>
      </c>
      <c r="H278">
        <v>0.60727245053268153</v>
      </c>
    </row>
    <row r="279" spans="1:8" x14ac:dyDescent="0.35">
      <c r="A279" t="s">
        <v>76</v>
      </c>
      <c r="B279" t="s">
        <v>49</v>
      </c>
      <c r="C279" t="s">
        <v>38</v>
      </c>
      <c r="D279">
        <v>2016</v>
      </c>
      <c r="E279">
        <v>1.6589744219452249</v>
      </c>
      <c r="F279">
        <v>2.3909782656438301</v>
      </c>
      <c r="G279">
        <f t="shared" si="4"/>
        <v>0.73200384369860516</v>
      </c>
      <c r="H279">
        <v>0.60727245053268153</v>
      </c>
    </row>
    <row r="280" spans="1:8" x14ac:dyDescent="0.35">
      <c r="A280" t="s">
        <v>76</v>
      </c>
      <c r="B280" t="s">
        <v>48</v>
      </c>
      <c r="C280" t="s">
        <v>40</v>
      </c>
      <c r="D280">
        <v>2016</v>
      </c>
      <c r="E280">
        <v>1.7327119888610909</v>
      </c>
      <c r="F280">
        <v>2.3909782656438301</v>
      </c>
      <c r="G280">
        <f t="shared" si="4"/>
        <v>0.65826627678273919</v>
      </c>
      <c r="H280">
        <v>0.60727245053268153</v>
      </c>
    </row>
    <row r="281" spans="1:8" x14ac:dyDescent="0.35">
      <c r="A281" t="s">
        <v>76</v>
      </c>
      <c r="B281" t="s">
        <v>50</v>
      </c>
      <c r="C281" t="s">
        <v>40</v>
      </c>
      <c r="D281">
        <v>2016</v>
      </c>
      <c r="E281">
        <v>1.6774792555238389</v>
      </c>
      <c r="F281">
        <v>2.3909782656438301</v>
      </c>
      <c r="G281">
        <f t="shared" si="4"/>
        <v>0.71349901011999117</v>
      </c>
      <c r="H281">
        <v>0.60727245053268153</v>
      </c>
    </row>
    <row r="282" spans="1:8" x14ac:dyDescent="0.35">
      <c r="A282" t="s">
        <v>76</v>
      </c>
      <c r="B282" t="s">
        <v>49</v>
      </c>
      <c r="C282" t="s">
        <v>38</v>
      </c>
      <c r="D282">
        <v>2017</v>
      </c>
      <c r="E282">
        <v>1.6517530585588249</v>
      </c>
      <c r="F282">
        <v>2.7431906089065579</v>
      </c>
      <c r="G282">
        <f t="shared" si="4"/>
        <v>1.0914375503477329</v>
      </c>
      <c r="H282">
        <v>0.79840954303689304</v>
      </c>
    </row>
    <row r="283" spans="1:8" x14ac:dyDescent="0.35">
      <c r="A283" t="s">
        <v>76</v>
      </c>
      <c r="B283" t="s">
        <v>51</v>
      </c>
      <c r="C283" t="s">
        <v>38</v>
      </c>
      <c r="D283">
        <v>2017</v>
      </c>
      <c r="E283">
        <v>3.2081591137887999</v>
      </c>
      <c r="F283">
        <v>2.7431906089065579</v>
      </c>
      <c r="G283">
        <f t="shared" si="4"/>
        <v>-0.46496850488224206</v>
      </c>
      <c r="H283">
        <v>0.79840954303689304</v>
      </c>
    </row>
    <row r="284" spans="1:8" x14ac:dyDescent="0.35">
      <c r="A284" t="s">
        <v>76</v>
      </c>
      <c r="B284" t="s">
        <v>50</v>
      </c>
      <c r="C284" t="s">
        <v>40</v>
      </c>
      <c r="D284">
        <v>2017</v>
      </c>
      <c r="E284">
        <v>1.9694041267229729</v>
      </c>
      <c r="F284">
        <v>2.7431906089065579</v>
      </c>
      <c r="G284">
        <f t="shared" si="4"/>
        <v>0.77378648218358492</v>
      </c>
      <c r="H284">
        <v>0.79840954303689304</v>
      </c>
    </row>
    <row r="285" spans="1:8" x14ac:dyDescent="0.35">
      <c r="A285" t="s">
        <v>76</v>
      </c>
      <c r="B285" t="s">
        <v>52</v>
      </c>
      <c r="C285" t="s">
        <v>40</v>
      </c>
      <c r="D285">
        <v>2017</v>
      </c>
      <c r="E285">
        <v>2.1108256212513781</v>
      </c>
      <c r="F285">
        <v>2.7431906089065579</v>
      </c>
      <c r="G285">
        <f t="shared" si="4"/>
        <v>0.63236498765517979</v>
      </c>
      <c r="H285">
        <v>0.79840954303689304</v>
      </c>
    </row>
    <row r="286" spans="1:8" x14ac:dyDescent="0.35">
      <c r="A286" t="s">
        <v>76</v>
      </c>
      <c r="B286" t="s">
        <v>51</v>
      </c>
      <c r="C286" t="s">
        <v>38</v>
      </c>
      <c r="D286">
        <v>2018</v>
      </c>
      <c r="E286">
        <v>2.719855882122268</v>
      </c>
      <c r="F286">
        <v>2.2276489335745251</v>
      </c>
      <c r="G286">
        <f t="shared" si="4"/>
        <v>-0.49220694854774294</v>
      </c>
      <c r="H286">
        <v>0.59845318384970081</v>
      </c>
    </row>
    <row r="287" spans="1:8" x14ac:dyDescent="0.35">
      <c r="A287" t="s">
        <v>76</v>
      </c>
      <c r="B287" t="s">
        <v>53</v>
      </c>
      <c r="C287" t="s">
        <v>38</v>
      </c>
      <c r="D287">
        <v>2018</v>
      </c>
      <c r="E287">
        <v>2.836804692292016</v>
      </c>
      <c r="F287">
        <v>2.2276489335745251</v>
      </c>
      <c r="G287">
        <f t="shared" si="4"/>
        <v>-0.60915575871749095</v>
      </c>
      <c r="H287">
        <v>0.59845318384970081</v>
      </c>
    </row>
    <row r="288" spans="1:8" x14ac:dyDescent="0.35">
      <c r="A288" t="s">
        <v>76</v>
      </c>
      <c r="B288" t="s">
        <v>52</v>
      </c>
      <c r="C288" t="s">
        <v>40</v>
      </c>
      <c r="D288">
        <v>2018</v>
      </c>
      <c r="E288">
        <v>1.81696463155987</v>
      </c>
      <c r="F288">
        <v>2.2276489335745251</v>
      </c>
      <c r="G288">
        <f t="shared" si="4"/>
        <v>0.41068430201465511</v>
      </c>
      <c r="H288">
        <v>0.59845318384970081</v>
      </c>
    </row>
    <row r="289" spans="1:8" x14ac:dyDescent="0.35">
      <c r="A289" t="s">
        <v>76</v>
      </c>
      <c r="B289" t="s">
        <v>54</v>
      </c>
      <c r="C289" t="s">
        <v>40</v>
      </c>
      <c r="D289">
        <v>2018</v>
      </c>
      <c r="E289">
        <v>2.9504045313044398</v>
      </c>
      <c r="F289">
        <v>2.2276489335745251</v>
      </c>
      <c r="G289">
        <f t="shared" si="4"/>
        <v>-0.72275559772991471</v>
      </c>
      <c r="H289">
        <v>0.59845318384970081</v>
      </c>
    </row>
    <row r="290" spans="1:8" x14ac:dyDescent="0.35">
      <c r="A290" t="s">
        <v>76</v>
      </c>
      <c r="B290" t="s">
        <v>53</v>
      </c>
      <c r="C290" t="s">
        <v>38</v>
      </c>
      <c r="D290">
        <v>2019</v>
      </c>
      <c r="E290">
        <v>2.3973855170303038</v>
      </c>
      <c r="F290">
        <v>2.2687921571426761</v>
      </c>
      <c r="G290">
        <f t="shared" si="4"/>
        <v>-0.12859335988762766</v>
      </c>
      <c r="H290">
        <v>0.87784580819211311</v>
      </c>
    </row>
    <row r="291" spans="1:8" x14ac:dyDescent="0.35">
      <c r="A291" t="s">
        <v>76</v>
      </c>
      <c r="B291" t="s">
        <v>55</v>
      </c>
      <c r="C291" t="s">
        <v>38</v>
      </c>
      <c r="D291">
        <v>2019</v>
      </c>
      <c r="E291">
        <v>1.699934171052897</v>
      </c>
      <c r="F291">
        <v>2.2687921571426761</v>
      </c>
      <c r="G291">
        <f t="shared" si="4"/>
        <v>0.56885798608977911</v>
      </c>
      <c r="H291">
        <v>0.87784580819211311</v>
      </c>
    </row>
    <row r="292" spans="1:8" x14ac:dyDescent="0.35">
      <c r="A292" t="s">
        <v>76</v>
      </c>
      <c r="B292" t="s">
        <v>54</v>
      </c>
      <c r="C292" t="s">
        <v>40</v>
      </c>
      <c r="D292">
        <v>2019</v>
      </c>
      <c r="E292">
        <v>2.5903398154754731</v>
      </c>
      <c r="F292">
        <v>2.2687921571426761</v>
      </c>
      <c r="G292">
        <f t="shared" si="4"/>
        <v>-0.32154765833279697</v>
      </c>
      <c r="H292">
        <v>0.87784580819211311</v>
      </c>
    </row>
    <row r="293" spans="1:8" x14ac:dyDescent="0.35">
      <c r="A293" t="s">
        <v>76</v>
      </c>
      <c r="B293" t="s">
        <v>56</v>
      </c>
      <c r="C293" t="s">
        <v>40</v>
      </c>
      <c r="D293">
        <v>2019</v>
      </c>
      <c r="E293">
        <v>1.627911133653104</v>
      </c>
      <c r="F293">
        <v>2.2687921571426761</v>
      </c>
      <c r="G293">
        <f t="shared" si="4"/>
        <v>0.6408810234895721</v>
      </c>
      <c r="H293">
        <v>0.87784580819211311</v>
      </c>
    </row>
    <row r="294" spans="1:8" x14ac:dyDescent="0.35">
      <c r="A294" t="s">
        <v>77</v>
      </c>
      <c r="B294" t="s">
        <v>45</v>
      </c>
      <c r="C294" t="s">
        <v>38</v>
      </c>
      <c r="D294">
        <v>2015</v>
      </c>
      <c r="E294">
        <v>1.29819266835165</v>
      </c>
      <c r="F294">
        <v>1.5772755552952269</v>
      </c>
      <c r="G294">
        <f t="shared" si="4"/>
        <v>0.27908288694357686</v>
      </c>
      <c r="H294">
        <v>0.20562428135181771</v>
      </c>
    </row>
    <row r="295" spans="1:8" x14ac:dyDescent="0.35">
      <c r="A295" t="s">
        <v>77</v>
      </c>
      <c r="B295" t="s">
        <v>47</v>
      </c>
      <c r="C295" t="s">
        <v>38</v>
      </c>
      <c r="D295">
        <v>2015</v>
      </c>
      <c r="E295">
        <v>1.741329419958926</v>
      </c>
      <c r="F295">
        <v>1.5772755552952269</v>
      </c>
      <c r="G295">
        <f t="shared" si="4"/>
        <v>-0.16405386466369909</v>
      </c>
      <c r="H295">
        <v>0.20562428135181771</v>
      </c>
    </row>
    <row r="296" spans="1:8" x14ac:dyDescent="0.35">
      <c r="A296" t="s">
        <v>77</v>
      </c>
      <c r="B296" t="s">
        <v>46</v>
      </c>
      <c r="C296" t="s">
        <v>40</v>
      </c>
      <c r="D296">
        <v>2015</v>
      </c>
      <c r="E296">
        <v>1.4931874273763861</v>
      </c>
      <c r="F296">
        <v>1.5772755552952269</v>
      </c>
      <c r="G296">
        <f t="shared" si="4"/>
        <v>8.4088127918840794E-2</v>
      </c>
      <c r="H296">
        <v>0.20562428135181771</v>
      </c>
    </row>
    <row r="297" spans="1:8" x14ac:dyDescent="0.35">
      <c r="A297" t="s">
        <v>77</v>
      </c>
      <c r="B297" t="s">
        <v>48</v>
      </c>
      <c r="C297" t="s">
        <v>40</v>
      </c>
      <c r="D297">
        <v>2015</v>
      </c>
      <c r="E297">
        <v>1.6418853965775471</v>
      </c>
      <c r="F297">
        <v>1.5772755552952269</v>
      </c>
      <c r="G297">
        <f t="shared" si="4"/>
        <v>-6.4609841282320168E-2</v>
      </c>
      <c r="H297">
        <v>0.20562428135181771</v>
      </c>
    </row>
    <row r="298" spans="1:8" x14ac:dyDescent="0.35">
      <c r="A298" t="s">
        <v>77</v>
      </c>
      <c r="B298" t="s">
        <v>47</v>
      </c>
      <c r="C298" t="s">
        <v>38</v>
      </c>
      <c r="D298">
        <v>2016</v>
      </c>
      <c r="E298">
        <v>1.659048842216615</v>
      </c>
      <c r="F298">
        <v>1.9843922204112789</v>
      </c>
      <c r="G298">
        <f t="shared" si="4"/>
        <v>0.32534337819466397</v>
      </c>
      <c r="H298">
        <v>0.19529332020678619</v>
      </c>
    </row>
    <row r="299" spans="1:8" x14ac:dyDescent="0.35">
      <c r="A299" t="s">
        <v>77</v>
      </c>
      <c r="B299" t="s">
        <v>49</v>
      </c>
      <c r="C299" t="s">
        <v>38</v>
      </c>
      <c r="D299">
        <v>2016</v>
      </c>
      <c r="E299">
        <v>0.92930181879138374</v>
      </c>
      <c r="F299">
        <v>1.9843922204112789</v>
      </c>
      <c r="G299">
        <f t="shared" si="4"/>
        <v>1.0550904016198952</v>
      </c>
      <c r="H299">
        <v>0.19529332020678619</v>
      </c>
    </row>
    <row r="300" spans="1:8" x14ac:dyDescent="0.35">
      <c r="A300" t="s">
        <v>77</v>
      </c>
      <c r="B300" t="s">
        <v>48</v>
      </c>
      <c r="C300" t="s">
        <v>40</v>
      </c>
      <c r="D300">
        <v>2016</v>
      </c>
      <c r="E300">
        <v>1.838363161189682</v>
      </c>
      <c r="F300">
        <v>1.9843922204112789</v>
      </c>
      <c r="G300">
        <f t="shared" si="4"/>
        <v>0.14602905922159692</v>
      </c>
      <c r="H300">
        <v>0.19529332020678619</v>
      </c>
    </row>
    <row r="301" spans="1:8" x14ac:dyDescent="0.35">
      <c r="A301" t="s">
        <v>77</v>
      </c>
      <c r="B301" t="s">
        <v>50</v>
      </c>
      <c r="C301" t="s">
        <v>40</v>
      </c>
      <c r="D301">
        <v>2016</v>
      </c>
      <c r="E301">
        <v>1.458222731677794</v>
      </c>
      <c r="F301">
        <v>1.9843922204112789</v>
      </c>
      <c r="G301">
        <f t="shared" si="4"/>
        <v>0.5261694887334849</v>
      </c>
      <c r="H301">
        <v>0.19529332020678619</v>
      </c>
    </row>
    <row r="302" spans="1:8" x14ac:dyDescent="0.35">
      <c r="A302" t="s">
        <v>77</v>
      </c>
      <c r="B302" t="s">
        <v>49</v>
      </c>
      <c r="C302" t="s">
        <v>38</v>
      </c>
      <c r="D302">
        <v>2017</v>
      </c>
      <c r="E302">
        <v>1.2443844685501531</v>
      </c>
      <c r="F302">
        <v>3.260896558994415</v>
      </c>
      <c r="G302">
        <f t="shared" si="4"/>
        <v>2.0165120904442619</v>
      </c>
      <c r="H302">
        <v>0.69181063344816107</v>
      </c>
    </row>
    <row r="303" spans="1:8" x14ac:dyDescent="0.35">
      <c r="A303" t="s">
        <v>77</v>
      </c>
      <c r="B303" t="s">
        <v>51</v>
      </c>
      <c r="C303" t="s">
        <v>38</v>
      </c>
      <c r="D303">
        <v>2017</v>
      </c>
      <c r="E303">
        <v>2.6293844522458749</v>
      </c>
      <c r="F303">
        <v>3.260896558994415</v>
      </c>
      <c r="G303">
        <f t="shared" si="4"/>
        <v>0.63151210674854008</v>
      </c>
      <c r="H303">
        <v>0.69181063344816107</v>
      </c>
    </row>
    <row r="304" spans="1:8" x14ac:dyDescent="0.35">
      <c r="A304" t="s">
        <v>77</v>
      </c>
      <c r="B304" t="s">
        <v>50</v>
      </c>
      <c r="C304" t="s">
        <v>40</v>
      </c>
      <c r="D304">
        <v>2017</v>
      </c>
      <c r="E304">
        <v>1.7439816750679069</v>
      </c>
      <c r="F304">
        <v>3.260896558994415</v>
      </c>
      <c r="G304">
        <f t="shared" si="4"/>
        <v>1.5169148839265081</v>
      </c>
      <c r="H304">
        <v>0.69181063344816107</v>
      </c>
    </row>
    <row r="305" spans="1:8" x14ac:dyDescent="0.35">
      <c r="A305" t="s">
        <v>77</v>
      </c>
      <c r="B305" t="s">
        <v>52</v>
      </c>
      <c r="C305" t="s">
        <v>40</v>
      </c>
      <c r="D305">
        <v>2017</v>
      </c>
      <c r="E305">
        <v>1.838683940143615</v>
      </c>
      <c r="F305">
        <v>3.260896558994415</v>
      </c>
      <c r="G305">
        <f t="shared" si="4"/>
        <v>1.4222126188508</v>
      </c>
      <c r="H305">
        <v>0.69181063344816107</v>
      </c>
    </row>
    <row r="306" spans="1:8" x14ac:dyDescent="0.35">
      <c r="A306" t="s">
        <v>77</v>
      </c>
      <c r="B306" t="s">
        <v>51</v>
      </c>
      <c r="C306" t="s">
        <v>38</v>
      </c>
      <c r="D306">
        <v>2018</v>
      </c>
      <c r="E306">
        <v>2.0625112156605669</v>
      </c>
      <c r="F306">
        <v>2.903725267458769</v>
      </c>
      <c r="G306">
        <f t="shared" si="4"/>
        <v>0.84121405179820208</v>
      </c>
      <c r="H306">
        <v>0.57431309132740549</v>
      </c>
    </row>
    <row r="307" spans="1:8" x14ac:dyDescent="0.35">
      <c r="A307" t="s">
        <v>77</v>
      </c>
      <c r="B307" t="s">
        <v>53</v>
      </c>
      <c r="C307" t="s">
        <v>38</v>
      </c>
      <c r="D307">
        <v>2018</v>
      </c>
      <c r="E307">
        <v>2.1672748154352162</v>
      </c>
      <c r="F307">
        <v>2.903725267458769</v>
      </c>
      <c r="G307">
        <f t="shared" si="4"/>
        <v>0.73645045202355286</v>
      </c>
      <c r="H307">
        <v>0.57431309132740549</v>
      </c>
    </row>
    <row r="308" spans="1:8" x14ac:dyDescent="0.35">
      <c r="A308" t="s">
        <v>77</v>
      </c>
      <c r="B308" t="s">
        <v>52</v>
      </c>
      <c r="C308" t="s">
        <v>40</v>
      </c>
      <c r="D308">
        <v>2018</v>
      </c>
      <c r="E308">
        <v>1.5677461936429939</v>
      </c>
      <c r="F308">
        <v>2.903725267458769</v>
      </c>
      <c r="G308">
        <f t="shared" si="4"/>
        <v>1.3359790738157751</v>
      </c>
      <c r="H308">
        <v>0.57431309132740549</v>
      </c>
    </row>
    <row r="309" spans="1:8" x14ac:dyDescent="0.35">
      <c r="A309" t="s">
        <v>77</v>
      </c>
      <c r="B309" t="s">
        <v>54</v>
      </c>
      <c r="C309" t="s">
        <v>40</v>
      </c>
      <c r="D309">
        <v>2018</v>
      </c>
      <c r="E309">
        <v>2.3337380052623979</v>
      </c>
      <c r="F309">
        <v>2.903725267458769</v>
      </c>
      <c r="G309">
        <f t="shared" si="4"/>
        <v>0.56998726219637108</v>
      </c>
      <c r="H309">
        <v>0.57431309132740549</v>
      </c>
    </row>
    <row r="310" spans="1:8" x14ac:dyDescent="0.35">
      <c r="A310" t="s">
        <v>77</v>
      </c>
      <c r="B310" t="s">
        <v>53</v>
      </c>
      <c r="C310" t="s">
        <v>38</v>
      </c>
      <c r="D310">
        <v>2019</v>
      </c>
      <c r="E310">
        <v>1.839454993980616</v>
      </c>
      <c r="F310">
        <v>2.7086922955372188</v>
      </c>
      <c r="G310">
        <f t="shared" si="4"/>
        <v>0.86923730155660284</v>
      </c>
      <c r="H310">
        <v>0.8963180548310522</v>
      </c>
    </row>
    <row r="311" spans="1:8" x14ac:dyDescent="0.35">
      <c r="A311" t="s">
        <v>77</v>
      </c>
      <c r="B311" t="s">
        <v>55</v>
      </c>
      <c r="C311" t="s">
        <v>38</v>
      </c>
      <c r="D311">
        <v>2019</v>
      </c>
      <c r="E311">
        <v>1.950475273387009</v>
      </c>
      <c r="F311">
        <v>2.7086922955372188</v>
      </c>
      <c r="G311">
        <f t="shared" si="4"/>
        <v>0.75821702215020981</v>
      </c>
      <c r="H311">
        <v>0.8963180548310522</v>
      </c>
    </row>
    <row r="312" spans="1:8" x14ac:dyDescent="0.35">
      <c r="A312" t="s">
        <v>77</v>
      </c>
      <c r="B312" t="s">
        <v>54</v>
      </c>
      <c r="C312" t="s">
        <v>40</v>
      </c>
      <c r="D312">
        <v>2019</v>
      </c>
      <c r="E312">
        <v>2.0372674050813671</v>
      </c>
      <c r="F312">
        <v>2.7086922955372188</v>
      </c>
      <c r="G312">
        <f t="shared" si="4"/>
        <v>0.67142489045585174</v>
      </c>
      <c r="H312">
        <v>0.8963180548310522</v>
      </c>
    </row>
    <row r="313" spans="1:8" x14ac:dyDescent="0.35">
      <c r="A313" t="s">
        <v>77</v>
      </c>
      <c r="B313" t="s">
        <v>56</v>
      </c>
      <c r="C313" t="s">
        <v>40</v>
      </c>
      <c r="D313">
        <v>2019</v>
      </c>
      <c r="E313">
        <v>1.672451894689297</v>
      </c>
      <c r="F313">
        <v>2.7086922955372188</v>
      </c>
      <c r="G313">
        <f t="shared" si="4"/>
        <v>1.0362404008479218</v>
      </c>
      <c r="H313">
        <v>0.8963180548310522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4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8</v>
      </c>
    </row>
    <row r="2" spans="1:8" x14ac:dyDescent="0.35">
      <c r="A2" t="s">
        <v>36</v>
      </c>
      <c r="B2" t="s">
        <v>45</v>
      </c>
      <c r="C2" t="s">
        <v>38</v>
      </c>
      <c r="D2">
        <v>2015</v>
      </c>
      <c r="E2">
        <v>1.23399360343428</v>
      </c>
      <c r="F2">
        <v>1.2553290281528069</v>
      </c>
      <c r="G2">
        <f t="shared" ref="G2:G65" si="0">IF(OR(F2="",E2=""),"",F2-E2)</f>
        <v>2.1335424718526896E-2</v>
      </c>
      <c r="H2">
        <v>7.6773113441487876E-3</v>
      </c>
    </row>
    <row r="3" spans="1:8" x14ac:dyDescent="0.35">
      <c r="A3" t="s">
        <v>36</v>
      </c>
      <c r="B3" t="s">
        <v>47</v>
      </c>
      <c r="C3" t="s">
        <v>38</v>
      </c>
      <c r="D3">
        <v>2015</v>
      </c>
      <c r="E3">
        <v>0.59754498836805947</v>
      </c>
      <c r="F3">
        <v>1.2553290281528069</v>
      </c>
      <c r="G3">
        <f t="shared" si="0"/>
        <v>0.65778403978474742</v>
      </c>
      <c r="H3">
        <v>7.6773113441487876E-3</v>
      </c>
    </row>
    <row r="4" spans="1:8" x14ac:dyDescent="0.35">
      <c r="A4" t="s">
        <v>36</v>
      </c>
      <c r="B4" t="s">
        <v>46</v>
      </c>
      <c r="C4" t="s">
        <v>40</v>
      </c>
      <c r="D4">
        <v>2015</v>
      </c>
      <c r="E4">
        <v>1.8494694742448909</v>
      </c>
      <c r="F4">
        <v>1.2553290281528069</v>
      </c>
      <c r="G4">
        <f t="shared" si="0"/>
        <v>-0.59414044609208405</v>
      </c>
      <c r="H4">
        <v>7.6773113441487876E-3</v>
      </c>
    </row>
    <row r="5" spans="1:8" x14ac:dyDescent="0.35">
      <c r="A5" t="s">
        <v>36</v>
      </c>
      <c r="B5" t="s">
        <v>48</v>
      </c>
      <c r="C5" t="s">
        <v>40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7.6773113441487876E-3</v>
      </c>
    </row>
    <row r="6" spans="1:8" x14ac:dyDescent="0.35">
      <c r="A6" t="s">
        <v>36</v>
      </c>
      <c r="B6" t="s">
        <v>47</v>
      </c>
      <c r="C6" t="s">
        <v>38</v>
      </c>
      <c r="D6">
        <v>2016</v>
      </c>
      <c r="E6">
        <v>1.4571009650163671</v>
      </c>
      <c r="F6">
        <v>2.1495386728737769</v>
      </c>
      <c r="G6">
        <f t="shared" si="0"/>
        <v>0.69243770785740977</v>
      </c>
      <c r="H6">
        <v>5.3022968855759911E-2</v>
      </c>
    </row>
    <row r="7" spans="1:8" x14ac:dyDescent="0.35">
      <c r="A7" t="s">
        <v>36</v>
      </c>
      <c r="B7" t="s">
        <v>49</v>
      </c>
      <c r="C7" t="s">
        <v>38</v>
      </c>
      <c r="D7">
        <v>2016</v>
      </c>
      <c r="E7">
        <v>1.493056987075114</v>
      </c>
      <c r="F7">
        <v>2.1495386728737769</v>
      </c>
      <c r="G7">
        <f t="shared" si="0"/>
        <v>0.65648168579866284</v>
      </c>
      <c r="H7">
        <v>5.3022968855759911E-2</v>
      </c>
    </row>
    <row r="8" spans="1:8" x14ac:dyDescent="0.35">
      <c r="A8" t="s">
        <v>36</v>
      </c>
      <c r="B8" t="s">
        <v>48</v>
      </c>
      <c r="C8" t="s">
        <v>40</v>
      </c>
      <c r="D8">
        <v>2016</v>
      </c>
      <c r="E8">
        <v>1.4528661212303451</v>
      </c>
      <c r="F8">
        <v>2.1495386728737769</v>
      </c>
      <c r="G8">
        <f t="shared" si="0"/>
        <v>0.69667255164343178</v>
      </c>
      <c r="H8">
        <v>5.3022968855759911E-2</v>
      </c>
    </row>
    <row r="9" spans="1:8" x14ac:dyDescent="0.35">
      <c r="A9" t="s">
        <v>36</v>
      </c>
      <c r="B9" t="s">
        <v>50</v>
      </c>
      <c r="C9" t="s">
        <v>40</v>
      </c>
      <c r="D9">
        <v>2016</v>
      </c>
      <c r="E9">
        <v>1.4756673621598939</v>
      </c>
      <c r="F9">
        <v>2.1495386728737769</v>
      </c>
      <c r="G9">
        <f t="shared" si="0"/>
        <v>0.67387131071388295</v>
      </c>
      <c r="H9">
        <v>5.3022968855759911E-2</v>
      </c>
    </row>
    <row r="10" spans="1:8" x14ac:dyDescent="0.35">
      <c r="A10" t="s">
        <v>36</v>
      </c>
      <c r="B10" t="s">
        <v>49</v>
      </c>
      <c r="C10" t="s">
        <v>38</v>
      </c>
      <c r="D10">
        <v>2017</v>
      </c>
      <c r="E10">
        <v>1.5818491497620271</v>
      </c>
      <c r="F10">
        <v>2.3680132788277781</v>
      </c>
      <c r="G10">
        <f t="shared" si="0"/>
        <v>0.78616412906575106</v>
      </c>
      <c r="H10">
        <v>5.9589469522748573E-2</v>
      </c>
    </row>
    <row r="11" spans="1:8" x14ac:dyDescent="0.35">
      <c r="A11" t="s">
        <v>36</v>
      </c>
      <c r="B11" t="s">
        <v>51</v>
      </c>
      <c r="C11" t="s">
        <v>38</v>
      </c>
      <c r="D11">
        <v>2017</v>
      </c>
      <c r="E11">
        <v>2.5716586567718469</v>
      </c>
      <c r="F11">
        <v>2.3680132788277781</v>
      </c>
      <c r="G11">
        <f t="shared" si="0"/>
        <v>-0.20364537794406878</v>
      </c>
      <c r="H11">
        <v>5.9589469522748573E-2</v>
      </c>
    </row>
    <row r="12" spans="1:8" x14ac:dyDescent="0.35">
      <c r="A12" t="s">
        <v>36</v>
      </c>
      <c r="B12" t="s">
        <v>50</v>
      </c>
      <c r="C12" t="s">
        <v>40</v>
      </c>
      <c r="D12">
        <v>2017</v>
      </c>
      <c r="E12">
        <v>1.626978361111475</v>
      </c>
      <c r="F12">
        <v>2.3680132788277781</v>
      </c>
      <c r="G12">
        <f t="shared" si="0"/>
        <v>0.74103491771630314</v>
      </c>
      <c r="H12">
        <v>5.9589469522748573E-2</v>
      </c>
    </row>
    <row r="13" spans="1:8" x14ac:dyDescent="0.35">
      <c r="A13" t="s">
        <v>36</v>
      </c>
      <c r="B13" t="s">
        <v>52</v>
      </c>
      <c r="C13" t="s">
        <v>40</v>
      </c>
      <c r="D13">
        <v>2017</v>
      </c>
      <c r="E13">
        <v>1.728692467241477</v>
      </c>
      <c r="F13">
        <v>2.3680132788277781</v>
      </c>
      <c r="G13">
        <f t="shared" si="0"/>
        <v>0.63932081158630116</v>
      </c>
      <c r="H13">
        <v>5.9589469522748573E-2</v>
      </c>
    </row>
    <row r="14" spans="1:8" x14ac:dyDescent="0.35">
      <c r="A14" t="s">
        <v>36</v>
      </c>
      <c r="B14" t="s">
        <v>51</v>
      </c>
      <c r="C14" t="s">
        <v>38</v>
      </c>
      <c r="D14">
        <v>2018</v>
      </c>
      <c r="E14">
        <v>2.3931358040782502</v>
      </c>
      <c r="F14">
        <v>2.3622453086648898</v>
      </c>
      <c r="G14">
        <f t="shared" si="0"/>
        <v>-3.0890495413360419E-2</v>
      </c>
      <c r="H14">
        <v>9.6177469626261142E-2</v>
      </c>
    </row>
    <row r="15" spans="1:8" x14ac:dyDescent="0.35">
      <c r="A15" t="s">
        <v>36</v>
      </c>
      <c r="B15" t="s">
        <v>53</v>
      </c>
      <c r="C15" t="s">
        <v>38</v>
      </c>
      <c r="D15">
        <v>2018</v>
      </c>
      <c r="E15">
        <v>2.740700342709967</v>
      </c>
      <c r="F15">
        <v>2.3622453086648898</v>
      </c>
      <c r="G15">
        <f t="shared" si="0"/>
        <v>-0.37845503404507719</v>
      </c>
      <c r="H15">
        <v>9.6177469626261142E-2</v>
      </c>
    </row>
    <row r="16" spans="1:8" x14ac:dyDescent="0.35">
      <c r="A16" t="s">
        <v>36</v>
      </c>
      <c r="B16" t="s">
        <v>52</v>
      </c>
      <c r="C16" t="s">
        <v>40</v>
      </c>
      <c r="D16">
        <v>2018</v>
      </c>
      <c r="E16">
        <v>1.65788346393998</v>
      </c>
      <c r="F16">
        <v>2.3622453086648898</v>
      </c>
      <c r="G16">
        <f t="shared" si="0"/>
        <v>0.70436184472490981</v>
      </c>
      <c r="H16">
        <v>9.6177469626261142E-2</v>
      </c>
    </row>
    <row r="17" spans="1:8" x14ac:dyDescent="0.35">
      <c r="A17" t="s">
        <v>36</v>
      </c>
      <c r="B17" t="s">
        <v>54</v>
      </c>
      <c r="C17" t="s">
        <v>40</v>
      </c>
      <c r="D17">
        <v>2018</v>
      </c>
      <c r="E17">
        <v>2.8029630500962628</v>
      </c>
      <c r="F17">
        <v>2.3622453086648898</v>
      </c>
      <c r="G17">
        <f t="shared" si="0"/>
        <v>-0.44071774143137299</v>
      </c>
      <c r="H17">
        <v>9.6177469626261142E-2</v>
      </c>
    </row>
    <row r="18" spans="1:8" x14ac:dyDescent="0.35">
      <c r="A18" t="s">
        <v>36</v>
      </c>
      <c r="B18" t="s">
        <v>53</v>
      </c>
      <c r="C18" t="s">
        <v>38</v>
      </c>
      <c r="D18">
        <v>2019</v>
      </c>
      <c r="E18">
        <v>1.956993039697497</v>
      </c>
      <c r="F18">
        <v>1.6857084827373969</v>
      </c>
      <c r="G18">
        <f t="shared" si="0"/>
        <v>-0.27128455696010012</v>
      </c>
      <c r="H18">
        <v>0.1056000115914431</v>
      </c>
    </row>
    <row r="19" spans="1:8" x14ac:dyDescent="0.35">
      <c r="A19" t="s">
        <v>36</v>
      </c>
      <c r="B19" t="s">
        <v>55</v>
      </c>
      <c r="C19" t="s">
        <v>38</v>
      </c>
      <c r="D19">
        <v>2019</v>
      </c>
      <c r="E19">
        <v>1.548243112232184</v>
      </c>
      <c r="F19">
        <v>1.6857084827373969</v>
      </c>
      <c r="G19">
        <f t="shared" si="0"/>
        <v>0.1374653705052129</v>
      </c>
      <c r="H19">
        <v>0.1056000115914431</v>
      </c>
    </row>
    <row r="20" spans="1:8" x14ac:dyDescent="0.35">
      <c r="A20" t="s">
        <v>36</v>
      </c>
      <c r="B20" t="s">
        <v>54</v>
      </c>
      <c r="C20" t="s">
        <v>40</v>
      </c>
      <c r="D20">
        <v>2019</v>
      </c>
      <c r="E20">
        <v>2.158686474515914</v>
      </c>
      <c r="F20">
        <v>1.6857084827373969</v>
      </c>
      <c r="G20">
        <f t="shared" si="0"/>
        <v>-0.47297799177851707</v>
      </c>
      <c r="H20">
        <v>0.1056000115914431</v>
      </c>
    </row>
    <row r="21" spans="1:8" x14ac:dyDescent="0.35">
      <c r="A21" t="s">
        <v>36</v>
      </c>
      <c r="B21" t="s">
        <v>56</v>
      </c>
      <c r="C21" t="s">
        <v>40</v>
      </c>
      <c r="D21">
        <v>2019</v>
      </c>
      <c r="E21">
        <v>1.5232710630633359</v>
      </c>
      <c r="F21">
        <v>1.6857084827373969</v>
      </c>
      <c r="G21">
        <f t="shared" si="0"/>
        <v>0.162437419674061</v>
      </c>
      <c r="H21">
        <v>0.1056000115914431</v>
      </c>
    </row>
    <row r="22" spans="1:8" x14ac:dyDescent="0.35">
      <c r="A22" t="s">
        <v>36</v>
      </c>
      <c r="B22" t="s">
        <v>55</v>
      </c>
      <c r="C22" t="s">
        <v>38</v>
      </c>
      <c r="D22">
        <v>2020</v>
      </c>
      <c r="E22">
        <v>1.3947816095145389</v>
      </c>
      <c r="F22">
        <v>-6.5900132771165296</v>
      </c>
      <c r="G22">
        <f t="shared" si="0"/>
        <v>-7.9847948866310681</v>
      </c>
      <c r="H22">
        <v>0.12677194132347211</v>
      </c>
    </row>
    <row r="23" spans="1:8" x14ac:dyDescent="0.35">
      <c r="A23" t="s">
        <v>36</v>
      </c>
      <c r="B23" t="s">
        <v>57</v>
      </c>
      <c r="C23" t="s">
        <v>38</v>
      </c>
      <c r="D23">
        <v>2020</v>
      </c>
      <c r="E23">
        <v>-7.0511951651758391</v>
      </c>
      <c r="F23">
        <v>-6.5900132771165296</v>
      </c>
      <c r="G23">
        <f t="shared" si="0"/>
        <v>0.46118188805930949</v>
      </c>
      <c r="H23">
        <v>0.12677194132347211</v>
      </c>
    </row>
    <row r="24" spans="1:8" x14ac:dyDescent="0.35">
      <c r="A24" t="s">
        <v>36</v>
      </c>
      <c r="B24" t="s">
        <v>56</v>
      </c>
      <c r="C24" t="s">
        <v>40</v>
      </c>
      <c r="D24">
        <v>2020</v>
      </c>
      <c r="E24">
        <v>1.6306467331163921</v>
      </c>
      <c r="F24">
        <v>-6.5900132771165296</v>
      </c>
      <c r="G24">
        <f t="shared" si="0"/>
        <v>-8.2206600102329226</v>
      </c>
      <c r="H24">
        <v>0.12677194132347211</v>
      </c>
    </row>
    <row r="25" spans="1:8" x14ac:dyDescent="0.35">
      <c r="A25" t="s">
        <v>36</v>
      </c>
      <c r="B25" t="s">
        <v>58</v>
      </c>
      <c r="C25" t="s">
        <v>40</v>
      </c>
      <c r="D25">
        <v>2020</v>
      </c>
      <c r="E25">
        <v>-5.5131277655310118</v>
      </c>
      <c r="F25">
        <v>-6.5900132771165296</v>
      </c>
      <c r="G25">
        <f t="shared" si="0"/>
        <v>-1.0768855115855178</v>
      </c>
      <c r="H25">
        <v>0.12677194132347211</v>
      </c>
    </row>
    <row r="26" spans="1:8" x14ac:dyDescent="0.35">
      <c r="A26" t="s">
        <v>36</v>
      </c>
      <c r="B26" t="s">
        <v>57</v>
      </c>
      <c r="C26" t="s">
        <v>38</v>
      </c>
      <c r="D26">
        <v>2021</v>
      </c>
      <c r="E26">
        <v>4.1159384107752661</v>
      </c>
      <c r="F26">
        <v>4.8848712783015431</v>
      </c>
      <c r="G26">
        <f t="shared" si="0"/>
        <v>0.76893286752627699</v>
      </c>
      <c r="H26">
        <v>0.16609569206651981</v>
      </c>
    </row>
    <row r="27" spans="1:8" x14ac:dyDescent="0.35">
      <c r="A27" t="s">
        <v>36</v>
      </c>
      <c r="B27" t="s">
        <v>59</v>
      </c>
      <c r="C27" t="s">
        <v>38</v>
      </c>
      <c r="D27">
        <v>2021</v>
      </c>
      <c r="E27">
        <v>4.4031542878007812</v>
      </c>
      <c r="F27">
        <v>4.8848712783015431</v>
      </c>
      <c r="G27">
        <f t="shared" si="0"/>
        <v>0.48171699050076189</v>
      </c>
      <c r="H27">
        <v>0.16609569206651981</v>
      </c>
    </row>
    <row r="28" spans="1:8" x14ac:dyDescent="0.35">
      <c r="A28" t="s">
        <v>36</v>
      </c>
      <c r="B28" t="s">
        <v>58</v>
      </c>
      <c r="C28" t="s">
        <v>40</v>
      </c>
      <c r="D28">
        <v>2021</v>
      </c>
      <c r="E28">
        <v>5.0052790018873416</v>
      </c>
      <c r="F28">
        <v>4.8848712783015431</v>
      </c>
      <c r="G28">
        <f t="shared" si="0"/>
        <v>-0.12040772358579854</v>
      </c>
      <c r="H28">
        <v>0.16609569206651981</v>
      </c>
    </row>
    <row r="29" spans="1:8" x14ac:dyDescent="0.35">
      <c r="A29" t="s">
        <v>36</v>
      </c>
      <c r="B29" t="s">
        <v>60</v>
      </c>
      <c r="C29" t="s">
        <v>40</v>
      </c>
      <c r="D29">
        <v>2021</v>
      </c>
      <c r="E29">
        <v>3.407915196652112</v>
      </c>
      <c r="F29">
        <v>4.8848712783015431</v>
      </c>
      <c r="G29">
        <f t="shared" si="0"/>
        <v>1.4769560816494312</v>
      </c>
      <c r="H29">
        <v>0.16609569206651981</v>
      </c>
    </row>
    <row r="30" spans="1:8" x14ac:dyDescent="0.35">
      <c r="A30" t="s">
        <v>36</v>
      </c>
      <c r="B30" t="s">
        <v>59</v>
      </c>
      <c r="C30" t="s">
        <v>38</v>
      </c>
      <c r="D30">
        <v>2022</v>
      </c>
      <c r="E30">
        <v>4.8883580526853274</v>
      </c>
      <c r="F30">
        <v>5.2899005620960757</v>
      </c>
      <c r="G30">
        <f t="shared" si="0"/>
        <v>0.40154250941074832</v>
      </c>
      <c r="H30">
        <v>0.16058654708636669</v>
      </c>
    </row>
    <row r="31" spans="1:8" x14ac:dyDescent="0.35">
      <c r="A31" t="s">
        <v>36</v>
      </c>
      <c r="B31" t="s">
        <v>61</v>
      </c>
      <c r="C31" t="s">
        <v>38</v>
      </c>
      <c r="D31">
        <v>2022</v>
      </c>
      <c r="E31">
        <v>4.6469116666415733</v>
      </c>
      <c r="F31">
        <v>5.2899005620960757</v>
      </c>
      <c r="G31">
        <f t="shared" si="0"/>
        <v>0.64298889545450244</v>
      </c>
      <c r="H31">
        <v>0.16058654708636669</v>
      </c>
    </row>
    <row r="32" spans="1:8" x14ac:dyDescent="0.35">
      <c r="A32" t="s">
        <v>36</v>
      </c>
      <c r="B32" t="s">
        <v>60</v>
      </c>
      <c r="C32" t="s">
        <v>40</v>
      </c>
      <c r="D32">
        <v>2022</v>
      </c>
      <c r="E32">
        <v>4.2814646537613577</v>
      </c>
      <c r="F32">
        <v>5.2899005620960757</v>
      </c>
      <c r="G32">
        <f t="shared" si="0"/>
        <v>1.0084359083347181</v>
      </c>
      <c r="H32">
        <v>0.16058654708636669</v>
      </c>
    </row>
    <row r="33" spans="1:8" x14ac:dyDescent="0.35">
      <c r="A33" t="s">
        <v>36</v>
      </c>
      <c r="B33" t="s">
        <v>62</v>
      </c>
      <c r="C33" t="s">
        <v>40</v>
      </c>
      <c r="D33">
        <v>2022</v>
      </c>
      <c r="E33">
        <v>3.9196460068068979</v>
      </c>
      <c r="F33">
        <v>5.2899005620960757</v>
      </c>
      <c r="G33">
        <f t="shared" si="0"/>
        <v>1.3702545552891778</v>
      </c>
      <c r="H33">
        <v>0.16058654708636669</v>
      </c>
    </row>
    <row r="34" spans="1:8" x14ac:dyDescent="0.35">
      <c r="A34" t="s">
        <v>36</v>
      </c>
      <c r="B34" t="s">
        <v>61</v>
      </c>
      <c r="C34" t="s">
        <v>38</v>
      </c>
      <c r="D34">
        <v>2023</v>
      </c>
      <c r="E34">
        <v>0.30335623159960518</v>
      </c>
      <c r="F34">
        <v>-0.6768389272940647</v>
      </c>
      <c r="G34">
        <f t="shared" si="0"/>
        <v>-0.98019515889366993</v>
      </c>
      <c r="H34">
        <v>0.34832254059447909</v>
      </c>
    </row>
    <row r="35" spans="1:8" x14ac:dyDescent="0.35">
      <c r="A35" t="s">
        <v>36</v>
      </c>
      <c r="B35" t="s">
        <v>63</v>
      </c>
      <c r="C35" t="s">
        <v>38</v>
      </c>
      <c r="D35">
        <v>2023</v>
      </c>
      <c r="E35">
        <v>-0.54656439605949014</v>
      </c>
      <c r="F35">
        <v>-0.6768389272940647</v>
      </c>
      <c r="G35">
        <f t="shared" si="0"/>
        <v>-0.13027453123457455</v>
      </c>
      <c r="H35">
        <v>0.34832254059447909</v>
      </c>
    </row>
    <row r="36" spans="1:8" x14ac:dyDescent="0.35">
      <c r="A36" t="s">
        <v>36</v>
      </c>
      <c r="B36" t="s">
        <v>62</v>
      </c>
      <c r="C36" t="s">
        <v>40</v>
      </c>
      <c r="D36">
        <v>2023</v>
      </c>
      <c r="E36">
        <v>1.874018674886258</v>
      </c>
      <c r="F36">
        <v>-0.6768389272940647</v>
      </c>
      <c r="G36">
        <f t="shared" si="0"/>
        <v>-2.5508576021803226</v>
      </c>
      <c r="H36">
        <v>0.34832254059447909</v>
      </c>
    </row>
    <row r="37" spans="1:8" x14ac:dyDescent="0.35">
      <c r="A37" t="s">
        <v>36</v>
      </c>
      <c r="B37" t="s">
        <v>64</v>
      </c>
      <c r="C37" t="s">
        <v>40</v>
      </c>
      <c r="D37">
        <v>2023</v>
      </c>
      <c r="E37">
        <v>0.39339786418057798</v>
      </c>
      <c r="F37">
        <v>-0.6768389272940647</v>
      </c>
      <c r="G37">
        <f t="shared" si="0"/>
        <v>-1.0702367914746427</v>
      </c>
      <c r="H37">
        <v>0.34832254059447909</v>
      </c>
    </row>
    <row r="38" spans="1:8" x14ac:dyDescent="0.35">
      <c r="A38" t="s">
        <v>36</v>
      </c>
      <c r="B38" t="s">
        <v>63</v>
      </c>
      <c r="C38" t="s">
        <v>38</v>
      </c>
      <c r="D38">
        <v>2024</v>
      </c>
      <c r="E38">
        <v>1.003014698305593</v>
      </c>
      <c r="F38">
        <v>-0.83360128885911988</v>
      </c>
      <c r="G38">
        <f t="shared" si="0"/>
        <v>-1.8366159871647127</v>
      </c>
      <c r="H38">
        <v>0.30910634856214708</v>
      </c>
    </row>
    <row r="39" spans="1:8" x14ac:dyDescent="0.35">
      <c r="A39" t="s">
        <v>36</v>
      </c>
      <c r="B39" t="s">
        <v>65</v>
      </c>
      <c r="C39" t="s">
        <v>38</v>
      </c>
      <c r="D39">
        <v>2024</v>
      </c>
      <c r="E39">
        <v>-0.62164843681992155</v>
      </c>
      <c r="F39">
        <v>-0.83360128885911988</v>
      </c>
      <c r="G39">
        <f t="shared" si="0"/>
        <v>-0.21195285203919834</v>
      </c>
      <c r="H39">
        <v>0.30910634856214708</v>
      </c>
    </row>
    <row r="40" spans="1:8" x14ac:dyDescent="0.35">
      <c r="A40" t="s">
        <v>36</v>
      </c>
      <c r="B40" t="s">
        <v>64</v>
      </c>
      <c r="C40" t="s">
        <v>40</v>
      </c>
      <c r="D40">
        <v>2024</v>
      </c>
      <c r="E40">
        <v>1.612734355819456</v>
      </c>
      <c r="F40">
        <v>-0.83360128885911988</v>
      </c>
      <c r="G40">
        <f t="shared" si="0"/>
        <v>-2.4463356446785758</v>
      </c>
      <c r="H40">
        <v>0.30910634856214708</v>
      </c>
    </row>
    <row r="41" spans="1:8" x14ac:dyDescent="0.35">
      <c r="A41" t="s">
        <v>36</v>
      </c>
      <c r="B41" t="s">
        <v>66</v>
      </c>
      <c r="C41" t="s">
        <v>40</v>
      </c>
      <c r="D41">
        <v>2024</v>
      </c>
      <c r="E41">
        <v>0.29111977378135651</v>
      </c>
      <c r="F41">
        <v>-0.83360128885911988</v>
      </c>
      <c r="G41">
        <f t="shared" si="0"/>
        <v>-1.1247210626404764</v>
      </c>
      <c r="H41">
        <v>0.30910634856214708</v>
      </c>
    </row>
    <row r="42" spans="1:8" x14ac:dyDescent="0.35">
      <c r="A42" t="s">
        <v>36</v>
      </c>
      <c r="B42" t="s">
        <v>65</v>
      </c>
      <c r="C42" t="s">
        <v>38</v>
      </c>
      <c r="D42">
        <v>2025</v>
      </c>
      <c r="E42">
        <v>0.99303912238537517</v>
      </c>
      <c r="F42">
        <v>0.95241300208403867</v>
      </c>
      <c r="G42">
        <f t="shared" si="0"/>
        <v>-4.0626120301336499E-2</v>
      </c>
      <c r="H42">
        <v>0.17315909372686161</v>
      </c>
    </row>
    <row r="43" spans="1:8" x14ac:dyDescent="0.35">
      <c r="A43" t="s">
        <v>36</v>
      </c>
      <c r="B43" t="s">
        <v>71</v>
      </c>
      <c r="C43" t="s">
        <v>38</v>
      </c>
      <c r="D43">
        <v>2025</v>
      </c>
      <c r="E43">
        <v>0.31436230025780892</v>
      </c>
      <c r="F43">
        <v>0.95241300208403867</v>
      </c>
      <c r="G43">
        <f t="shared" si="0"/>
        <v>0.6380507018262298</v>
      </c>
      <c r="H43">
        <v>0.17315909372686161</v>
      </c>
    </row>
    <row r="44" spans="1:8" x14ac:dyDescent="0.35">
      <c r="A44" t="s">
        <v>36</v>
      </c>
      <c r="B44" t="s">
        <v>66</v>
      </c>
      <c r="C44" t="s">
        <v>40</v>
      </c>
      <c r="D44">
        <v>2025</v>
      </c>
      <c r="E44">
        <v>1.6020195321839961</v>
      </c>
      <c r="F44">
        <v>0.95241300208403867</v>
      </c>
      <c r="G44">
        <f t="shared" si="0"/>
        <v>-0.64960653009995739</v>
      </c>
      <c r="H44">
        <v>0.17315909372686161</v>
      </c>
    </row>
    <row r="45" spans="1:8" x14ac:dyDescent="0.35">
      <c r="A45" t="s">
        <v>36</v>
      </c>
      <c r="B45" t="s">
        <v>72</v>
      </c>
      <c r="C45" t="s">
        <v>40</v>
      </c>
      <c r="D45">
        <v>2025</v>
      </c>
      <c r="E45">
        <v>-0.28270783018636841</v>
      </c>
      <c r="F45">
        <v>0.95241300208403867</v>
      </c>
      <c r="G45">
        <f t="shared" si="0"/>
        <v>1.235120832270407</v>
      </c>
      <c r="H45">
        <v>0.17315909372686161</v>
      </c>
    </row>
    <row r="46" spans="1:8" x14ac:dyDescent="0.35">
      <c r="A46" t="s">
        <v>67</v>
      </c>
      <c r="B46" t="s">
        <v>45</v>
      </c>
      <c r="C46" t="s">
        <v>38</v>
      </c>
      <c r="D46">
        <v>2015</v>
      </c>
      <c r="E46">
        <v>0.86159735965183337</v>
      </c>
      <c r="F46">
        <v>1.4634410714791239</v>
      </c>
      <c r="G46">
        <f t="shared" si="0"/>
        <v>0.60184371182729057</v>
      </c>
      <c r="H46">
        <v>0.48977750567916351</v>
      </c>
    </row>
    <row r="47" spans="1:8" x14ac:dyDescent="0.35">
      <c r="A47" t="s">
        <v>67</v>
      </c>
      <c r="B47" t="s">
        <v>47</v>
      </c>
      <c r="C47" t="s">
        <v>38</v>
      </c>
      <c r="D47">
        <v>2015</v>
      </c>
      <c r="E47">
        <v>1.262482967982592</v>
      </c>
      <c r="F47">
        <v>1.4634410714791239</v>
      </c>
      <c r="G47">
        <f t="shared" si="0"/>
        <v>0.20095810349653198</v>
      </c>
      <c r="H47">
        <v>0.48977750567916351</v>
      </c>
    </row>
    <row r="48" spans="1:8" x14ac:dyDescent="0.35">
      <c r="A48" t="s">
        <v>67</v>
      </c>
      <c r="B48" t="s">
        <v>46</v>
      </c>
      <c r="C48" t="s">
        <v>40</v>
      </c>
      <c r="D48">
        <v>2015</v>
      </c>
      <c r="E48">
        <v>1.5593135161243941</v>
      </c>
      <c r="F48">
        <v>1.4634410714791239</v>
      </c>
      <c r="G48">
        <f t="shared" si="0"/>
        <v>-9.5872444645270116E-2</v>
      </c>
      <c r="H48">
        <v>0.48977750567916351</v>
      </c>
    </row>
    <row r="49" spans="1:8" x14ac:dyDescent="0.35">
      <c r="A49" t="s">
        <v>67</v>
      </c>
      <c r="B49" t="s">
        <v>48</v>
      </c>
      <c r="C49" t="s">
        <v>40</v>
      </c>
      <c r="D49">
        <v>2015</v>
      </c>
      <c r="E49">
        <v>1.08741840250608</v>
      </c>
      <c r="F49">
        <v>1.4634410714791239</v>
      </c>
      <c r="G49">
        <f t="shared" si="0"/>
        <v>0.37602266897304393</v>
      </c>
      <c r="H49">
        <v>0.48977750567916351</v>
      </c>
    </row>
    <row r="50" spans="1:8" x14ac:dyDescent="0.35">
      <c r="A50" t="s">
        <v>67</v>
      </c>
      <c r="B50" t="s">
        <v>47</v>
      </c>
      <c r="C50" t="s">
        <v>38</v>
      </c>
      <c r="D50">
        <v>2016</v>
      </c>
      <c r="E50">
        <v>1.305005005659998</v>
      </c>
      <c r="F50">
        <v>1.1863946679844091</v>
      </c>
      <c r="G50">
        <f t="shared" si="0"/>
        <v>-0.11861033767558893</v>
      </c>
      <c r="H50">
        <v>0.1513774400939549</v>
      </c>
    </row>
    <row r="51" spans="1:8" x14ac:dyDescent="0.35">
      <c r="A51" t="s">
        <v>67</v>
      </c>
      <c r="B51" t="s">
        <v>49</v>
      </c>
      <c r="C51" t="s">
        <v>38</v>
      </c>
      <c r="D51">
        <v>2016</v>
      </c>
      <c r="E51">
        <v>1.233699257987553</v>
      </c>
      <c r="F51">
        <v>1.1863946679844091</v>
      </c>
      <c r="G51">
        <f t="shared" si="0"/>
        <v>-4.7304590003143909E-2</v>
      </c>
      <c r="H51">
        <v>0.1513774400939549</v>
      </c>
    </row>
    <row r="52" spans="1:8" x14ac:dyDescent="0.35">
      <c r="A52" t="s">
        <v>67</v>
      </c>
      <c r="B52" t="s">
        <v>48</v>
      </c>
      <c r="C52" t="s">
        <v>40</v>
      </c>
      <c r="D52">
        <v>2016</v>
      </c>
      <c r="E52">
        <v>1.466822845081617</v>
      </c>
      <c r="F52">
        <v>1.1863946679844091</v>
      </c>
      <c r="G52">
        <f t="shared" si="0"/>
        <v>-0.28042817709720791</v>
      </c>
      <c r="H52">
        <v>0.1513774400939549</v>
      </c>
    </row>
    <row r="53" spans="1:8" x14ac:dyDescent="0.35">
      <c r="A53" t="s">
        <v>67</v>
      </c>
      <c r="B53" t="s">
        <v>50</v>
      </c>
      <c r="C53" t="s">
        <v>40</v>
      </c>
      <c r="D53">
        <v>2016</v>
      </c>
      <c r="E53">
        <v>1.197250966203911</v>
      </c>
      <c r="F53">
        <v>1.1863946679844091</v>
      </c>
      <c r="G53">
        <f t="shared" si="0"/>
        <v>-1.0856298219501959E-2</v>
      </c>
      <c r="H53">
        <v>0.1513774400939549</v>
      </c>
    </row>
    <row r="54" spans="1:8" x14ac:dyDescent="0.35">
      <c r="A54" t="s">
        <v>67</v>
      </c>
      <c r="B54" t="s">
        <v>49</v>
      </c>
      <c r="C54" t="s">
        <v>38</v>
      </c>
      <c r="D54">
        <v>2017</v>
      </c>
      <c r="E54">
        <v>1.3129307877172809</v>
      </c>
      <c r="F54">
        <v>1.4637105039357461</v>
      </c>
      <c r="G54">
        <f t="shared" si="0"/>
        <v>0.1507797162184652</v>
      </c>
      <c r="H54">
        <v>0.66525710185055431</v>
      </c>
    </row>
    <row r="55" spans="1:8" x14ac:dyDescent="0.35">
      <c r="A55" t="s">
        <v>67</v>
      </c>
      <c r="B55" t="s">
        <v>51</v>
      </c>
      <c r="C55" t="s">
        <v>38</v>
      </c>
      <c r="D55">
        <v>2017</v>
      </c>
      <c r="E55">
        <v>1.732555567629479</v>
      </c>
      <c r="F55">
        <v>1.4637105039357461</v>
      </c>
      <c r="G55">
        <f t="shared" si="0"/>
        <v>-0.26884506369373296</v>
      </c>
      <c r="H55">
        <v>0.66525710185055431</v>
      </c>
    </row>
    <row r="56" spans="1:8" x14ac:dyDescent="0.35">
      <c r="A56" t="s">
        <v>67</v>
      </c>
      <c r="B56" t="s">
        <v>50</v>
      </c>
      <c r="C56" t="s">
        <v>40</v>
      </c>
      <c r="D56">
        <v>2017</v>
      </c>
      <c r="E56">
        <v>1.566209901734994</v>
      </c>
      <c r="F56">
        <v>1.4637105039357461</v>
      </c>
      <c r="G56">
        <f t="shared" si="0"/>
        <v>-0.10249939779924788</v>
      </c>
      <c r="H56">
        <v>0.66525710185055431</v>
      </c>
    </row>
    <row r="57" spans="1:8" x14ac:dyDescent="0.35">
      <c r="A57" t="s">
        <v>67</v>
      </c>
      <c r="B57" t="s">
        <v>52</v>
      </c>
      <c r="C57" t="s">
        <v>40</v>
      </c>
      <c r="D57">
        <v>2017</v>
      </c>
      <c r="E57">
        <v>1.543494370971477</v>
      </c>
      <c r="F57">
        <v>1.4637105039357461</v>
      </c>
      <c r="G57">
        <f t="shared" si="0"/>
        <v>-7.9783867035730927E-2</v>
      </c>
      <c r="H57">
        <v>0.66525710185055431</v>
      </c>
    </row>
    <row r="58" spans="1:8" x14ac:dyDescent="0.35">
      <c r="A58" t="s">
        <v>67</v>
      </c>
      <c r="B58" t="s">
        <v>51</v>
      </c>
      <c r="C58" t="s">
        <v>38</v>
      </c>
      <c r="D58">
        <v>2018</v>
      </c>
      <c r="E58">
        <v>1.802338911935264</v>
      </c>
      <c r="F58">
        <v>1.8605501927054691</v>
      </c>
      <c r="G58">
        <f t="shared" si="0"/>
        <v>5.8211280770205098E-2</v>
      </c>
      <c r="H58">
        <v>0.31283116111195841</v>
      </c>
    </row>
    <row r="59" spans="1:8" x14ac:dyDescent="0.35">
      <c r="A59" t="s">
        <v>67</v>
      </c>
      <c r="B59" t="s">
        <v>53</v>
      </c>
      <c r="C59" t="s">
        <v>38</v>
      </c>
      <c r="D59">
        <v>2018</v>
      </c>
      <c r="E59">
        <v>1.5323838734635939</v>
      </c>
      <c r="F59">
        <v>1.8605501927054691</v>
      </c>
      <c r="G59">
        <f t="shared" si="0"/>
        <v>0.32816631924187512</v>
      </c>
      <c r="H59">
        <v>0.31283116111195841</v>
      </c>
    </row>
    <row r="60" spans="1:8" x14ac:dyDescent="0.35">
      <c r="A60" t="s">
        <v>67</v>
      </c>
      <c r="B60" t="s">
        <v>52</v>
      </c>
      <c r="C60" t="s">
        <v>40</v>
      </c>
      <c r="D60">
        <v>2018</v>
      </c>
      <c r="E60">
        <v>1.6830527400463651</v>
      </c>
      <c r="F60">
        <v>1.8605501927054691</v>
      </c>
      <c r="G60">
        <f t="shared" si="0"/>
        <v>0.17749745265910399</v>
      </c>
      <c r="H60">
        <v>0.31283116111195841</v>
      </c>
    </row>
    <row r="61" spans="1:8" x14ac:dyDescent="0.35">
      <c r="A61" t="s">
        <v>67</v>
      </c>
      <c r="B61" t="s">
        <v>54</v>
      </c>
      <c r="C61" t="s">
        <v>40</v>
      </c>
      <c r="D61">
        <v>2018</v>
      </c>
      <c r="E61">
        <v>1.8083342533319999</v>
      </c>
      <c r="F61">
        <v>1.8605501927054691</v>
      </c>
      <c r="G61">
        <f t="shared" si="0"/>
        <v>5.2215939373469133E-2</v>
      </c>
      <c r="H61">
        <v>0.31283116111195841</v>
      </c>
    </row>
    <row r="62" spans="1:8" x14ac:dyDescent="0.35">
      <c r="A62" t="s">
        <v>67</v>
      </c>
      <c r="B62" t="s">
        <v>53</v>
      </c>
      <c r="C62" t="s">
        <v>38</v>
      </c>
      <c r="D62">
        <v>2019</v>
      </c>
      <c r="E62">
        <v>1.5152383923937141</v>
      </c>
      <c r="F62">
        <v>2.4135230125478802</v>
      </c>
      <c r="G62">
        <f t="shared" si="0"/>
        <v>0.8982846201541661</v>
      </c>
      <c r="H62">
        <v>0.35492531336208027</v>
      </c>
    </row>
    <row r="63" spans="1:8" x14ac:dyDescent="0.35">
      <c r="A63" t="s">
        <v>67</v>
      </c>
      <c r="B63" t="s">
        <v>55</v>
      </c>
      <c r="C63" t="s">
        <v>38</v>
      </c>
      <c r="D63">
        <v>2019</v>
      </c>
      <c r="E63">
        <v>1.136502566631536</v>
      </c>
      <c r="F63">
        <v>2.4135230125478802</v>
      </c>
      <c r="G63">
        <f t="shared" si="0"/>
        <v>1.2770204459163441</v>
      </c>
      <c r="H63">
        <v>0.35492531336208027</v>
      </c>
    </row>
    <row r="64" spans="1:8" x14ac:dyDescent="0.35">
      <c r="A64" t="s">
        <v>67</v>
      </c>
      <c r="B64" t="s">
        <v>54</v>
      </c>
      <c r="C64" t="s">
        <v>40</v>
      </c>
      <c r="D64">
        <v>2019</v>
      </c>
      <c r="E64">
        <v>1.7329380565713759</v>
      </c>
      <c r="F64">
        <v>2.4135230125478802</v>
      </c>
      <c r="G64">
        <f t="shared" si="0"/>
        <v>0.68058495597650426</v>
      </c>
      <c r="H64">
        <v>0.35492531336208027</v>
      </c>
    </row>
    <row r="65" spans="1:8" x14ac:dyDescent="0.35">
      <c r="A65" t="s">
        <v>67</v>
      </c>
      <c r="B65" t="s">
        <v>56</v>
      </c>
      <c r="C65" t="s">
        <v>40</v>
      </c>
      <c r="D65">
        <v>2019</v>
      </c>
      <c r="E65">
        <v>1.2263795589823929</v>
      </c>
      <c r="F65">
        <v>2.4135230125478802</v>
      </c>
      <c r="G65">
        <f t="shared" si="0"/>
        <v>1.1871434535654872</v>
      </c>
      <c r="H65">
        <v>0.35492531336208027</v>
      </c>
    </row>
    <row r="66" spans="1:8" x14ac:dyDescent="0.35">
      <c r="A66" t="s">
        <v>67</v>
      </c>
      <c r="B66" t="s">
        <v>55</v>
      </c>
      <c r="C66" t="s">
        <v>38</v>
      </c>
      <c r="D66">
        <v>2020</v>
      </c>
      <c r="E66">
        <v>0.96034482213216421</v>
      </c>
      <c r="F66">
        <v>-4.9116764965584894</v>
      </c>
      <c r="G66">
        <f t="shared" ref="G66:G129" si="1">IF(OR(F66="",E66=""),"",F66-E66)</f>
        <v>-5.8720213186906536</v>
      </c>
      <c r="H66">
        <v>0.8845732944795045</v>
      </c>
    </row>
    <row r="67" spans="1:8" x14ac:dyDescent="0.35">
      <c r="A67" t="s">
        <v>67</v>
      </c>
      <c r="B67" t="s">
        <v>57</v>
      </c>
      <c r="C67" t="s">
        <v>38</v>
      </c>
      <c r="D67">
        <v>2020</v>
      </c>
      <c r="E67">
        <v>-8.420158667688538</v>
      </c>
      <c r="F67">
        <v>-4.9116764965584894</v>
      </c>
      <c r="G67">
        <f t="shared" si="1"/>
        <v>3.5084821711300487</v>
      </c>
      <c r="H67">
        <v>0.8845732944795045</v>
      </c>
    </row>
    <row r="68" spans="1:8" x14ac:dyDescent="0.35">
      <c r="A68" t="s">
        <v>67</v>
      </c>
      <c r="B68" t="s">
        <v>56</v>
      </c>
      <c r="C68" t="s">
        <v>40</v>
      </c>
      <c r="D68">
        <v>2020</v>
      </c>
      <c r="E68">
        <v>1.199077085455502</v>
      </c>
      <c r="F68">
        <v>-4.9116764965584894</v>
      </c>
      <c r="G68">
        <f t="shared" si="1"/>
        <v>-6.1107535820139915</v>
      </c>
      <c r="H68">
        <v>0.8845732944795045</v>
      </c>
    </row>
    <row r="69" spans="1:8" x14ac:dyDescent="0.35">
      <c r="A69" t="s">
        <v>67</v>
      </c>
      <c r="B69" t="s">
        <v>58</v>
      </c>
      <c r="C69" t="s">
        <v>40</v>
      </c>
      <c r="D69">
        <v>2020</v>
      </c>
      <c r="E69">
        <v>-7.1575995247655024</v>
      </c>
      <c r="F69">
        <v>-4.9116764965584894</v>
      </c>
      <c r="G69">
        <f t="shared" si="1"/>
        <v>2.2459230282070131</v>
      </c>
      <c r="H69">
        <v>0.8845732944795045</v>
      </c>
    </row>
    <row r="70" spans="1:8" x14ac:dyDescent="0.35">
      <c r="A70" t="s">
        <v>67</v>
      </c>
      <c r="B70" t="s">
        <v>57</v>
      </c>
      <c r="C70" t="s">
        <v>38</v>
      </c>
      <c r="D70">
        <v>2021</v>
      </c>
      <c r="E70">
        <v>4.1239049795648741</v>
      </c>
      <c r="F70">
        <v>6.0667175798443678</v>
      </c>
      <c r="G70">
        <f t="shared" si="1"/>
        <v>1.9428126002794937</v>
      </c>
      <c r="H70">
        <v>0.78222990278386606</v>
      </c>
    </row>
    <row r="71" spans="1:8" x14ac:dyDescent="0.35">
      <c r="A71" t="s">
        <v>67</v>
      </c>
      <c r="B71" t="s">
        <v>59</v>
      </c>
      <c r="C71" t="s">
        <v>38</v>
      </c>
      <c r="D71">
        <v>2021</v>
      </c>
      <c r="E71">
        <v>5.9836029339416452</v>
      </c>
      <c r="F71">
        <v>6.0667175798443678</v>
      </c>
      <c r="G71">
        <f t="shared" si="1"/>
        <v>8.311464590272255E-2</v>
      </c>
      <c r="H71">
        <v>0.78222990278386606</v>
      </c>
    </row>
    <row r="72" spans="1:8" x14ac:dyDescent="0.35">
      <c r="A72" t="s">
        <v>67</v>
      </c>
      <c r="B72" t="s">
        <v>58</v>
      </c>
      <c r="C72" t="s">
        <v>40</v>
      </c>
      <c r="D72">
        <v>2021</v>
      </c>
      <c r="E72">
        <v>6.6899129841448302</v>
      </c>
      <c r="F72">
        <v>6.0667175798443678</v>
      </c>
      <c r="G72">
        <f t="shared" si="1"/>
        <v>-0.62319540430046239</v>
      </c>
      <c r="H72">
        <v>0.78222990278386606</v>
      </c>
    </row>
    <row r="73" spans="1:8" x14ac:dyDescent="0.35">
      <c r="A73" t="s">
        <v>67</v>
      </c>
      <c r="B73" t="s">
        <v>60</v>
      </c>
      <c r="C73" t="s">
        <v>40</v>
      </c>
      <c r="D73">
        <v>2021</v>
      </c>
      <c r="E73">
        <v>4.5423071463688514</v>
      </c>
      <c r="F73">
        <v>6.0667175798443678</v>
      </c>
      <c r="G73">
        <f t="shared" si="1"/>
        <v>1.5244104334755164</v>
      </c>
      <c r="H73">
        <v>0.78222990278386606</v>
      </c>
    </row>
    <row r="74" spans="1:8" x14ac:dyDescent="0.35">
      <c r="A74" t="s">
        <v>67</v>
      </c>
      <c r="B74" t="s">
        <v>59</v>
      </c>
      <c r="C74" t="s">
        <v>38</v>
      </c>
      <c r="D74">
        <v>2022</v>
      </c>
      <c r="E74">
        <v>2.6471364529380592</v>
      </c>
      <c r="F74">
        <v>3.945716681463399</v>
      </c>
      <c r="G74">
        <f t="shared" si="1"/>
        <v>1.2985802285253398</v>
      </c>
      <c r="H74">
        <v>0.90172560603950691</v>
      </c>
    </row>
    <row r="75" spans="1:8" x14ac:dyDescent="0.35">
      <c r="A75" t="s">
        <v>67</v>
      </c>
      <c r="B75" t="s">
        <v>61</v>
      </c>
      <c r="C75" t="s">
        <v>38</v>
      </c>
      <c r="D75">
        <v>2022</v>
      </c>
      <c r="E75">
        <v>2.8171147512312089</v>
      </c>
      <c r="F75">
        <v>3.945716681463399</v>
      </c>
      <c r="G75">
        <f t="shared" si="1"/>
        <v>1.1286019302321901</v>
      </c>
      <c r="H75">
        <v>0.90172560603950691</v>
      </c>
    </row>
    <row r="76" spans="1:8" x14ac:dyDescent="0.35">
      <c r="A76" t="s">
        <v>67</v>
      </c>
      <c r="B76" t="s">
        <v>60</v>
      </c>
      <c r="C76" t="s">
        <v>40</v>
      </c>
      <c r="D76">
        <v>2022</v>
      </c>
      <c r="E76">
        <v>3.671117125209777</v>
      </c>
      <c r="F76">
        <v>3.945716681463399</v>
      </c>
      <c r="G76">
        <f t="shared" si="1"/>
        <v>0.27459955625362209</v>
      </c>
      <c r="H76">
        <v>0.90172560603950691</v>
      </c>
    </row>
    <row r="77" spans="1:8" x14ac:dyDescent="0.35">
      <c r="A77" t="s">
        <v>67</v>
      </c>
      <c r="B77" t="s">
        <v>62</v>
      </c>
      <c r="C77" t="s">
        <v>40</v>
      </c>
      <c r="D77">
        <v>2022</v>
      </c>
      <c r="E77">
        <v>2.0165795618690252</v>
      </c>
      <c r="F77">
        <v>3.945716681463399</v>
      </c>
      <c r="G77">
        <f t="shared" si="1"/>
        <v>1.9291371195943738</v>
      </c>
      <c r="H77">
        <v>0.90172560603950691</v>
      </c>
    </row>
    <row r="78" spans="1:8" x14ac:dyDescent="0.35">
      <c r="A78" t="s">
        <v>67</v>
      </c>
      <c r="B78" t="s">
        <v>61</v>
      </c>
      <c r="C78" t="s">
        <v>38</v>
      </c>
      <c r="D78">
        <v>2023</v>
      </c>
      <c r="E78">
        <v>0.1608186912456899</v>
      </c>
      <c r="F78">
        <v>1.5491827810755261</v>
      </c>
      <c r="G78">
        <f t="shared" si="1"/>
        <v>1.3883640898298362</v>
      </c>
      <c r="H78">
        <v>0.70099774387898239</v>
      </c>
    </row>
    <row r="79" spans="1:8" x14ac:dyDescent="0.35">
      <c r="A79" t="s">
        <v>67</v>
      </c>
      <c r="B79" t="s">
        <v>63</v>
      </c>
      <c r="C79" t="s">
        <v>38</v>
      </c>
      <c r="D79">
        <v>2023</v>
      </c>
      <c r="E79">
        <v>1.44096095579862</v>
      </c>
      <c r="F79">
        <v>1.5491827810755261</v>
      </c>
      <c r="G79">
        <f t="shared" si="1"/>
        <v>0.10822182527690605</v>
      </c>
      <c r="H79">
        <v>0.70099774387898239</v>
      </c>
    </row>
    <row r="80" spans="1:8" x14ac:dyDescent="0.35">
      <c r="A80" t="s">
        <v>67</v>
      </c>
      <c r="B80" t="s">
        <v>62</v>
      </c>
      <c r="C80" t="s">
        <v>40</v>
      </c>
      <c r="D80">
        <v>2023</v>
      </c>
      <c r="E80">
        <v>1.7766240808305469</v>
      </c>
      <c r="F80">
        <v>1.5491827810755261</v>
      </c>
      <c r="G80">
        <f t="shared" si="1"/>
        <v>-0.22744129975502081</v>
      </c>
      <c r="H80">
        <v>0.70099774387898239</v>
      </c>
    </row>
    <row r="81" spans="1:8" x14ac:dyDescent="0.35">
      <c r="A81" t="s">
        <v>67</v>
      </c>
      <c r="B81" t="s">
        <v>64</v>
      </c>
      <c r="C81" t="s">
        <v>40</v>
      </c>
      <c r="D81">
        <v>2023</v>
      </c>
      <c r="E81">
        <v>1.2330728065618859</v>
      </c>
      <c r="F81">
        <v>1.5491827810755261</v>
      </c>
      <c r="G81">
        <f t="shared" si="1"/>
        <v>0.3161099745136402</v>
      </c>
      <c r="H81">
        <v>0.70099774387898239</v>
      </c>
    </row>
    <row r="82" spans="1:8" x14ac:dyDescent="0.35">
      <c r="A82" t="s">
        <v>67</v>
      </c>
      <c r="B82" t="s">
        <v>63</v>
      </c>
      <c r="C82" t="s">
        <v>38</v>
      </c>
      <c r="D82">
        <v>2024</v>
      </c>
      <c r="E82">
        <v>1.366814397179428</v>
      </c>
      <c r="F82">
        <v>1.0917584184985489</v>
      </c>
      <c r="G82">
        <f t="shared" si="1"/>
        <v>-0.27505597868087905</v>
      </c>
      <c r="H82">
        <v>1.1240323327321109</v>
      </c>
    </row>
    <row r="83" spans="1:8" x14ac:dyDescent="0.35">
      <c r="A83" t="s">
        <v>67</v>
      </c>
      <c r="B83" t="s">
        <v>65</v>
      </c>
      <c r="C83" t="s">
        <v>38</v>
      </c>
      <c r="D83">
        <v>2024</v>
      </c>
      <c r="E83">
        <v>1.144309940913812</v>
      </c>
      <c r="F83">
        <v>1.0917584184985489</v>
      </c>
      <c r="G83">
        <f t="shared" si="1"/>
        <v>-5.2551522415263063E-2</v>
      </c>
      <c r="H83">
        <v>1.1240323327321109</v>
      </c>
    </row>
    <row r="84" spans="1:8" x14ac:dyDescent="0.35">
      <c r="A84" t="s">
        <v>67</v>
      </c>
      <c r="B84" t="s">
        <v>64</v>
      </c>
      <c r="C84" t="s">
        <v>40</v>
      </c>
      <c r="D84">
        <v>2024</v>
      </c>
      <c r="E84">
        <v>1.3611844962323929</v>
      </c>
      <c r="F84">
        <v>1.0917584184985489</v>
      </c>
      <c r="G84">
        <f t="shared" si="1"/>
        <v>-0.26942607773384397</v>
      </c>
      <c r="H84">
        <v>1.1240323327321109</v>
      </c>
    </row>
    <row r="85" spans="1:8" x14ac:dyDescent="0.35">
      <c r="A85" t="s">
        <v>67</v>
      </c>
      <c r="B85" t="s">
        <v>66</v>
      </c>
      <c r="C85" t="s">
        <v>40</v>
      </c>
      <c r="D85">
        <v>2024</v>
      </c>
      <c r="E85">
        <v>1.2741731353000501</v>
      </c>
      <c r="F85">
        <v>1.0917584184985489</v>
      </c>
      <c r="G85">
        <f t="shared" si="1"/>
        <v>-0.18241471680150112</v>
      </c>
      <c r="H85">
        <v>1.1240323327321109</v>
      </c>
    </row>
    <row r="86" spans="1:8" x14ac:dyDescent="0.35">
      <c r="A86" t="s">
        <v>67</v>
      </c>
      <c r="B86" t="s">
        <v>65</v>
      </c>
      <c r="C86" t="s">
        <v>38</v>
      </c>
      <c r="D86">
        <v>2025</v>
      </c>
      <c r="E86">
        <v>1.2445832169132749</v>
      </c>
      <c r="F86">
        <v>0.97833513074895262</v>
      </c>
      <c r="G86">
        <f t="shared" si="1"/>
        <v>-0.26624808616432227</v>
      </c>
      <c r="H86">
        <v>1.388852621215412</v>
      </c>
    </row>
    <row r="87" spans="1:8" x14ac:dyDescent="0.35">
      <c r="A87" t="s">
        <v>67</v>
      </c>
      <c r="B87" t="s">
        <v>71</v>
      </c>
      <c r="C87" t="s">
        <v>38</v>
      </c>
      <c r="D87">
        <v>2025</v>
      </c>
      <c r="E87">
        <v>0.99784735760106713</v>
      </c>
      <c r="F87">
        <v>0.97833513074895262</v>
      </c>
      <c r="G87">
        <f t="shared" si="1"/>
        <v>-1.9512226852114511E-2</v>
      </c>
      <c r="H87">
        <v>1.388852621215412</v>
      </c>
    </row>
    <row r="88" spans="1:8" x14ac:dyDescent="0.35">
      <c r="A88" t="s">
        <v>67</v>
      </c>
      <c r="B88" t="s">
        <v>66</v>
      </c>
      <c r="C88" t="s">
        <v>40</v>
      </c>
      <c r="D88">
        <v>2025</v>
      </c>
      <c r="E88">
        <v>1.3772936758912999</v>
      </c>
      <c r="F88">
        <v>0.97833513074895262</v>
      </c>
      <c r="G88">
        <f t="shared" si="1"/>
        <v>-0.3989585451423473</v>
      </c>
      <c r="H88">
        <v>1.388852621215412</v>
      </c>
    </row>
    <row r="89" spans="1:8" x14ac:dyDescent="0.35">
      <c r="A89" t="s">
        <v>67</v>
      </c>
      <c r="B89" t="s">
        <v>72</v>
      </c>
      <c r="C89" t="s">
        <v>40</v>
      </c>
      <c r="D89">
        <v>2025</v>
      </c>
      <c r="E89">
        <v>0.76893815941332377</v>
      </c>
      <c r="F89">
        <v>0.97833513074895262</v>
      </c>
      <c r="G89">
        <f t="shared" si="1"/>
        <v>0.20939697133562885</v>
      </c>
      <c r="H89">
        <v>1.388852621215412</v>
      </c>
    </row>
    <row r="90" spans="1:8" x14ac:dyDescent="0.35">
      <c r="A90" t="s">
        <v>68</v>
      </c>
      <c r="B90" t="s">
        <v>45</v>
      </c>
      <c r="C90" t="s">
        <v>38</v>
      </c>
      <c r="D90">
        <v>2015</v>
      </c>
      <c r="E90">
        <v>1.095015499462715</v>
      </c>
      <c r="F90">
        <v>1.511701771928704</v>
      </c>
      <c r="G90">
        <f t="shared" si="1"/>
        <v>0.41668627246598899</v>
      </c>
      <c r="H90">
        <v>1.1031766805101459</v>
      </c>
    </row>
    <row r="91" spans="1:8" x14ac:dyDescent="0.35">
      <c r="A91" t="s">
        <v>68</v>
      </c>
      <c r="B91" t="s">
        <v>47</v>
      </c>
      <c r="C91" t="s">
        <v>38</v>
      </c>
      <c r="D91">
        <v>2015</v>
      </c>
      <c r="E91">
        <v>1.7105611289528031</v>
      </c>
      <c r="F91">
        <v>1.511701771928704</v>
      </c>
      <c r="G91">
        <f t="shared" si="1"/>
        <v>-0.19885935702409907</v>
      </c>
      <c r="H91">
        <v>1.1031766805101459</v>
      </c>
    </row>
    <row r="92" spans="1:8" x14ac:dyDescent="0.35">
      <c r="A92" t="s">
        <v>68</v>
      </c>
      <c r="B92" t="s">
        <v>46</v>
      </c>
      <c r="C92" t="s">
        <v>40</v>
      </c>
      <c r="D92">
        <v>2015</v>
      </c>
      <c r="E92">
        <v>1.9840546273578901</v>
      </c>
      <c r="F92">
        <v>1.511701771928704</v>
      </c>
      <c r="G92">
        <f t="shared" si="1"/>
        <v>-0.47235285542918604</v>
      </c>
      <c r="H92">
        <v>1.1031766805101459</v>
      </c>
    </row>
    <row r="93" spans="1:8" x14ac:dyDescent="0.35">
      <c r="A93" t="s">
        <v>68</v>
      </c>
      <c r="B93" t="s">
        <v>48</v>
      </c>
      <c r="C93" t="s">
        <v>40</v>
      </c>
      <c r="D93">
        <v>2015</v>
      </c>
      <c r="E93">
        <v>1.8717908251089099</v>
      </c>
      <c r="F93">
        <v>1.511701771928704</v>
      </c>
      <c r="G93">
        <f t="shared" si="1"/>
        <v>-0.3600890531802059</v>
      </c>
      <c r="H93">
        <v>1.1031766805101459</v>
      </c>
    </row>
    <row r="94" spans="1:8" x14ac:dyDescent="0.35">
      <c r="A94" t="s">
        <v>68</v>
      </c>
      <c r="B94" t="s">
        <v>47</v>
      </c>
      <c r="C94" t="s">
        <v>38</v>
      </c>
      <c r="D94">
        <v>2016</v>
      </c>
      <c r="E94">
        <v>1.9064608618794221</v>
      </c>
      <c r="F94">
        <v>2.1850659941992001</v>
      </c>
      <c r="G94">
        <f t="shared" si="1"/>
        <v>0.27860513231977801</v>
      </c>
      <c r="H94">
        <v>1.7278102370699631</v>
      </c>
    </row>
    <row r="95" spans="1:8" x14ac:dyDescent="0.35">
      <c r="A95" t="s">
        <v>68</v>
      </c>
      <c r="B95" t="s">
        <v>49</v>
      </c>
      <c r="C95" t="s">
        <v>38</v>
      </c>
      <c r="D95">
        <v>2016</v>
      </c>
      <c r="E95">
        <v>1.9388708932542631</v>
      </c>
      <c r="F95">
        <v>2.1850659941992001</v>
      </c>
      <c r="G95">
        <f t="shared" si="1"/>
        <v>0.24619510094493702</v>
      </c>
      <c r="H95">
        <v>1.7278102370699631</v>
      </c>
    </row>
    <row r="96" spans="1:8" x14ac:dyDescent="0.35">
      <c r="A96" t="s">
        <v>68</v>
      </c>
      <c r="B96" t="s">
        <v>48</v>
      </c>
      <c r="C96" t="s">
        <v>40</v>
      </c>
      <c r="D96">
        <v>2016</v>
      </c>
      <c r="E96">
        <v>2.0247448397811012</v>
      </c>
      <c r="F96">
        <v>2.1850659941992001</v>
      </c>
      <c r="G96">
        <f t="shared" si="1"/>
        <v>0.16032115441809891</v>
      </c>
      <c r="H96">
        <v>1.7278102370699631</v>
      </c>
    </row>
    <row r="97" spans="1:8" x14ac:dyDescent="0.35">
      <c r="A97" t="s">
        <v>68</v>
      </c>
      <c r="B97" t="s">
        <v>50</v>
      </c>
      <c r="C97" t="s">
        <v>40</v>
      </c>
      <c r="D97">
        <v>2016</v>
      </c>
      <c r="E97">
        <v>1.624850184809512</v>
      </c>
      <c r="F97">
        <v>2.1850659941992001</v>
      </c>
      <c r="G97">
        <f t="shared" si="1"/>
        <v>0.56021580938968807</v>
      </c>
      <c r="H97">
        <v>1.7278102370699631</v>
      </c>
    </row>
    <row r="98" spans="1:8" x14ac:dyDescent="0.35">
      <c r="A98" t="s">
        <v>68</v>
      </c>
      <c r="B98" t="s">
        <v>49</v>
      </c>
      <c r="C98" t="s">
        <v>38</v>
      </c>
      <c r="D98">
        <v>2017</v>
      </c>
      <c r="E98">
        <v>1.4744000913811779</v>
      </c>
      <c r="F98">
        <v>3.139119319610074</v>
      </c>
      <c r="G98">
        <f t="shared" si="1"/>
        <v>1.6647192282288961</v>
      </c>
      <c r="H98">
        <v>2.4831104150519061</v>
      </c>
    </row>
    <row r="99" spans="1:8" x14ac:dyDescent="0.35">
      <c r="A99" t="s">
        <v>68</v>
      </c>
      <c r="B99" t="s">
        <v>51</v>
      </c>
      <c r="C99" t="s">
        <v>38</v>
      </c>
      <c r="D99">
        <v>2017</v>
      </c>
      <c r="E99">
        <v>2.1518537819505301</v>
      </c>
      <c r="F99">
        <v>3.139119319610074</v>
      </c>
      <c r="G99">
        <f t="shared" si="1"/>
        <v>0.98726553765954383</v>
      </c>
      <c r="H99">
        <v>2.4831104150519061</v>
      </c>
    </row>
    <row r="100" spans="1:8" x14ac:dyDescent="0.35">
      <c r="A100" t="s">
        <v>68</v>
      </c>
      <c r="B100" t="s">
        <v>50</v>
      </c>
      <c r="C100" t="s">
        <v>40</v>
      </c>
      <c r="D100">
        <v>2017</v>
      </c>
      <c r="E100">
        <v>1.5665137095587811</v>
      </c>
      <c r="F100">
        <v>3.139119319610074</v>
      </c>
      <c r="G100">
        <f t="shared" si="1"/>
        <v>1.5726056100512928</v>
      </c>
      <c r="H100">
        <v>2.4831104150519061</v>
      </c>
    </row>
    <row r="101" spans="1:8" x14ac:dyDescent="0.35">
      <c r="A101" t="s">
        <v>68</v>
      </c>
      <c r="B101" t="s">
        <v>52</v>
      </c>
      <c r="C101" t="s">
        <v>40</v>
      </c>
      <c r="D101">
        <v>2017</v>
      </c>
      <c r="E101">
        <v>1.6411721834364681</v>
      </c>
      <c r="F101">
        <v>3.139119319610074</v>
      </c>
      <c r="G101">
        <f t="shared" si="1"/>
        <v>1.4979471361736059</v>
      </c>
      <c r="H101">
        <v>2.4831104150519061</v>
      </c>
    </row>
    <row r="102" spans="1:8" x14ac:dyDescent="0.35">
      <c r="A102" t="s">
        <v>68</v>
      </c>
      <c r="B102" t="s">
        <v>51</v>
      </c>
      <c r="C102" t="s">
        <v>38</v>
      </c>
      <c r="D102">
        <v>2018</v>
      </c>
      <c r="E102">
        <v>2.1207866853858448</v>
      </c>
      <c r="F102">
        <v>1.2673227814059229</v>
      </c>
      <c r="G102">
        <f t="shared" si="1"/>
        <v>-0.85346390397992189</v>
      </c>
      <c r="H102">
        <v>2.6363043986490182</v>
      </c>
    </row>
    <row r="103" spans="1:8" x14ac:dyDescent="0.35">
      <c r="A103" t="s">
        <v>68</v>
      </c>
      <c r="B103" t="s">
        <v>53</v>
      </c>
      <c r="C103" t="s">
        <v>38</v>
      </c>
      <c r="D103">
        <v>2018</v>
      </c>
      <c r="E103">
        <v>1.7181609113874341</v>
      </c>
      <c r="F103">
        <v>1.2673227814059229</v>
      </c>
      <c r="G103">
        <f t="shared" si="1"/>
        <v>-0.45083812998151118</v>
      </c>
      <c r="H103">
        <v>2.6363043986490182</v>
      </c>
    </row>
    <row r="104" spans="1:8" x14ac:dyDescent="0.35">
      <c r="A104" t="s">
        <v>68</v>
      </c>
      <c r="B104" t="s">
        <v>52</v>
      </c>
      <c r="C104" t="s">
        <v>40</v>
      </c>
      <c r="D104">
        <v>2018</v>
      </c>
      <c r="E104">
        <v>1.853976950650349</v>
      </c>
      <c r="F104">
        <v>1.2673227814059229</v>
      </c>
      <c r="G104">
        <f t="shared" si="1"/>
        <v>-0.58665416924442604</v>
      </c>
      <c r="H104">
        <v>2.6363043986490182</v>
      </c>
    </row>
    <row r="105" spans="1:8" x14ac:dyDescent="0.35">
      <c r="A105" t="s">
        <v>68</v>
      </c>
      <c r="B105" t="s">
        <v>54</v>
      </c>
      <c r="C105" t="s">
        <v>40</v>
      </c>
      <c r="D105">
        <v>2018</v>
      </c>
      <c r="E105">
        <v>2.3062043523037761</v>
      </c>
      <c r="F105">
        <v>1.2673227814059229</v>
      </c>
      <c r="G105">
        <f t="shared" si="1"/>
        <v>-1.0388815708978532</v>
      </c>
      <c r="H105">
        <v>2.6363043986490182</v>
      </c>
    </row>
    <row r="106" spans="1:8" x14ac:dyDescent="0.35">
      <c r="A106" t="s">
        <v>68</v>
      </c>
      <c r="B106" t="s">
        <v>53</v>
      </c>
      <c r="C106" t="s">
        <v>38</v>
      </c>
      <c r="D106">
        <v>2019</v>
      </c>
      <c r="E106">
        <v>1.837083008004692</v>
      </c>
      <c r="F106">
        <v>1.110244719033926</v>
      </c>
      <c r="G106">
        <f t="shared" si="1"/>
        <v>-0.72683828897076608</v>
      </c>
      <c r="H106">
        <v>3.7776131748386681</v>
      </c>
    </row>
    <row r="107" spans="1:8" x14ac:dyDescent="0.35">
      <c r="A107" t="s">
        <v>68</v>
      </c>
      <c r="B107" t="s">
        <v>55</v>
      </c>
      <c r="C107" t="s">
        <v>38</v>
      </c>
      <c r="D107">
        <v>2019</v>
      </c>
      <c r="E107">
        <v>0.43652728225691551</v>
      </c>
      <c r="F107">
        <v>1.110244719033926</v>
      </c>
      <c r="G107">
        <f t="shared" si="1"/>
        <v>0.67371743677701046</v>
      </c>
      <c r="H107">
        <v>3.7776131748386681</v>
      </c>
    </row>
    <row r="108" spans="1:8" x14ac:dyDescent="0.35">
      <c r="A108" t="s">
        <v>68</v>
      </c>
      <c r="B108" t="s">
        <v>54</v>
      </c>
      <c r="C108" t="s">
        <v>40</v>
      </c>
      <c r="D108">
        <v>2019</v>
      </c>
      <c r="E108">
        <v>2.050241516126516</v>
      </c>
      <c r="F108">
        <v>1.110244719033926</v>
      </c>
      <c r="G108">
        <f t="shared" si="1"/>
        <v>-0.93999679709258999</v>
      </c>
      <c r="H108">
        <v>3.7776131748386681</v>
      </c>
    </row>
    <row r="109" spans="1:8" x14ac:dyDescent="0.35">
      <c r="A109" t="s">
        <v>68</v>
      </c>
      <c r="B109" t="s">
        <v>56</v>
      </c>
      <c r="C109" t="s">
        <v>40</v>
      </c>
      <c r="D109">
        <v>2019</v>
      </c>
      <c r="E109">
        <v>0.54362498919910962</v>
      </c>
      <c r="F109">
        <v>1.110244719033926</v>
      </c>
      <c r="G109">
        <f t="shared" si="1"/>
        <v>0.56661972983481634</v>
      </c>
      <c r="H109">
        <v>3.7776131748386681</v>
      </c>
    </row>
    <row r="110" spans="1:8" x14ac:dyDescent="0.35">
      <c r="A110" t="s">
        <v>68</v>
      </c>
      <c r="B110" t="s">
        <v>55</v>
      </c>
      <c r="C110" t="s">
        <v>38</v>
      </c>
      <c r="D110">
        <v>2020</v>
      </c>
      <c r="E110">
        <v>1.0098419735112829</v>
      </c>
      <c r="F110">
        <v>-4.5019012679871278</v>
      </c>
      <c r="G110">
        <f t="shared" si="1"/>
        <v>-5.5117432414984107</v>
      </c>
      <c r="H110">
        <v>4.1207891005128294</v>
      </c>
    </row>
    <row r="111" spans="1:8" x14ac:dyDescent="0.35">
      <c r="A111" t="s">
        <v>68</v>
      </c>
      <c r="B111" t="s">
        <v>57</v>
      </c>
      <c r="C111" t="s">
        <v>38</v>
      </c>
      <c r="D111">
        <v>2020</v>
      </c>
      <c r="E111">
        <v>-5.5682040725027582</v>
      </c>
      <c r="F111">
        <v>-4.5019012679871278</v>
      </c>
      <c r="G111">
        <f t="shared" si="1"/>
        <v>1.0663028045156304</v>
      </c>
      <c r="H111">
        <v>4.1207891005128294</v>
      </c>
    </row>
    <row r="112" spans="1:8" x14ac:dyDescent="0.35">
      <c r="A112" t="s">
        <v>68</v>
      </c>
      <c r="B112" t="s">
        <v>56</v>
      </c>
      <c r="C112" t="s">
        <v>40</v>
      </c>
      <c r="D112">
        <v>2020</v>
      </c>
      <c r="E112">
        <v>1.5458815393741829</v>
      </c>
      <c r="F112">
        <v>-4.5019012679871278</v>
      </c>
      <c r="G112">
        <f t="shared" si="1"/>
        <v>-6.0477828073613109</v>
      </c>
      <c r="H112">
        <v>4.1207891005128294</v>
      </c>
    </row>
    <row r="113" spans="1:8" x14ac:dyDescent="0.35">
      <c r="A113" t="s">
        <v>68</v>
      </c>
      <c r="B113" t="s">
        <v>58</v>
      </c>
      <c r="C113" t="s">
        <v>40</v>
      </c>
      <c r="D113">
        <v>2020</v>
      </c>
      <c r="E113">
        <v>-6.4695771848944261</v>
      </c>
      <c r="F113">
        <v>-4.5019012679871278</v>
      </c>
      <c r="G113">
        <f t="shared" si="1"/>
        <v>1.9676759169072984</v>
      </c>
      <c r="H113">
        <v>4.1207891005128294</v>
      </c>
    </row>
    <row r="114" spans="1:8" x14ac:dyDescent="0.35">
      <c r="A114" t="s">
        <v>68</v>
      </c>
      <c r="B114" t="s">
        <v>57</v>
      </c>
      <c r="C114" t="s">
        <v>38</v>
      </c>
      <c r="D114">
        <v>2021</v>
      </c>
      <c r="E114">
        <v>3.5168418141955371</v>
      </c>
      <c r="F114">
        <v>3.8314526417859192</v>
      </c>
      <c r="G114">
        <f t="shared" si="1"/>
        <v>0.31461082759038206</v>
      </c>
      <c r="H114">
        <v>6.8156919307247312</v>
      </c>
    </row>
    <row r="115" spans="1:8" x14ac:dyDescent="0.35">
      <c r="A115" t="s">
        <v>68</v>
      </c>
      <c r="B115" t="s">
        <v>59</v>
      </c>
      <c r="C115" t="s">
        <v>38</v>
      </c>
      <c r="D115">
        <v>2021</v>
      </c>
      <c r="E115">
        <v>2.7343389231728081</v>
      </c>
      <c r="F115">
        <v>3.8314526417859192</v>
      </c>
      <c r="G115">
        <f t="shared" si="1"/>
        <v>1.097113718613111</v>
      </c>
      <c r="H115">
        <v>6.8156919307247312</v>
      </c>
    </row>
    <row r="116" spans="1:8" x14ac:dyDescent="0.35">
      <c r="A116" t="s">
        <v>68</v>
      </c>
      <c r="B116" t="s">
        <v>58</v>
      </c>
      <c r="C116" t="s">
        <v>40</v>
      </c>
      <c r="D116">
        <v>2021</v>
      </c>
      <c r="E116">
        <v>5.8723795390502653</v>
      </c>
      <c r="F116">
        <v>3.8314526417859192</v>
      </c>
      <c r="G116">
        <f t="shared" si="1"/>
        <v>-2.0409268972643462</v>
      </c>
      <c r="H116">
        <v>6.8156919307247312</v>
      </c>
    </row>
    <row r="117" spans="1:8" x14ac:dyDescent="0.35">
      <c r="A117" t="s">
        <v>68</v>
      </c>
      <c r="B117" t="s">
        <v>60</v>
      </c>
      <c r="C117" t="s">
        <v>40</v>
      </c>
      <c r="D117">
        <v>2021</v>
      </c>
      <c r="E117">
        <v>3.405406776981335</v>
      </c>
      <c r="F117">
        <v>3.8314526417859192</v>
      </c>
      <c r="G117">
        <f t="shared" si="1"/>
        <v>0.42604586480458417</v>
      </c>
      <c r="H117">
        <v>6.8156919307247312</v>
      </c>
    </row>
    <row r="118" spans="1:8" x14ac:dyDescent="0.35">
      <c r="A118" t="s">
        <v>68</v>
      </c>
      <c r="B118" t="s">
        <v>59</v>
      </c>
      <c r="C118" t="s">
        <v>38</v>
      </c>
      <c r="D118">
        <v>2022</v>
      </c>
      <c r="E118">
        <v>4.5927784434600882</v>
      </c>
      <c r="F118">
        <v>1.931834126476093</v>
      </c>
      <c r="G118">
        <f t="shared" si="1"/>
        <v>-2.6609443169839953</v>
      </c>
      <c r="H118">
        <v>8.1761583775401121</v>
      </c>
    </row>
    <row r="119" spans="1:8" x14ac:dyDescent="0.35">
      <c r="A119" t="s">
        <v>68</v>
      </c>
      <c r="B119" t="s">
        <v>61</v>
      </c>
      <c r="C119" t="s">
        <v>38</v>
      </c>
      <c r="D119">
        <v>2022</v>
      </c>
      <c r="E119">
        <v>1.55845355711639</v>
      </c>
      <c r="F119">
        <v>1.931834126476093</v>
      </c>
      <c r="G119">
        <f t="shared" si="1"/>
        <v>0.37338056935970299</v>
      </c>
      <c r="H119">
        <v>8.1761583775401121</v>
      </c>
    </row>
    <row r="120" spans="1:8" x14ac:dyDescent="0.35">
      <c r="A120" t="s">
        <v>68</v>
      </c>
      <c r="B120" t="s">
        <v>60</v>
      </c>
      <c r="C120" t="s">
        <v>40</v>
      </c>
      <c r="D120">
        <v>2022</v>
      </c>
      <c r="E120">
        <v>4.0547699734103224</v>
      </c>
      <c r="F120">
        <v>1.931834126476093</v>
      </c>
      <c r="G120">
        <f t="shared" si="1"/>
        <v>-2.1229358469342294</v>
      </c>
      <c r="H120">
        <v>8.1761583775401121</v>
      </c>
    </row>
    <row r="121" spans="1:8" x14ac:dyDescent="0.35">
      <c r="A121" t="s">
        <v>68</v>
      </c>
      <c r="B121" t="s">
        <v>62</v>
      </c>
      <c r="C121" t="s">
        <v>40</v>
      </c>
      <c r="D121">
        <v>2022</v>
      </c>
      <c r="E121">
        <v>1.5579683422439761</v>
      </c>
      <c r="F121">
        <v>1.931834126476093</v>
      </c>
      <c r="G121">
        <f t="shared" si="1"/>
        <v>0.37386578423211692</v>
      </c>
      <c r="H121">
        <v>8.1761583775401121</v>
      </c>
    </row>
    <row r="122" spans="1:8" x14ac:dyDescent="0.35">
      <c r="A122" t="s">
        <v>68</v>
      </c>
      <c r="B122" t="s">
        <v>61</v>
      </c>
      <c r="C122" t="s">
        <v>38</v>
      </c>
      <c r="D122">
        <v>2023</v>
      </c>
      <c r="E122">
        <v>-0.62595524483003429</v>
      </c>
      <c r="F122">
        <v>-0.81689108427086243</v>
      </c>
      <c r="G122">
        <f t="shared" si="1"/>
        <v>-0.19093583944082815</v>
      </c>
      <c r="H122">
        <v>7.6870184113631561</v>
      </c>
    </row>
    <row r="123" spans="1:8" x14ac:dyDescent="0.35">
      <c r="A123" t="s">
        <v>68</v>
      </c>
      <c r="B123" t="s">
        <v>63</v>
      </c>
      <c r="C123" t="s">
        <v>38</v>
      </c>
      <c r="D123">
        <v>2023</v>
      </c>
      <c r="E123">
        <v>-0.27334918709761569</v>
      </c>
      <c r="F123">
        <v>-0.81689108427086243</v>
      </c>
      <c r="G123">
        <f t="shared" si="1"/>
        <v>-0.54354189717324675</v>
      </c>
      <c r="H123">
        <v>7.6870184113631561</v>
      </c>
    </row>
    <row r="124" spans="1:8" x14ac:dyDescent="0.35">
      <c r="A124" t="s">
        <v>68</v>
      </c>
      <c r="B124" t="s">
        <v>62</v>
      </c>
      <c r="C124" t="s">
        <v>40</v>
      </c>
      <c r="D124">
        <v>2023</v>
      </c>
      <c r="E124">
        <v>2.4090316591396821</v>
      </c>
      <c r="F124">
        <v>-0.81689108427086243</v>
      </c>
      <c r="G124">
        <f t="shared" si="1"/>
        <v>-3.2259227434105444</v>
      </c>
      <c r="H124">
        <v>7.6870184113631561</v>
      </c>
    </row>
    <row r="125" spans="1:8" x14ac:dyDescent="0.35">
      <c r="A125" t="s">
        <v>68</v>
      </c>
      <c r="B125" t="s">
        <v>64</v>
      </c>
      <c r="C125" t="s">
        <v>40</v>
      </c>
      <c r="D125">
        <v>2023</v>
      </c>
      <c r="E125">
        <v>0.18957305278237691</v>
      </c>
      <c r="F125">
        <v>-0.81689108427086243</v>
      </c>
      <c r="G125">
        <f t="shared" si="1"/>
        <v>-1.0064641370532392</v>
      </c>
      <c r="H125">
        <v>7.6870184113631561</v>
      </c>
    </row>
    <row r="126" spans="1:8" x14ac:dyDescent="0.35">
      <c r="A126" t="s">
        <v>68</v>
      </c>
      <c r="B126" t="s">
        <v>63</v>
      </c>
      <c r="C126" t="s">
        <v>38</v>
      </c>
      <c r="D126">
        <v>2024</v>
      </c>
      <c r="E126">
        <v>0.80450584510622924</v>
      </c>
      <c r="F126">
        <v>4.0523394564314849E-2</v>
      </c>
      <c r="G126">
        <f t="shared" si="1"/>
        <v>-0.76398245054191438</v>
      </c>
      <c r="H126">
        <v>7.109230495453148</v>
      </c>
    </row>
    <row r="127" spans="1:8" x14ac:dyDescent="0.35">
      <c r="A127" t="s">
        <v>68</v>
      </c>
      <c r="B127" t="s">
        <v>65</v>
      </c>
      <c r="C127" t="s">
        <v>38</v>
      </c>
      <c r="D127">
        <v>2024</v>
      </c>
      <c r="E127">
        <v>-0.1114510968873272</v>
      </c>
      <c r="F127">
        <v>4.0523394564314849E-2</v>
      </c>
      <c r="G127">
        <f t="shared" si="1"/>
        <v>0.15197449145164205</v>
      </c>
      <c r="H127">
        <v>7.109230495453148</v>
      </c>
    </row>
    <row r="128" spans="1:8" x14ac:dyDescent="0.35">
      <c r="A128" t="s">
        <v>68</v>
      </c>
      <c r="B128" t="s">
        <v>64</v>
      </c>
      <c r="C128" t="s">
        <v>40</v>
      </c>
      <c r="D128">
        <v>2024</v>
      </c>
      <c r="E128">
        <v>1.358688832068133</v>
      </c>
      <c r="F128">
        <v>4.0523394564314849E-2</v>
      </c>
      <c r="G128">
        <f t="shared" si="1"/>
        <v>-1.3181654375038181</v>
      </c>
      <c r="H128">
        <v>7.109230495453148</v>
      </c>
    </row>
    <row r="129" spans="1:8" x14ac:dyDescent="0.35">
      <c r="A129" t="s">
        <v>68</v>
      </c>
      <c r="B129" t="s">
        <v>66</v>
      </c>
      <c r="C129" t="s">
        <v>40</v>
      </c>
      <c r="D129">
        <v>2024</v>
      </c>
      <c r="E129">
        <v>0.12753656568900151</v>
      </c>
      <c r="F129">
        <v>4.0523394564314849E-2</v>
      </c>
      <c r="G129">
        <f t="shared" si="1"/>
        <v>-8.7013171124686664E-2</v>
      </c>
      <c r="H129">
        <v>7.109230495453148</v>
      </c>
    </row>
    <row r="130" spans="1:8" x14ac:dyDescent="0.35">
      <c r="A130" t="s">
        <v>68</v>
      </c>
      <c r="B130" t="s">
        <v>65</v>
      </c>
      <c r="C130" t="s">
        <v>38</v>
      </c>
      <c r="D130">
        <v>2025</v>
      </c>
      <c r="E130">
        <v>0.69333808233418281</v>
      </c>
      <c r="F130">
        <v>0.34025588112837718</v>
      </c>
      <c r="G130">
        <f t="shared" ref="G130:G193" si="2">IF(OR(F130="",E130=""),"",F130-E130)</f>
        <v>-0.35308220120580563</v>
      </c>
      <c r="H130">
        <v>7.280321526767084</v>
      </c>
    </row>
    <row r="131" spans="1:8" x14ac:dyDescent="0.35">
      <c r="A131" t="s">
        <v>68</v>
      </c>
      <c r="B131" t="s">
        <v>71</v>
      </c>
      <c r="C131" t="s">
        <v>38</v>
      </c>
      <c r="D131">
        <v>2025</v>
      </c>
      <c r="E131">
        <v>0.17068748819852869</v>
      </c>
      <c r="F131">
        <v>0.34025588112837718</v>
      </c>
      <c r="G131">
        <f t="shared" si="2"/>
        <v>0.16956839292984849</v>
      </c>
      <c r="H131">
        <v>7.280321526767084</v>
      </c>
    </row>
    <row r="132" spans="1:8" x14ac:dyDescent="0.35">
      <c r="A132" t="s">
        <v>68</v>
      </c>
      <c r="B132" t="s">
        <v>66</v>
      </c>
      <c r="C132" t="s">
        <v>40</v>
      </c>
      <c r="D132">
        <v>2025</v>
      </c>
      <c r="E132">
        <v>1.014129227832639</v>
      </c>
      <c r="F132">
        <v>0.34025588112837718</v>
      </c>
      <c r="G132">
        <f t="shared" si="2"/>
        <v>-0.67387334670426191</v>
      </c>
      <c r="H132">
        <v>7.280321526767084</v>
      </c>
    </row>
    <row r="133" spans="1:8" x14ac:dyDescent="0.35">
      <c r="A133" t="s">
        <v>68</v>
      </c>
      <c r="B133" t="s">
        <v>72</v>
      </c>
      <c r="C133" t="s">
        <v>40</v>
      </c>
      <c r="D133">
        <v>2025</v>
      </c>
      <c r="E133">
        <v>-2.9831521216272531E-2</v>
      </c>
      <c r="F133">
        <v>0.34025588112837718</v>
      </c>
      <c r="G133">
        <f t="shared" si="2"/>
        <v>0.37008740234464971</v>
      </c>
      <c r="H133">
        <v>7.280321526767084</v>
      </c>
    </row>
    <row r="134" spans="1:8" x14ac:dyDescent="0.35">
      <c r="A134" t="s">
        <v>69</v>
      </c>
      <c r="B134" t="s">
        <v>45</v>
      </c>
      <c r="C134" t="s">
        <v>38</v>
      </c>
      <c r="D134">
        <v>2015</v>
      </c>
      <c r="E134">
        <v>1.7298208953237191</v>
      </c>
      <c r="F134">
        <v>3.980574024380553</v>
      </c>
      <c r="G134">
        <f t="shared" si="2"/>
        <v>2.2507531290568341</v>
      </c>
      <c r="H134">
        <v>0.2475573113650236</v>
      </c>
    </row>
    <row r="135" spans="1:8" x14ac:dyDescent="0.35">
      <c r="A135" t="s">
        <v>69</v>
      </c>
      <c r="B135" t="s">
        <v>47</v>
      </c>
      <c r="C135" t="s">
        <v>38</v>
      </c>
      <c r="D135">
        <v>2015</v>
      </c>
      <c r="E135">
        <v>3.1330217546616361</v>
      </c>
      <c r="F135">
        <v>3.980574024380553</v>
      </c>
      <c r="G135">
        <f t="shared" si="2"/>
        <v>0.84755226971891684</v>
      </c>
      <c r="H135">
        <v>0.2475573113650236</v>
      </c>
    </row>
    <row r="136" spans="1:8" x14ac:dyDescent="0.35">
      <c r="A136" t="s">
        <v>69</v>
      </c>
      <c r="B136" t="s">
        <v>46</v>
      </c>
      <c r="C136" t="s">
        <v>40</v>
      </c>
      <c r="D136">
        <v>2015</v>
      </c>
      <c r="E136">
        <v>2.0578550096999941</v>
      </c>
      <c r="F136">
        <v>3.980574024380553</v>
      </c>
      <c r="G136">
        <f t="shared" si="2"/>
        <v>1.9227190146805588</v>
      </c>
      <c r="H136">
        <v>0.2475573113650236</v>
      </c>
    </row>
    <row r="137" spans="1:8" x14ac:dyDescent="0.35">
      <c r="A137" t="s">
        <v>69</v>
      </c>
      <c r="B137" t="s">
        <v>48</v>
      </c>
      <c r="C137" t="s">
        <v>40</v>
      </c>
      <c r="D137">
        <v>2015</v>
      </c>
      <c r="E137">
        <v>2.8163023499567119</v>
      </c>
      <c r="F137">
        <v>3.980574024380553</v>
      </c>
      <c r="G137">
        <f t="shared" si="2"/>
        <v>1.1642716744238411</v>
      </c>
      <c r="H137">
        <v>0.2475573113650236</v>
      </c>
    </row>
    <row r="138" spans="1:8" x14ac:dyDescent="0.35">
      <c r="A138" t="s">
        <v>69</v>
      </c>
      <c r="B138" t="s">
        <v>47</v>
      </c>
      <c r="C138" t="s">
        <v>38</v>
      </c>
      <c r="D138">
        <v>2016</v>
      </c>
      <c r="E138">
        <v>2.6664587847684769</v>
      </c>
      <c r="F138">
        <v>2.8733724111720398</v>
      </c>
      <c r="G138">
        <f t="shared" si="2"/>
        <v>0.20691362640356292</v>
      </c>
      <c r="H138">
        <v>0.32671076843180541</v>
      </c>
    </row>
    <row r="139" spans="1:8" x14ac:dyDescent="0.35">
      <c r="A139" t="s">
        <v>69</v>
      </c>
      <c r="B139" t="s">
        <v>49</v>
      </c>
      <c r="C139" t="s">
        <v>38</v>
      </c>
      <c r="D139">
        <v>2016</v>
      </c>
      <c r="E139">
        <v>3.1977481622379229</v>
      </c>
      <c r="F139">
        <v>2.8733724111720398</v>
      </c>
      <c r="G139">
        <f t="shared" si="2"/>
        <v>-0.32437575106588312</v>
      </c>
      <c r="H139">
        <v>0.32671076843180541</v>
      </c>
    </row>
    <row r="140" spans="1:8" x14ac:dyDescent="0.35">
      <c r="A140" t="s">
        <v>69</v>
      </c>
      <c r="B140" t="s">
        <v>48</v>
      </c>
      <c r="C140" t="s">
        <v>40</v>
      </c>
      <c r="D140">
        <v>2016</v>
      </c>
      <c r="E140">
        <v>2.5804277166284968</v>
      </c>
      <c r="F140">
        <v>2.8733724111720398</v>
      </c>
      <c r="G140">
        <f t="shared" si="2"/>
        <v>0.29294469454354299</v>
      </c>
      <c r="H140">
        <v>0.32671076843180541</v>
      </c>
    </row>
    <row r="141" spans="1:8" x14ac:dyDescent="0.35">
      <c r="A141" t="s">
        <v>69</v>
      </c>
      <c r="B141" t="s">
        <v>50</v>
      </c>
      <c r="C141" t="s">
        <v>40</v>
      </c>
      <c r="D141">
        <v>2016</v>
      </c>
      <c r="E141">
        <v>2.5934687983342641</v>
      </c>
      <c r="F141">
        <v>2.8733724111720398</v>
      </c>
      <c r="G141">
        <f t="shared" si="2"/>
        <v>0.27990361283777565</v>
      </c>
      <c r="H141">
        <v>0.32671076843180541</v>
      </c>
    </row>
    <row r="142" spans="1:8" x14ac:dyDescent="0.35">
      <c r="A142" t="s">
        <v>69</v>
      </c>
      <c r="B142" t="s">
        <v>49</v>
      </c>
      <c r="C142" t="s">
        <v>38</v>
      </c>
      <c r="D142">
        <v>2017</v>
      </c>
      <c r="E142">
        <v>2.255443360388365</v>
      </c>
      <c r="F142">
        <v>2.855001546118654</v>
      </c>
      <c r="G142">
        <f t="shared" si="2"/>
        <v>0.59955818573028896</v>
      </c>
      <c r="H142">
        <v>0.31053671124002452</v>
      </c>
    </row>
    <row r="143" spans="1:8" x14ac:dyDescent="0.35">
      <c r="A143" t="s">
        <v>69</v>
      </c>
      <c r="B143" t="s">
        <v>51</v>
      </c>
      <c r="C143" t="s">
        <v>38</v>
      </c>
      <c r="D143">
        <v>2017</v>
      </c>
      <c r="E143">
        <v>3.068359604619419</v>
      </c>
      <c r="F143">
        <v>2.855001546118654</v>
      </c>
      <c r="G143">
        <f t="shared" si="2"/>
        <v>-0.21335805850076506</v>
      </c>
      <c r="H143">
        <v>0.31053671124002452</v>
      </c>
    </row>
    <row r="144" spans="1:8" x14ac:dyDescent="0.35">
      <c r="A144" t="s">
        <v>69</v>
      </c>
      <c r="B144" t="s">
        <v>50</v>
      </c>
      <c r="C144" t="s">
        <v>40</v>
      </c>
      <c r="D144">
        <v>2017</v>
      </c>
      <c r="E144">
        <v>2.5049942578537321</v>
      </c>
      <c r="F144">
        <v>2.855001546118654</v>
      </c>
      <c r="G144">
        <f t="shared" si="2"/>
        <v>0.35000728826492189</v>
      </c>
      <c r="H144">
        <v>0.31053671124002452</v>
      </c>
    </row>
    <row r="145" spans="1:8" x14ac:dyDescent="0.35">
      <c r="A145" t="s">
        <v>69</v>
      </c>
      <c r="B145" t="s">
        <v>52</v>
      </c>
      <c r="C145" t="s">
        <v>40</v>
      </c>
      <c r="D145">
        <v>2017</v>
      </c>
      <c r="E145">
        <v>2.763295099061525</v>
      </c>
      <c r="F145">
        <v>2.855001546118654</v>
      </c>
      <c r="G145">
        <f t="shared" si="2"/>
        <v>9.1706447057128937E-2</v>
      </c>
      <c r="H145">
        <v>0.31053671124002452</v>
      </c>
    </row>
    <row r="146" spans="1:8" x14ac:dyDescent="0.35">
      <c r="A146" t="s">
        <v>69</v>
      </c>
      <c r="B146" t="s">
        <v>51</v>
      </c>
      <c r="C146" t="s">
        <v>38</v>
      </c>
      <c r="D146">
        <v>2018</v>
      </c>
      <c r="E146">
        <v>2.5372488700963869</v>
      </c>
      <c r="F146">
        <v>2.367158610415725</v>
      </c>
      <c r="G146">
        <f t="shared" si="2"/>
        <v>-0.17009025968066194</v>
      </c>
      <c r="H146">
        <v>0.37142317776040679</v>
      </c>
    </row>
    <row r="147" spans="1:8" x14ac:dyDescent="0.35">
      <c r="A147" t="s">
        <v>69</v>
      </c>
      <c r="B147" t="s">
        <v>53</v>
      </c>
      <c r="C147" t="s">
        <v>38</v>
      </c>
      <c r="D147">
        <v>2018</v>
      </c>
      <c r="E147">
        <v>2.5579730614092582</v>
      </c>
      <c r="F147">
        <v>2.367158610415725</v>
      </c>
      <c r="G147">
        <f t="shared" si="2"/>
        <v>-0.19081445099353322</v>
      </c>
      <c r="H147">
        <v>0.37142317776040679</v>
      </c>
    </row>
    <row r="148" spans="1:8" x14ac:dyDescent="0.35">
      <c r="A148" t="s">
        <v>69</v>
      </c>
      <c r="B148" t="s">
        <v>52</v>
      </c>
      <c r="C148" t="s">
        <v>40</v>
      </c>
      <c r="D148">
        <v>2018</v>
      </c>
      <c r="E148">
        <v>2.3641938543665701</v>
      </c>
      <c r="F148">
        <v>2.367158610415725</v>
      </c>
      <c r="G148">
        <f t="shared" si="2"/>
        <v>2.9647560491548042E-3</v>
      </c>
      <c r="H148">
        <v>0.37142317776040679</v>
      </c>
    </row>
    <row r="149" spans="1:8" x14ac:dyDescent="0.35">
      <c r="A149" t="s">
        <v>69</v>
      </c>
      <c r="B149" t="s">
        <v>54</v>
      </c>
      <c r="C149" t="s">
        <v>40</v>
      </c>
      <c r="D149">
        <v>2018</v>
      </c>
      <c r="E149">
        <v>2.8513007726971522</v>
      </c>
      <c r="F149">
        <v>2.367158610415725</v>
      </c>
      <c r="G149">
        <f t="shared" si="2"/>
        <v>-0.48414216228142726</v>
      </c>
      <c r="H149">
        <v>0.37142317776040679</v>
      </c>
    </row>
    <row r="150" spans="1:8" x14ac:dyDescent="0.35">
      <c r="A150" t="s">
        <v>69</v>
      </c>
      <c r="B150" t="s">
        <v>53</v>
      </c>
      <c r="C150" t="s">
        <v>38</v>
      </c>
      <c r="D150">
        <v>2019</v>
      </c>
      <c r="E150">
        <v>2.1553608163649152</v>
      </c>
      <c r="F150">
        <v>1.9422910480512949</v>
      </c>
      <c r="G150">
        <f t="shared" si="2"/>
        <v>-0.21306976831362023</v>
      </c>
      <c r="H150">
        <v>0.4611968442438833</v>
      </c>
    </row>
    <row r="151" spans="1:8" x14ac:dyDescent="0.35">
      <c r="A151" t="s">
        <v>69</v>
      </c>
      <c r="B151" t="s">
        <v>55</v>
      </c>
      <c r="C151" t="s">
        <v>38</v>
      </c>
      <c r="D151">
        <v>2019</v>
      </c>
      <c r="E151">
        <v>1.870053317687548</v>
      </c>
      <c r="F151">
        <v>1.9422910480512949</v>
      </c>
      <c r="G151">
        <f t="shared" si="2"/>
        <v>7.2237730363746921E-2</v>
      </c>
      <c r="H151">
        <v>0.4611968442438833</v>
      </c>
    </row>
    <row r="152" spans="1:8" x14ac:dyDescent="0.35">
      <c r="A152" t="s">
        <v>69</v>
      </c>
      <c r="B152" t="s">
        <v>54</v>
      </c>
      <c r="C152" t="s">
        <v>40</v>
      </c>
      <c r="D152">
        <v>2019</v>
      </c>
      <c r="E152">
        <v>2.355960635013798</v>
      </c>
      <c r="F152">
        <v>1.9422910480512949</v>
      </c>
      <c r="G152">
        <f t="shared" si="2"/>
        <v>-0.41366958696250311</v>
      </c>
      <c r="H152">
        <v>0.4611968442438833</v>
      </c>
    </row>
    <row r="153" spans="1:8" x14ac:dyDescent="0.35">
      <c r="A153" t="s">
        <v>69</v>
      </c>
      <c r="B153" t="s">
        <v>56</v>
      </c>
      <c r="C153" t="s">
        <v>40</v>
      </c>
      <c r="D153">
        <v>2019</v>
      </c>
      <c r="E153">
        <v>2.0959399874803002</v>
      </c>
      <c r="F153">
        <v>1.9422910480512949</v>
      </c>
      <c r="G153">
        <f t="shared" si="2"/>
        <v>-0.15364893942900526</v>
      </c>
      <c r="H153">
        <v>0.4611968442438833</v>
      </c>
    </row>
    <row r="154" spans="1:8" x14ac:dyDescent="0.35">
      <c r="A154" t="s">
        <v>69</v>
      </c>
      <c r="B154" t="s">
        <v>55</v>
      </c>
      <c r="C154" t="s">
        <v>38</v>
      </c>
      <c r="D154">
        <v>2020</v>
      </c>
      <c r="E154">
        <v>1.490576223487361</v>
      </c>
      <c r="F154">
        <v>-11.58616521695834</v>
      </c>
      <c r="G154">
        <f t="shared" si="2"/>
        <v>-13.076741440445701</v>
      </c>
      <c r="H154">
        <v>0.60415892118981396</v>
      </c>
    </row>
    <row r="155" spans="1:8" x14ac:dyDescent="0.35">
      <c r="A155" t="s">
        <v>69</v>
      </c>
      <c r="B155" t="s">
        <v>57</v>
      </c>
      <c r="C155" t="s">
        <v>38</v>
      </c>
      <c r="D155">
        <v>2020</v>
      </c>
      <c r="E155">
        <v>-12.410533977614319</v>
      </c>
      <c r="F155">
        <v>-11.58616521695834</v>
      </c>
      <c r="G155">
        <f t="shared" si="2"/>
        <v>0.82436876065597886</v>
      </c>
      <c r="H155">
        <v>0.60415892118981396</v>
      </c>
    </row>
    <row r="156" spans="1:8" x14ac:dyDescent="0.35">
      <c r="A156" t="s">
        <v>69</v>
      </c>
      <c r="B156" t="s">
        <v>56</v>
      </c>
      <c r="C156" t="s">
        <v>40</v>
      </c>
      <c r="D156">
        <v>2020</v>
      </c>
      <c r="E156">
        <v>1.863359760106897</v>
      </c>
      <c r="F156">
        <v>-11.58616521695834</v>
      </c>
      <c r="G156">
        <f t="shared" si="2"/>
        <v>-13.449524977065238</v>
      </c>
      <c r="H156">
        <v>0.60415892118981396</v>
      </c>
    </row>
    <row r="157" spans="1:8" x14ac:dyDescent="0.35">
      <c r="A157" t="s">
        <v>69</v>
      </c>
      <c r="B157" t="s">
        <v>58</v>
      </c>
      <c r="C157" t="s">
        <v>40</v>
      </c>
      <c r="D157">
        <v>2020</v>
      </c>
      <c r="E157">
        <v>-9.3843459766278272</v>
      </c>
      <c r="F157">
        <v>-11.58616521695834</v>
      </c>
      <c r="G157">
        <f t="shared" si="2"/>
        <v>-2.2018192403305132</v>
      </c>
      <c r="H157">
        <v>0.60415892118981396</v>
      </c>
    </row>
    <row r="158" spans="1:8" x14ac:dyDescent="0.35">
      <c r="A158" t="s">
        <v>69</v>
      </c>
      <c r="B158" t="s">
        <v>57</v>
      </c>
      <c r="C158" t="s">
        <v>38</v>
      </c>
      <c r="D158">
        <v>2021</v>
      </c>
      <c r="E158">
        <v>5.3508536215682634</v>
      </c>
      <c r="F158">
        <v>6.4693143142877041</v>
      </c>
      <c r="G158">
        <f t="shared" si="2"/>
        <v>1.1184606927194407</v>
      </c>
      <c r="H158">
        <v>0.95674972420897775</v>
      </c>
    </row>
    <row r="159" spans="1:8" x14ac:dyDescent="0.35">
      <c r="A159" t="s">
        <v>69</v>
      </c>
      <c r="B159" t="s">
        <v>59</v>
      </c>
      <c r="C159" t="s">
        <v>38</v>
      </c>
      <c r="D159">
        <v>2021</v>
      </c>
      <c r="E159">
        <v>4.6234510847103616</v>
      </c>
      <c r="F159">
        <v>6.4693143142877041</v>
      </c>
      <c r="G159">
        <f t="shared" si="2"/>
        <v>1.8458632295773425</v>
      </c>
      <c r="H159">
        <v>0.95674972420897775</v>
      </c>
    </row>
    <row r="160" spans="1:8" x14ac:dyDescent="0.35">
      <c r="A160" t="s">
        <v>69</v>
      </c>
      <c r="B160" t="s">
        <v>58</v>
      </c>
      <c r="C160" t="s">
        <v>40</v>
      </c>
      <c r="D160">
        <v>2021</v>
      </c>
      <c r="E160">
        <v>6.9761759541974167</v>
      </c>
      <c r="F160">
        <v>6.4693143142877041</v>
      </c>
      <c r="G160">
        <f t="shared" si="2"/>
        <v>-0.50686163990971256</v>
      </c>
      <c r="H160">
        <v>0.95674972420897775</v>
      </c>
    </row>
    <row r="161" spans="1:8" x14ac:dyDescent="0.35">
      <c r="A161" t="s">
        <v>69</v>
      </c>
      <c r="B161" t="s">
        <v>60</v>
      </c>
      <c r="C161" t="s">
        <v>40</v>
      </c>
      <c r="D161">
        <v>2021</v>
      </c>
      <c r="E161">
        <v>5.8812532644924698</v>
      </c>
      <c r="F161">
        <v>6.4693143142877041</v>
      </c>
      <c r="G161">
        <f t="shared" si="2"/>
        <v>0.58806104979523433</v>
      </c>
      <c r="H161">
        <v>0.95674972420897775</v>
      </c>
    </row>
    <row r="162" spans="1:8" x14ac:dyDescent="0.35">
      <c r="A162" t="s">
        <v>69</v>
      </c>
      <c r="B162" t="s">
        <v>59</v>
      </c>
      <c r="C162" t="s">
        <v>38</v>
      </c>
      <c r="D162">
        <v>2022</v>
      </c>
      <c r="E162">
        <v>5.5278236152833893</v>
      </c>
      <c r="F162">
        <v>6.1757125573772758</v>
      </c>
      <c r="G162">
        <f t="shared" si="2"/>
        <v>0.64788894209388648</v>
      </c>
      <c r="H162">
        <v>0.7506448684246857</v>
      </c>
    </row>
    <row r="163" spans="1:8" x14ac:dyDescent="0.35">
      <c r="A163" t="s">
        <v>69</v>
      </c>
      <c r="B163" t="s">
        <v>61</v>
      </c>
      <c r="C163" t="s">
        <v>38</v>
      </c>
      <c r="D163">
        <v>2022</v>
      </c>
      <c r="E163">
        <v>4.547669246739372</v>
      </c>
      <c r="F163">
        <v>6.1757125573772758</v>
      </c>
      <c r="G163">
        <f t="shared" si="2"/>
        <v>1.6280433106379038</v>
      </c>
      <c r="H163">
        <v>0.7506448684246857</v>
      </c>
    </row>
    <row r="164" spans="1:8" x14ac:dyDescent="0.35">
      <c r="A164" t="s">
        <v>69</v>
      </c>
      <c r="B164" t="s">
        <v>60</v>
      </c>
      <c r="C164" t="s">
        <v>40</v>
      </c>
      <c r="D164">
        <v>2022</v>
      </c>
      <c r="E164">
        <v>6.7779918001151573</v>
      </c>
      <c r="F164">
        <v>6.1757125573772758</v>
      </c>
      <c r="G164">
        <f t="shared" si="2"/>
        <v>-0.60227924273788158</v>
      </c>
      <c r="H164">
        <v>0.7506448684246857</v>
      </c>
    </row>
    <row r="165" spans="1:8" x14ac:dyDescent="0.35">
      <c r="A165" t="s">
        <v>69</v>
      </c>
      <c r="B165" t="s">
        <v>62</v>
      </c>
      <c r="C165" t="s">
        <v>40</v>
      </c>
      <c r="D165">
        <v>2022</v>
      </c>
      <c r="E165">
        <v>4.0260894815609127</v>
      </c>
      <c r="F165">
        <v>6.1757125573772758</v>
      </c>
      <c r="G165">
        <f t="shared" si="2"/>
        <v>2.149623075816363</v>
      </c>
      <c r="H165">
        <v>0.7506448684246857</v>
      </c>
    </row>
    <row r="166" spans="1:8" x14ac:dyDescent="0.35">
      <c r="A166" t="s">
        <v>69</v>
      </c>
      <c r="B166" t="s">
        <v>61</v>
      </c>
      <c r="C166" t="s">
        <v>38</v>
      </c>
      <c r="D166">
        <v>2023</v>
      </c>
      <c r="E166">
        <v>0.95503996038659444</v>
      </c>
      <c r="F166">
        <v>2.4309784639696339</v>
      </c>
      <c r="G166">
        <f t="shared" si="2"/>
        <v>1.4759385035830395</v>
      </c>
      <c r="H166">
        <v>0.99080783677360684</v>
      </c>
    </row>
    <row r="167" spans="1:8" x14ac:dyDescent="0.35">
      <c r="A167" t="s">
        <v>69</v>
      </c>
      <c r="B167" t="s">
        <v>63</v>
      </c>
      <c r="C167" t="s">
        <v>38</v>
      </c>
      <c r="D167">
        <v>2023</v>
      </c>
      <c r="E167">
        <v>2.3654844972287088</v>
      </c>
      <c r="F167">
        <v>2.4309784639696339</v>
      </c>
      <c r="G167">
        <f t="shared" si="2"/>
        <v>6.5493966740925114E-2</v>
      </c>
      <c r="H167">
        <v>0.99080783677360684</v>
      </c>
    </row>
    <row r="168" spans="1:8" x14ac:dyDescent="0.35">
      <c r="A168" t="s">
        <v>69</v>
      </c>
      <c r="B168" t="s">
        <v>62</v>
      </c>
      <c r="C168" t="s">
        <v>40</v>
      </c>
      <c r="D168">
        <v>2023</v>
      </c>
      <c r="E168">
        <v>3.3729684974310499</v>
      </c>
      <c r="F168">
        <v>2.4309784639696339</v>
      </c>
      <c r="G168">
        <f t="shared" si="2"/>
        <v>-0.94199003346141597</v>
      </c>
      <c r="H168">
        <v>0.99080783677360684</v>
      </c>
    </row>
    <row r="169" spans="1:8" x14ac:dyDescent="0.35">
      <c r="A169" t="s">
        <v>69</v>
      </c>
      <c r="B169" t="s">
        <v>64</v>
      </c>
      <c r="C169" t="s">
        <v>40</v>
      </c>
      <c r="D169">
        <v>2023</v>
      </c>
      <c r="E169">
        <v>1.9366811763456671</v>
      </c>
      <c r="F169">
        <v>2.4309784639696339</v>
      </c>
      <c r="G169">
        <f t="shared" si="2"/>
        <v>0.49429728762396685</v>
      </c>
      <c r="H169">
        <v>0.99080783677360684</v>
      </c>
    </row>
    <row r="170" spans="1:8" x14ac:dyDescent="0.35">
      <c r="A170" t="s">
        <v>69</v>
      </c>
      <c r="B170" t="s">
        <v>63</v>
      </c>
      <c r="C170" t="s">
        <v>38</v>
      </c>
      <c r="D170">
        <v>2024</v>
      </c>
      <c r="E170">
        <v>1.660542743130144</v>
      </c>
      <c r="F170">
        <v>3.3969031373447791</v>
      </c>
      <c r="G170">
        <f t="shared" si="2"/>
        <v>1.7363603942146351</v>
      </c>
      <c r="H170">
        <v>0.80485602708870874</v>
      </c>
    </row>
    <row r="171" spans="1:8" x14ac:dyDescent="0.35">
      <c r="A171" t="s">
        <v>69</v>
      </c>
      <c r="B171" t="s">
        <v>65</v>
      </c>
      <c r="C171" t="s">
        <v>38</v>
      </c>
      <c r="D171">
        <v>2024</v>
      </c>
      <c r="E171">
        <v>2.966936931003072</v>
      </c>
      <c r="F171">
        <v>3.3969031373447791</v>
      </c>
      <c r="G171">
        <f t="shared" si="2"/>
        <v>0.42996620634170712</v>
      </c>
      <c r="H171">
        <v>0.80485602708870874</v>
      </c>
    </row>
    <row r="172" spans="1:8" x14ac:dyDescent="0.35">
      <c r="A172" t="s">
        <v>69</v>
      </c>
      <c r="B172" t="s">
        <v>64</v>
      </c>
      <c r="C172" t="s">
        <v>40</v>
      </c>
      <c r="D172">
        <v>2024</v>
      </c>
      <c r="E172">
        <v>1.9648768473316871</v>
      </c>
      <c r="F172">
        <v>3.3969031373447791</v>
      </c>
      <c r="G172">
        <f t="shared" si="2"/>
        <v>1.432026290013092</v>
      </c>
      <c r="H172">
        <v>0.80485602708870874</v>
      </c>
    </row>
    <row r="173" spans="1:8" x14ac:dyDescent="0.35">
      <c r="A173" t="s">
        <v>69</v>
      </c>
      <c r="B173" t="s">
        <v>66</v>
      </c>
      <c r="C173" t="s">
        <v>40</v>
      </c>
      <c r="D173">
        <v>2024</v>
      </c>
      <c r="E173">
        <v>2.1447304612078222</v>
      </c>
      <c r="F173">
        <v>3.3969031373447791</v>
      </c>
      <c r="G173">
        <f t="shared" si="2"/>
        <v>1.2521726761369569</v>
      </c>
      <c r="H173">
        <v>0.80485602708870874</v>
      </c>
    </row>
    <row r="174" spans="1:8" x14ac:dyDescent="0.35">
      <c r="A174" t="s">
        <v>69</v>
      </c>
      <c r="B174" t="s">
        <v>65</v>
      </c>
      <c r="C174" t="s">
        <v>38</v>
      </c>
      <c r="D174">
        <v>2025</v>
      </c>
      <c r="E174">
        <v>2.3460653050844331</v>
      </c>
      <c r="F174">
        <v>2.7857852243734129</v>
      </c>
      <c r="G174">
        <f t="shared" si="2"/>
        <v>0.4397199192889798</v>
      </c>
      <c r="H174">
        <v>0.90409953771843354</v>
      </c>
    </row>
    <row r="175" spans="1:8" x14ac:dyDescent="0.35">
      <c r="A175" t="s">
        <v>69</v>
      </c>
      <c r="B175" t="s">
        <v>71</v>
      </c>
      <c r="C175" t="s">
        <v>38</v>
      </c>
      <c r="D175">
        <v>2025</v>
      </c>
      <c r="E175">
        <v>2.8680409593299978</v>
      </c>
      <c r="F175">
        <v>2.7857852243734129</v>
      </c>
      <c r="G175">
        <f t="shared" si="2"/>
        <v>-8.2255734956584892E-2</v>
      </c>
      <c r="H175">
        <v>0.90409953771843354</v>
      </c>
    </row>
    <row r="176" spans="1:8" x14ac:dyDescent="0.35">
      <c r="A176" t="s">
        <v>69</v>
      </c>
      <c r="B176" t="s">
        <v>66</v>
      </c>
      <c r="C176" t="s">
        <v>40</v>
      </c>
      <c r="D176">
        <v>2025</v>
      </c>
      <c r="E176">
        <v>1.947420292593427</v>
      </c>
      <c r="F176">
        <v>2.7857852243734129</v>
      </c>
      <c r="G176">
        <f t="shared" si="2"/>
        <v>0.83836493177998594</v>
      </c>
      <c r="H176">
        <v>0.90409953771843354</v>
      </c>
    </row>
    <row r="177" spans="1:8" x14ac:dyDescent="0.35">
      <c r="A177" t="s">
        <v>69</v>
      </c>
      <c r="B177" t="s">
        <v>72</v>
      </c>
      <c r="C177" t="s">
        <v>40</v>
      </c>
      <c r="D177">
        <v>2025</v>
      </c>
      <c r="E177">
        <v>2.5510068501240162</v>
      </c>
      <c r="F177">
        <v>2.7857852243734129</v>
      </c>
      <c r="G177">
        <f t="shared" si="2"/>
        <v>0.23477837424939674</v>
      </c>
      <c r="H177">
        <v>0.90409953771843354</v>
      </c>
    </row>
    <row r="178" spans="1:8" x14ac:dyDescent="0.35">
      <c r="A178" t="s">
        <v>70</v>
      </c>
      <c r="B178" t="s">
        <v>45</v>
      </c>
      <c r="C178" t="s">
        <v>38</v>
      </c>
      <c r="D178">
        <v>2015</v>
      </c>
      <c r="E178">
        <v>0.6115453306968277</v>
      </c>
      <c r="F178">
        <v>0.46533578746174248</v>
      </c>
      <c r="G178">
        <f t="shared" si="2"/>
        <v>-0.14620954323508523</v>
      </c>
      <c r="H178">
        <v>0.60506274617036004</v>
      </c>
    </row>
    <row r="179" spans="1:8" x14ac:dyDescent="0.35">
      <c r="A179" t="s">
        <v>70</v>
      </c>
      <c r="B179" t="s">
        <v>47</v>
      </c>
      <c r="C179" t="s">
        <v>38</v>
      </c>
      <c r="D179">
        <v>2015</v>
      </c>
      <c r="E179">
        <v>0.33999838965084178</v>
      </c>
      <c r="F179">
        <v>0.46533578746174248</v>
      </c>
      <c r="G179">
        <f t="shared" si="2"/>
        <v>0.1253373978109007</v>
      </c>
      <c r="H179">
        <v>0.60506274617036004</v>
      </c>
    </row>
    <row r="180" spans="1:8" x14ac:dyDescent="0.35">
      <c r="A180" t="s">
        <v>70</v>
      </c>
      <c r="B180" t="s">
        <v>46</v>
      </c>
      <c r="C180" t="s">
        <v>40</v>
      </c>
      <c r="D180">
        <v>2015</v>
      </c>
      <c r="E180">
        <v>1.03813878882193</v>
      </c>
      <c r="F180">
        <v>0.46533578746174248</v>
      </c>
      <c r="G180">
        <f t="shared" si="2"/>
        <v>-0.57280300136018747</v>
      </c>
      <c r="H180">
        <v>0.60506274617036004</v>
      </c>
    </row>
    <row r="181" spans="1:8" x14ac:dyDescent="0.35">
      <c r="A181" t="s">
        <v>70</v>
      </c>
      <c r="B181" t="s">
        <v>48</v>
      </c>
      <c r="C181" t="s">
        <v>40</v>
      </c>
      <c r="D181">
        <v>2015</v>
      </c>
      <c r="E181">
        <v>0.34221817011690359</v>
      </c>
      <c r="F181">
        <v>0.46533578746174248</v>
      </c>
      <c r="G181">
        <f t="shared" si="2"/>
        <v>0.12311761734483889</v>
      </c>
      <c r="H181">
        <v>0.60506274617036004</v>
      </c>
    </row>
    <row r="182" spans="1:8" x14ac:dyDescent="0.35">
      <c r="A182" t="s">
        <v>70</v>
      </c>
      <c r="B182" t="s">
        <v>47</v>
      </c>
      <c r="C182" t="s">
        <v>38</v>
      </c>
      <c r="D182">
        <v>2016</v>
      </c>
      <c r="E182">
        <v>0.66078776686688823</v>
      </c>
      <c r="F182">
        <v>2.5394630680659041</v>
      </c>
      <c r="G182">
        <f t="shared" si="2"/>
        <v>1.8786753011990158</v>
      </c>
      <c r="H182">
        <v>0.52473108957558956</v>
      </c>
    </row>
    <row r="183" spans="1:8" x14ac:dyDescent="0.35">
      <c r="A183" t="s">
        <v>70</v>
      </c>
      <c r="B183" t="s">
        <v>49</v>
      </c>
      <c r="C183" t="s">
        <v>38</v>
      </c>
      <c r="D183">
        <v>2016</v>
      </c>
      <c r="E183">
        <v>0.8211412144474739</v>
      </c>
      <c r="F183">
        <v>2.5394630680659041</v>
      </c>
      <c r="G183">
        <f t="shared" si="2"/>
        <v>1.7183218536184302</v>
      </c>
      <c r="H183">
        <v>0.52473108957558956</v>
      </c>
    </row>
    <row r="184" spans="1:8" x14ac:dyDescent="0.35">
      <c r="A184" t="s">
        <v>70</v>
      </c>
      <c r="B184" t="s">
        <v>48</v>
      </c>
      <c r="C184" t="s">
        <v>40</v>
      </c>
      <c r="D184">
        <v>2016</v>
      </c>
      <c r="E184">
        <v>1.029139259030432</v>
      </c>
      <c r="F184">
        <v>2.5394630680659041</v>
      </c>
      <c r="G184">
        <f t="shared" si="2"/>
        <v>1.510323809035472</v>
      </c>
      <c r="H184">
        <v>0.52473108957558956</v>
      </c>
    </row>
    <row r="185" spans="1:8" x14ac:dyDescent="0.35">
      <c r="A185" t="s">
        <v>70</v>
      </c>
      <c r="B185" t="s">
        <v>50</v>
      </c>
      <c r="C185" t="s">
        <v>40</v>
      </c>
      <c r="D185">
        <v>2016</v>
      </c>
      <c r="E185">
        <v>0.68041183214515577</v>
      </c>
      <c r="F185">
        <v>2.5394630680659041</v>
      </c>
      <c r="G185">
        <f t="shared" si="2"/>
        <v>1.8590512359207483</v>
      </c>
      <c r="H185">
        <v>0.52473108957558956</v>
      </c>
    </row>
    <row r="186" spans="1:8" x14ac:dyDescent="0.35">
      <c r="A186" t="s">
        <v>70</v>
      </c>
      <c r="B186" t="s">
        <v>49</v>
      </c>
      <c r="C186" t="s">
        <v>38</v>
      </c>
      <c r="D186">
        <v>2017</v>
      </c>
      <c r="E186">
        <v>0.7788253796826794</v>
      </c>
      <c r="F186">
        <v>3.2509193804219478</v>
      </c>
      <c r="G186">
        <f t="shared" si="2"/>
        <v>2.4720940007392684</v>
      </c>
      <c r="H186">
        <v>1.0157922572339311</v>
      </c>
    </row>
    <row r="187" spans="1:8" x14ac:dyDescent="0.35">
      <c r="A187" t="s">
        <v>70</v>
      </c>
      <c r="B187" t="s">
        <v>51</v>
      </c>
      <c r="C187" t="s">
        <v>38</v>
      </c>
      <c r="D187">
        <v>2017</v>
      </c>
      <c r="E187">
        <v>3.2999705467780189</v>
      </c>
      <c r="F187">
        <v>3.2509193804219478</v>
      </c>
      <c r="G187">
        <f t="shared" si="2"/>
        <v>-4.9051166356071096E-2</v>
      </c>
      <c r="H187">
        <v>1.0157922572339311</v>
      </c>
    </row>
    <row r="188" spans="1:8" x14ac:dyDescent="0.35">
      <c r="A188" t="s">
        <v>70</v>
      </c>
      <c r="B188" t="s">
        <v>50</v>
      </c>
      <c r="C188" t="s">
        <v>40</v>
      </c>
      <c r="D188">
        <v>2017</v>
      </c>
      <c r="E188">
        <v>0.72652337554917068</v>
      </c>
      <c r="F188">
        <v>3.2509193804219478</v>
      </c>
      <c r="G188">
        <f t="shared" si="2"/>
        <v>2.5243960048727772</v>
      </c>
      <c r="H188">
        <v>1.0157922572339311</v>
      </c>
    </row>
    <row r="189" spans="1:8" x14ac:dyDescent="0.35">
      <c r="A189" t="s">
        <v>70</v>
      </c>
      <c r="B189" t="s">
        <v>52</v>
      </c>
      <c r="C189" t="s">
        <v>40</v>
      </c>
      <c r="D189">
        <v>2017</v>
      </c>
      <c r="E189">
        <v>1.2981877046543739</v>
      </c>
      <c r="F189">
        <v>3.2509193804219478</v>
      </c>
      <c r="G189">
        <f t="shared" si="2"/>
        <v>1.9527316757675739</v>
      </c>
      <c r="H189">
        <v>1.0157922572339311</v>
      </c>
    </row>
    <row r="190" spans="1:8" x14ac:dyDescent="0.35">
      <c r="A190" t="s">
        <v>70</v>
      </c>
      <c r="B190" t="s">
        <v>51</v>
      </c>
      <c r="C190" t="s">
        <v>38</v>
      </c>
      <c r="D190">
        <v>2018</v>
      </c>
      <c r="E190">
        <v>2.6543445907794232</v>
      </c>
      <c r="F190">
        <v>1.1858569030435471</v>
      </c>
      <c r="G190">
        <f t="shared" si="2"/>
        <v>-1.4684876877358761</v>
      </c>
      <c r="H190">
        <v>1.179774587977132</v>
      </c>
    </row>
    <row r="191" spans="1:8" x14ac:dyDescent="0.35">
      <c r="A191" t="s">
        <v>70</v>
      </c>
      <c r="B191" t="s">
        <v>53</v>
      </c>
      <c r="C191" t="s">
        <v>38</v>
      </c>
      <c r="D191">
        <v>2018</v>
      </c>
      <c r="E191">
        <v>2.8893530093298199</v>
      </c>
      <c r="F191">
        <v>1.1858569030435471</v>
      </c>
      <c r="G191">
        <f t="shared" si="2"/>
        <v>-1.7034961062862728</v>
      </c>
      <c r="H191">
        <v>1.179774587977132</v>
      </c>
    </row>
    <row r="192" spans="1:8" x14ac:dyDescent="0.35">
      <c r="A192" t="s">
        <v>70</v>
      </c>
      <c r="B192" t="s">
        <v>52</v>
      </c>
      <c r="C192" t="s">
        <v>40</v>
      </c>
      <c r="D192">
        <v>2018</v>
      </c>
      <c r="E192">
        <v>1.745345139008192</v>
      </c>
      <c r="F192">
        <v>1.1858569030435471</v>
      </c>
      <c r="G192">
        <f t="shared" si="2"/>
        <v>-0.55948823596464492</v>
      </c>
      <c r="H192">
        <v>1.179774587977132</v>
      </c>
    </row>
    <row r="193" spans="1:8" x14ac:dyDescent="0.35">
      <c r="A193" t="s">
        <v>70</v>
      </c>
      <c r="B193" t="s">
        <v>54</v>
      </c>
      <c r="C193" t="s">
        <v>40</v>
      </c>
      <c r="D193">
        <v>2018</v>
      </c>
      <c r="E193">
        <v>2.519865182310288</v>
      </c>
      <c r="F193">
        <v>1.1858569030435471</v>
      </c>
      <c r="G193">
        <f t="shared" si="2"/>
        <v>-1.3340082792667409</v>
      </c>
      <c r="H193">
        <v>1.179774587977132</v>
      </c>
    </row>
    <row r="194" spans="1:8" x14ac:dyDescent="0.35">
      <c r="A194" t="s">
        <v>70</v>
      </c>
      <c r="B194" t="s">
        <v>53</v>
      </c>
      <c r="C194" t="s">
        <v>38</v>
      </c>
      <c r="D194">
        <v>2019</v>
      </c>
      <c r="E194">
        <v>2.1742555460234851</v>
      </c>
      <c r="F194">
        <v>1.3406806953806429</v>
      </c>
      <c r="G194">
        <f t="shared" ref="G194:G257" si="3">IF(OR(F194="",E194=""),"",F194-E194)</f>
        <v>-0.8335748506428422</v>
      </c>
      <c r="H194">
        <v>1.607545862030811</v>
      </c>
    </row>
    <row r="195" spans="1:8" x14ac:dyDescent="0.35">
      <c r="A195" t="s">
        <v>70</v>
      </c>
      <c r="B195" t="s">
        <v>55</v>
      </c>
      <c r="C195" t="s">
        <v>38</v>
      </c>
      <c r="D195">
        <v>2019</v>
      </c>
      <c r="E195">
        <v>1.354791564440649</v>
      </c>
      <c r="F195">
        <v>1.3406806953806429</v>
      </c>
      <c r="G195">
        <f t="shared" si="3"/>
        <v>-1.4110869060006026E-2</v>
      </c>
      <c r="H195">
        <v>1.607545862030811</v>
      </c>
    </row>
    <row r="196" spans="1:8" x14ac:dyDescent="0.35">
      <c r="A196" t="s">
        <v>70</v>
      </c>
      <c r="B196" t="s">
        <v>54</v>
      </c>
      <c r="C196" t="s">
        <v>40</v>
      </c>
      <c r="D196">
        <v>2019</v>
      </c>
      <c r="E196">
        <v>2.2702366672909808</v>
      </c>
      <c r="F196">
        <v>1.3406806953806429</v>
      </c>
      <c r="G196">
        <f t="shared" si="3"/>
        <v>-0.9295559719103379</v>
      </c>
      <c r="H196">
        <v>1.607545862030811</v>
      </c>
    </row>
    <row r="197" spans="1:8" x14ac:dyDescent="0.35">
      <c r="A197" t="s">
        <v>70</v>
      </c>
      <c r="B197" t="s">
        <v>56</v>
      </c>
      <c r="C197" t="s">
        <v>40</v>
      </c>
      <c r="D197">
        <v>2019</v>
      </c>
      <c r="E197">
        <v>1.638521358484613</v>
      </c>
      <c r="F197">
        <v>1.3406806953806429</v>
      </c>
      <c r="G197">
        <f t="shared" si="3"/>
        <v>-0.29784066310397006</v>
      </c>
      <c r="H197">
        <v>1.607545862030811</v>
      </c>
    </row>
    <row r="198" spans="1:8" x14ac:dyDescent="0.35">
      <c r="A198" t="s">
        <v>70</v>
      </c>
      <c r="B198" t="s">
        <v>55</v>
      </c>
      <c r="C198" t="s">
        <v>38</v>
      </c>
      <c r="D198">
        <v>2020</v>
      </c>
      <c r="E198">
        <v>1.1013866566023991</v>
      </c>
      <c r="F198">
        <v>-2.5216639551613449</v>
      </c>
      <c r="G198">
        <f t="shared" si="3"/>
        <v>-3.6230506117637438</v>
      </c>
      <c r="H198">
        <v>1.637512686458964</v>
      </c>
    </row>
    <row r="199" spans="1:8" x14ac:dyDescent="0.35">
      <c r="A199" t="s">
        <v>70</v>
      </c>
      <c r="B199" t="s">
        <v>57</v>
      </c>
      <c r="C199" t="s">
        <v>38</v>
      </c>
      <c r="D199">
        <v>2020</v>
      </c>
      <c r="E199">
        <v>-4.2712767573150012</v>
      </c>
      <c r="F199">
        <v>-2.5216639551613449</v>
      </c>
      <c r="G199">
        <f t="shared" si="3"/>
        <v>1.7496128021536563</v>
      </c>
      <c r="H199">
        <v>1.637512686458964</v>
      </c>
    </row>
    <row r="200" spans="1:8" x14ac:dyDescent="0.35">
      <c r="A200" t="s">
        <v>70</v>
      </c>
      <c r="B200" t="s">
        <v>56</v>
      </c>
      <c r="C200" t="s">
        <v>40</v>
      </c>
      <c r="D200">
        <v>2020</v>
      </c>
      <c r="E200">
        <v>1.1658655715774511</v>
      </c>
      <c r="F200">
        <v>-2.5216639551613449</v>
      </c>
      <c r="G200">
        <f t="shared" si="3"/>
        <v>-3.6875295267387962</v>
      </c>
      <c r="H200">
        <v>1.637512686458964</v>
      </c>
    </row>
    <row r="201" spans="1:8" x14ac:dyDescent="0.35">
      <c r="A201" t="s">
        <v>70</v>
      </c>
      <c r="B201" t="s">
        <v>58</v>
      </c>
      <c r="C201" t="s">
        <v>40</v>
      </c>
      <c r="D201">
        <v>2020</v>
      </c>
      <c r="E201">
        <v>-6.3340086382144829</v>
      </c>
      <c r="F201">
        <v>-2.5216639551613449</v>
      </c>
      <c r="G201">
        <f t="shared" si="3"/>
        <v>3.812344683053138</v>
      </c>
      <c r="H201">
        <v>1.637512686458964</v>
      </c>
    </row>
    <row r="202" spans="1:8" x14ac:dyDescent="0.35">
      <c r="A202" t="s">
        <v>70</v>
      </c>
      <c r="B202" t="s">
        <v>57</v>
      </c>
      <c r="C202" t="s">
        <v>38</v>
      </c>
      <c r="D202">
        <v>2021</v>
      </c>
      <c r="E202">
        <v>2.900169440971712</v>
      </c>
      <c r="F202">
        <v>2.6415720090220192</v>
      </c>
      <c r="G202">
        <f t="shared" si="3"/>
        <v>-0.25859743194969287</v>
      </c>
      <c r="H202">
        <v>1.5297339340232221</v>
      </c>
    </row>
    <row r="203" spans="1:8" x14ac:dyDescent="0.35">
      <c r="A203" t="s">
        <v>70</v>
      </c>
      <c r="B203" t="s">
        <v>59</v>
      </c>
      <c r="C203" t="s">
        <v>38</v>
      </c>
      <c r="D203">
        <v>2021</v>
      </c>
      <c r="E203">
        <v>3.4041276267937399</v>
      </c>
      <c r="F203">
        <v>2.6415720090220192</v>
      </c>
      <c r="G203">
        <f t="shared" si="3"/>
        <v>-0.76255561777172076</v>
      </c>
      <c r="H203">
        <v>1.5297339340232221</v>
      </c>
    </row>
    <row r="204" spans="1:8" x14ac:dyDescent="0.35">
      <c r="A204" t="s">
        <v>70</v>
      </c>
      <c r="B204" t="s">
        <v>58</v>
      </c>
      <c r="C204" t="s">
        <v>40</v>
      </c>
      <c r="D204">
        <v>2021</v>
      </c>
      <c r="E204">
        <v>3.6735608188213531</v>
      </c>
      <c r="F204">
        <v>2.6415720090220192</v>
      </c>
      <c r="G204">
        <f t="shared" si="3"/>
        <v>-1.0319888097993339</v>
      </c>
      <c r="H204">
        <v>1.5297339340232221</v>
      </c>
    </row>
    <row r="205" spans="1:8" x14ac:dyDescent="0.35">
      <c r="A205" t="s">
        <v>70</v>
      </c>
      <c r="B205" t="s">
        <v>60</v>
      </c>
      <c r="C205" t="s">
        <v>40</v>
      </c>
      <c r="D205">
        <v>2021</v>
      </c>
      <c r="E205">
        <v>2.739564988065335</v>
      </c>
      <c r="F205">
        <v>2.6415720090220192</v>
      </c>
      <c r="G205">
        <f t="shared" si="3"/>
        <v>-9.7992979043315831E-2</v>
      </c>
      <c r="H205">
        <v>1.5297339340232221</v>
      </c>
    </row>
    <row r="206" spans="1:8" x14ac:dyDescent="0.35">
      <c r="A206" t="s">
        <v>70</v>
      </c>
      <c r="B206" t="s">
        <v>59</v>
      </c>
      <c r="C206" t="s">
        <v>38</v>
      </c>
      <c r="D206">
        <v>2022</v>
      </c>
      <c r="E206">
        <v>2.8272245866406638</v>
      </c>
      <c r="F206">
        <v>0.76006291556467176</v>
      </c>
      <c r="G206">
        <f t="shared" si="3"/>
        <v>-2.0671616710759921</v>
      </c>
      <c r="H206">
        <v>1.409708663565979</v>
      </c>
    </row>
    <row r="207" spans="1:8" x14ac:dyDescent="0.35">
      <c r="A207" t="s">
        <v>70</v>
      </c>
      <c r="B207" t="s">
        <v>61</v>
      </c>
      <c r="C207" t="s">
        <v>38</v>
      </c>
      <c r="D207">
        <v>2022</v>
      </c>
      <c r="E207">
        <v>2.327853537647107</v>
      </c>
      <c r="F207">
        <v>0.76006291556467176</v>
      </c>
      <c r="G207">
        <f t="shared" si="3"/>
        <v>-1.5677906220824354</v>
      </c>
      <c r="H207">
        <v>1.409708663565979</v>
      </c>
    </row>
    <row r="208" spans="1:8" x14ac:dyDescent="0.35">
      <c r="A208" t="s">
        <v>70</v>
      </c>
      <c r="B208" t="s">
        <v>60</v>
      </c>
      <c r="C208" t="s">
        <v>40</v>
      </c>
      <c r="D208">
        <v>2022</v>
      </c>
      <c r="E208">
        <v>2.7517012411305108</v>
      </c>
      <c r="F208">
        <v>0.76006291556467176</v>
      </c>
      <c r="G208">
        <f t="shared" si="3"/>
        <v>-1.9916383255658392</v>
      </c>
      <c r="H208">
        <v>1.409708663565979</v>
      </c>
    </row>
    <row r="209" spans="1:8" x14ac:dyDescent="0.35">
      <c r="A209" t="s">
        <v>70</v>
      </c>
      <c r="B209" t="s">
        <v>62</v>
      </c>
      <c r="C209" t="s">
        <v>40</v>
      </c>
      <c r="D209">
        <v>2022</v>
      </c>
      <c r="E209">
        <v>1.603112304026943</v>
      </c>
      <c r="F209">
        <v>0.76006291556467176</v>
      </c>
      <c r="G209">
        <f t="shared" si="3"/>
        <v>-0.84304938846227129</v>
      </c>
      <c r="H209">
        <v>1.409708663565979</v>
      </c>
    </row>
    <row r="210" spans="1:8" x14ac:dyDescent="0.35">
      <c r="A210" t="s">
        <v>70</v>
      </c>
      <c r="B210" t="s">
        <v>61</v>
      </c>
      <c r="C210" t="s">
        <v>38</v>
      </c>
      <c r="D210">
        <v>2023</v>
      </c>
      <c r="E210">
        <v>0.23998786112824361</v>
      </c>
      <c r="F210">
        <v>-1.2980054053073831</v>
      </c>
      <c r="G210">
        <f t="shared" si="3"/>
        <v>-1.5379932664356266</v>
      </c>
      <c r="H210">
        <v>1.308722193926259</v>
      </c>
    </row>
    <row r="211" spans="1:8" x14ac:dyDescent="0.35">
      <c r="A211" t="s">
        <v>70</v>
      </c>
      <c r="B211" t="s">
        <v>63</v>
      </c>
      <c r="C211" t="s">
        <v>38</v>
      </c>
      <c r="D211">
        <v>2023</v>
      </c>
      <c r="E211">
        <v>0.13705974715647609</v>
      </c>
      <c r="F211">
        <v>-1.2980054053073831</v>
      </c>
      <c r="G211">
        <f t="shared" si="3"/>
        <v>-1.4350651524638591</v>
      </c>
      <c r="H211">
        <v>1.308722193926259</v>
      </c>
    </row>
    <row r="212" spans="1:8" x14ac:dyDescent="0.35">
      <c r="A212" t="s">
        <v>70</v>
      </c>
      <c r="B212" t="s">
        <v>62</v>
      </c>
      <c r="C212" t="s">
        <v>40</v>
      </c>
      <c r="D212">
        <v>2023</v>
      </c>
      <c r="E212">
        <v>1.664320363648697</v>
      </c>
      <c r="F212">
        <v>-1.2980054053073831</v>
      </c>
      <c r="G212">
        <f t="shared" si="3"/>
        <v>-2.96232576895608</v>
      </c>
      <c r="H212">
        <v>1.308722193926259</v>
      </c>
    </row>
    <row r="213" spans="1:8" x14ac:dyDescent="0.35">
      <c r="A213" t="s">
        <v>70</v>
      </c>
      <c r="B213" t="s">
        <v>64</v>
      </c>
      <c r="C213" t="s">
        <v>40</v>
      </c>
      <c r="D213">
        <v>2023</v>
      </c>
      <c r="E213">
        <v>0.1978909161836295</v>
      </c>
      <c r="F213">
        <v>-1.2980054053073831</v>
      </c>
      <c r="G213">
        <f t="shared" si="3"/>
        <v>-1.4958963214910126</v>
      </c>
      <c r="H213">
        <v>1.308722193926259</v>
      </c>
    </row>
    <row r="214" spans="1:8" x14ac:dyDescent="0.35">
      <c r="A214" t="s">
        <v>70</v>
      </c>
      <c r="B214" t="s">
        <v>63</v>
      </c>
      <c r="C214" t="s">
        <v>38</v>
      </c>
      <c r="D214">
        <v>2024</v>
      </c>
      <c r="E214">
        <v>0.82599219561030335</v>
      </c>
      <c r="F214">
        <v>0.8814466149882676</v>
      </c>
      <c r="G214">
        <f t="shared" si="3"/>
        <v>5.5454419377964248E-2</v>
      </c>
      <c r="H214">
        <v>2.465185230482875</v>
      </c>
    </row>
    <row r="215" spans="1:8" x14ac:dyDescent="0.35">
      <c r="A215" t="s">
        <v>70</v>
      </c>
      <c r="B215" t="s">
        <v>65</v>
      </c>
      <c r="C215" t="s">
        <v>38</v>
      </c>
      <c r="D215">
        <v>2024</v>
      </c>
      <c r="E215">
        <v>-0.27816035844419051</v>
      </c>
      <c r="F215">
        <v>0.8814466149882676</v>
      </c>
      <c r="G215">
        <f t="shared" si="3"/>
        <v>1.1596069734324581</v>
      </c>
      <c r="H215">
        <v>2.465185230482875</v>
      </c>
    </row>
    <row r="216" spans="1:8" x14ac:dyDescent="0.35">
      <c r="A216" t="s">
        <v>70</v>
      </c>
      <c r="B216" t="s">
        <v>64</v>
      </c>
      <c r="C216" t="s">
        <v>40</v>
      </c>
      <c r="D216">
        <v>2024</v>
      </c>
      <c r="E216">
        <v>1.375433393552461</v>
      </c>
      <c r="F216">
        <v>0.8814466149882676</v>
      </c>
      <c r="G216">
        <f t="shared" si="3"/>
        <v>-0.49398677856419337</v>
      </c>
      <c r="H216">
        <v>2.465185230482875</v>
      </c>
    </row>
    <row r="217" spans="1:8" x14ac:dyDescent="0.35">
      <c r="A217" t="s">
        <v>70</v>
      </c>
      <c r="B217" t="s">
        <v>66</v>
      </c>
      <c r="C217" t="s">
        <v>40</v>
      </c>
      <c r="D217">
        <v>2024</v>
      </c>
      <c r="E217">
        <v>3.9573385924840387E-2</v>
      </c>
      <c r="F217">
        <v>0.8814466149882676</v>
      </c>
      <c r="G217">
        <f t="shared" si="3"/>
        <v>0.84187322906342721</v>
      </c>
      <c r="H217">
        <v>2.465185230482875</v>
      </c>
    </row>
    <row r="218" spans="1:8" x14ac:dyDescent="0.35">
      <c r="A218" t="s">
        <v>70</v>
      </c>
      <c r="B218" t="s">
        <v>65</v>
      </c>
      <c r="C218" t="s">
        <v>38</v>
      </c>
      <c r="D218">
        <v>2025</v>
      </c>
      <c r="E218">
        <v>1.544507858030109</v>
      </c>
      <c r="F218">
        <v>0.79990149121373022</v>
      </c>
      <c r="G218">
        <f t="shared" si="3"/>
        <v>-0.74460636681637882</v>
      </c>
      <c r="H218">
        <v>1.3132536844973679</v>
      </c>
    </row>
    <row r="219" spans="1:8" x14ac:dyDescent="0.35">
      <c r="A219" t="s">
        <v>70</v>
      </c>
      <c r="B219" t="s">
        <v>71</v>
      </c>
      <c r="C219" t="s">
        <v>38</v>
      </c>
      <c r="D219">
        <v>2025</v>
      </c>
      <c r="E219">
        <v>7.5720238361931536E-2</v>
      </c>
      <c r="F219">
        <v>0.79990149121373022</v>
      </c>
      <c r="G219">
        <f t="shared" si="3"/>
        <v>0.72418125285179868</v>
      </c>
      <c r="H219">
        <v>1.3132536844973679</v>
      </c>
    </row>
    <row r="220" spans="1:8" x14ac:dyDescent="0.35">
      <c r="A220" t="s">
        <v>70</v>
      </c>
      <c r="B220" t="s">
        <v>66</v>
      </c>
      <c r="C220" t="s">
        <v>40</v>
      </c>
      <c r="D220">
        <v>2025</v>
      </c>
      <c r="E220">
        <v>1.3606562692519699</v>
      </c>
      <c r="F220">
        <v>0.79990149121373022</v>
      </c>
      <c r="G220">
        <f t="shared" si="3"/>
        <v>-0.5607547780382397</v>
      </c>
      <c r="H220">
        <v>1.3132536844973679</v>
      </c>
    </row>
    <row r="221" spans="1:8" x14ac:dyDescent="0.35">
      <c r="A221" t="s">
        <v>70</v>
      </c>
      <c r="B221" t="s">
        <v>72</v>
      </c>
      <c r="C221" t="s">
        <v>40</v>
      </c>
      <c r="D221">
        <v>2025</v>
      </c>
      <c r="E221">
        <v>0.97596362509042578</v>
      </c>
      <c r="F221">
        <v>0.79990149121373022</v>
      </c>
      <c r="G221">
        <f t="shared" si="3"/>
        <v>-0.17606213387669556</v>
      </c>
      <c r="H221">
        <v>1.3132536844973679</v>
      </c>
    </row>
    <row r="222" spans="1:8" x14ac:dyDescent="0.35">
      <c r="A222" t="s">
        <v>73</v>
      </c>
      <c r="B222" t="s">
        <v>45</v>
      </c>
      <c r="C222" t="s">
        <v>38</v>
      </c>
      <c r="D222">
        <v>2015</v>
      </c>
      <c r="E222">
        <v>0.69497120757255892</v>
      </c>
      <c r="F222">
        <v>0.99352475042418931</v>
      </c>
      <c r="G222">
        <f t="shared" si="3"/>
        <v>0.29855354285163038</v>
      </c>
      <c r="H222">
        <v>1.7249833491190609</v>
      </c>
    </row>
    <row r="223" spans="1:8" x14ac:dyDescent="0.35">
      <c r="A223" t="s">
        <v>73</v>
      </c>
      <c r="B223" t="s">
        <v>47</v>
      </c>
      <c r="C223" t="s">
        <v>38</v>
      </c>
      <c r="D223">
        <v>2015</v>
      </c>
      <c r="E223">
        <v>1.0829396488476919</v>
      </c>
      <c r="F223">
        <v>0.99352475042418931</v>
      </c>
      <c r="G223">
        <f t="shared" si="3"/>
        <v>-8.9414898423502587E-2</v>
      </c>
      <c r="H223">
        <v>1.7249833491190609</v>
      </c>
    </row>
    <row r="224" spans="1:8" x14ac:dyDescent="0.35">
      <c r="A224" t="s">
        <v>73</v>
      </c>
      <c r="B224" t="s">
        <v>46</v>
      </c>
      <c r="C224" t="s">
        <v>40</v>
      </c>
      <c r="D224">
        <v>2015</v>
      </c>
      <c r="E224">
        <v>1.4732524317461191</v>
      </c>
      <c r="F224">
        <v>0.99352475042418931</v>
      </c>
      <c r="G224">
        <f t="shared" si="3"/>
        <v>-0.47972768132192978</v>
      </c>
      <c r="H224">
        <v>1.7249833491190609</v>
      </c>
    </row>
    <row r="225" spans="1:8" x14ac:dyDescent="0.35">
      <c r="A225" t="s">
        <v>73</v>
      </c>
      <c r="B225" t="s">
        <v>48</v>
      </c>
      <c r="C225" t="s">
        <v>40</v>
      </c>
      <c r="D225">
        <v>2015</v>
      </c>
      <c r="E225">
        <v>1.081963871443703</v>
      </c>
      <c r="F225">
        <v>0.99352475042418931</v>
      </c>
      <c r="G225">
        <f t="shared" si="3"/>
        <v>-8.8439121019513678E-2</v>
      </c>
      <c r="H225">
        <v>1.7249833491190609</v>
      </c>
    </row>
    <row r="226" spans="1:8" x14ac:dyDescent="0.35">
      <c r="A226" t="s">
        <v>73</v>
      </c>
      <c r="B226" t="s">
        <v>47</v>
      </c>
      <c r="C226" t="s">
        <v>38</v>
      </c>
      <c r="D226">
        <v>2016</v>
      </c>
      <c r="E226">
        <v>1.4293943423307589</v>
      </c>
      <c r="F226">
        <v>0.7341997048160207</v>
      </c>
      <c r="G226">
        <f t="shared" si="3"/>
        <v>-0.6951946375147382</v>
      </c>
      <c r="H226">
        <v>3.5710800648607801</v>
      </c>
    </row>
    <row r="227" spans="1:8" x14ac:dyDescent="0.35">
      <c r="A227" t="s">
        <v>73</v>
      </c>
      <c r="B227" t="s">
        <v>49</v>
      </c>
      <c r="C227" t="s">
        <v>38</v>
      </c>
      <c r="D227">
        <v>2016</v>
      </c>
      <c r="E227">
        <v>1.254473785454957</v>
      </c>
      <c r="F227">
        <v>0.7341997048160207</v>
      </c>
      <c r="G227">
        <f t="shared" si="3"/>
        <v>-0.52027408063893632</v>
      </c>
      <c r="H227">
        <v>3.5710800648607801</v>
      </c>
    </row>
    <row r="228" spans="1:8" x14ac:dyDescent="0.35">
      <c r="A228" t="s">
        <v>73</v>
      </c>
      <c r="B228" t="s">
        <v>48</v>
      </c>
      <c r="C228" t="s">
        <v>40</v>
      </c>
      <c r="D228">
        <v>2016</v>
      </c>
      <c r="E228">
        <v>1.6816047146198001</v>
      </c>
      <c r="F228">
        <v>0.7341997048160207</v>
      </c>
      <c r="G228">
        <f t="shared" si="3"/>
        <v>-0.9474050098037794</v>
      </c>
      <c r="H228">
        <v>3.5710800648607801</v>
      </c>
    </row>
    <row r="229" spans="1:8" x14ac:dyDescent="0.35">
      <c r="A229" t="s">
        <v>73</v>
      </c>
      <c r="B229" t="s">
        <v>50</v>
      </c>
      <c r="C229" t="s">
        <v>40</v>
      </c>
      <c r="D229">
        <v>2016</v>
      </c>
      <c r="E229">
        <v>1.331417785335498</v>
      </c>
      <c r="F229">
        <v>0.7341997048160207</v>
      </c>
      <c r="G229">
        <f t="shared" si="3"/>
        <v>-0.59721808051947733</v>
      </c>
      <c r="H229">
        <v>3.5710800648607801</v>
      </c>
    </row>
    <row r="230" spans="1:8" x14ac:dyDescent="0.35">
      <c r="A230" t="s">
        <v>73</v>
      </c>
      <c r="B230" t="s">
        <v>49</v>
      </c>
      <c r="C230" t="s">
        <v>38</v>
      </c>
      <c r="D230">
        <v>2017</v>
      </c>
      <c r="E230">
        <v>1.3568331696729889</v>
      </c>
      <c r="F230">
        <v>2.2441414587468929</v>
      </c>
      <c r="G230">
        <f t="shared" si="3"/>
        <v>0.88730828907390391</v>
      </c>
      <c r="H230">
        <v>5.2254768121978712</v>
      </c>
    </row>
    <row r="231" spans="1:8" x14ac:dyDescent="0.35">
      <c r="A231" t="s">
        <v>73</v>
      </c>
      <c r="B231" t="s">
        <v>51</v>
      </c>
      <c r="C231" t="s">
        <v>38</v>
      </c>
      <c r="D231">
        <v>2017</v>
      </c>
      <c r="E231">
        <v>1.6108305416448809</v>
      </c>
      <c r="F231">
        <v>2.2441414587468929</v>
      </c>
      <c r="G231">
        <f t="shared" si="3"/>
        <v>0.63331091710201193</v>
      </c>
      <c r="H231">
        <v>5.2254768121978712</v>
      </c>
    </row>
    <row r="232" spans="1:8" x14ac:dyDescent="0.35">
      <c r="A232" t="s">
        <v>73</v>
      </c>
      <c r="B232" t="s">
        <v>50</v>
      </c>
      <c r="C232" t="s">
        <v>40</v>
      </c>
      <c r="D232">
        <v>2017</v>
      </c>
      <c r="E232">
        <v>1.686145619472357</v>
      </c>
      <c r="F232">
        <v>2.2441414587468929</v>
      </c>
      <c r="G232">
        <f t="shared" si="3"/>
        <v>0.55799583927453589</v>
      </c>
      <c r="H232">
        <v>5.2254768121978712</v>
      </c>
    </row>
    <row r="233" spans="1:8" x14ac:dyDescent="0.35">
      <c r="A233" t="s">
        <v>73</v>
      </c>
      <c r="B233" t="s">
        <v>52</v>
      </c>
      <c r="C233" t="s">
        <v>40</v>
      </c>
      <c r="D233">
        <v>2017</v>
      </c>
      <c r="E233">
        <v>1.353609964652547</v>
      </c>
      <c r="F233">
        <v>2.2441414587468929</v>
      </c>
      <c r="G233">
        <f t="shared" si="3"/>
        <v>0.89053149409434584</v>
      </c>
      <c r="H233">
        <v>5.2254768121978712</v>
      </c>
    </row>
    <row r="234" spans="1:8" x14ac:dyDescent="0.35">
      <c r="A234" t="s">
        <v>73</v>
      </c>
      <c r="B234" t="s">
        <v>51</v>
      </c>
      <c r="C234" t="s">
        <v>38</v>
      </c>
      <c r="D234">
        <v>2018</v>
      </c>
      <c r="E234">
        <v>1.745757461080699</v>
      </c>
      <c r="F234">
        <v>1.5720137685547519</v>
      </c>
      <c r="G234">
        <f t="shared" si="3"/>
        <v>-0.17374369252594701</v>
      </c>
      <c r="H234">
        <v>5.4419309718861699</v>
      </c>
    </row>
    <row r="235" spans="1:8" x14ac:dyDescent="0.35">
      <c r="A235" t="s">
        <v>73</v>
      </c>
      <c r="B235" t="s">
        <v>53</v>
      </c>
      <c r="C235" t="s">
        <v>38</v>
      </c>
      <c r="D235">
        <v>2018</v>
      </c>
      <c r="E235">
        <v>1.6664324661772369</v>
      </c>
      <c r="F235">
        <v>1.5720137685547519</v>
      </c>
      <c r="G235">
        <f t="shared" si="3"/>
        <v>-9.4418697622485004E-2</v>
      </c>
      <c r="H235">
        <v>5.4419309718861699</v>
      </c>
    </row>
    <row r="236" spans="1:8" x14ac:dyDescent="0.35">
      <c r="A236" t="s">
        <v>73</v>
      </c>
      <c r="B236" t="s">
        <v>52</v>
      </c>
      <c r="C236" t="s">
        <v>40</v>
      </c>
      <c r="D236">
        <v>2018</v>
      </c>
      <c r="E236">
        <v>1.72584962487905</v>
      </c>
      <c r="F236">
        <v>1.5720137685547519</v>
      </c>
      <c r="G236">
        <f t="shared" si="3"/>
        <v>-0.15383585632429808</v>
      </c>
      <c r="H236">
        <v>5.4419309718861699</v>
      </c>
    </row>
    <row r="237" spans="1:8" x14ac:dyDescent="0.35">
      <c r="A237" t="s">
        <v>73</v>
      </c>
      <c r="B237" t="s">
        <v>54</v>
      </c>
      <c r="C237" t="s">
        <v>40</v>
      </c>
      <c r="D237">
        <v>2018</v>
      </c>
      <c r="E237">
        <v>1.989603282667241</v>
      </c>
      <c r="F237">
        <v>1.5720137685547519</v>
      </c>
      <c r="G237">
        <f t="shared" si="3"/>
        <v>-0.41758951411248901</v>
      </c>
      <c r="H237">
        <v>5.4419309718861699</v>
      </c>
    </row>
    <row r="238" spans="1:8" x14ac:dyDescent="0.35">
      <c r="A238" t="s">
        <v>73</v>
      </c>
      <c r="B238" t="s">
        <v>53</v>
      </c>
      <c r="C238" t="s">
        <v>38</v>
      </c>
      <c r="D238">
        <v>2019</v>
      </c>
      <c r="E238">
        <v>1.641202261320762</v>
      </c>
      <c r="F238">
        <v>2.0796189403330492</v>
      </c>
      <c r="G238">
        <f t="shared" si="3"/>
        <v>0.4384166790122872</v>
      </c>
      <c r="H238">
        <v>5.1734932935653699</v>
      </c>
    </row>
    <row r="239" spans="1:8" x14ac:dyDescent="0.35">
      <c r="A239" t="s">
        <v>73</v>
      </c>
      <c r="B239" t="s">
        <v>55</v>
      </c>
      <c r="C239" t="s">
        <v>38</v>
      </c>
      <c r="D239">
        <v>2019</v>
      </c>
      <c r="E239">
        <v>1.2870082454169649</v>
      </c>
      <c r="F239">
        <v>2.0796189403330492</v>
      </c>
      <c r="G239">
        <f t="shared" si="3"/>
        <v>0.79261069491608427</v>
      </c>
      <c r="H239">
        <v>5.1734932935653699</v>
      </c>
    </row>
    <row r="240" spans="1:8" x14ac:dyDescent="0.35">
      <c r="A240" t="s">
        <v>73</v>
      </c>
      <c r="B240" t="s">
        <v>54</v>
      </c>
      <c r="C240" t="s">
        <v>40</v>
      </c>
      <c r="D240">
        <v>2019</v>
      </c>
      <c r="E240">
        <v>1.837933157898797</v>
      </c>
      <c r="F240">
        <v>2.0796189403330492</v>
      </c>
      <c r="G240">
        <f t="shared" si="3"/>
        <v>0.24168578243425221</v>
      </c>
      <c r="H240">
        <v>5.1734932935653699</v>
      </c>
    </row>
    <row r="241" spans="1:8" x14ac:dyDescent="0.35">
      <c r="A241" t="s">
        <v>73</v>
      </c>
      <c r="B241" t="s">
        <v>56</v>
      </c>
      <c r="C241" t="s">
        <v>40</v>
      </c>
      <c r="D241">
        <v>2019</v>
      </c>
      <c r="E241">
        <v>1.333589129915191</v>
      </c>
      <c r="F241">
        <v>2.0796189403330492</v>
      </c>
      <c r="G241">
        <f t="shared" si="3"/>
        <v>0.74602981041785821</v>
      </c>
      <c r="H241">
        <v>5.1734932935653699</v>
      </c>
    </row>
    <row r="242" spans="1:8" x14ac:dyDescent="0.35">
      <c r="A242" t="s">
        <v>73</v>
      </c>
      <c r="B242" t="s">
        <v>55</v>
      </c>
      <c r="C242" t="s">
        <v>38</v>
      </c>
      <c r="D242">
        <v>2020</v>
      </c>
      <c r="E242">
        <v>1.285387661815784</v>
      </c>
      <c r="F242">
        <v>-7.9120138942178206</v>
      </c>
      <c r="G242">
        <f t="shared" si="3"/>
        <v>-9.1974015560336042</v>
      </c>
      <c r="H242">
        <v>6.3305576015426448</v>
      </c>
    </row>
    <row r="243" spans="1:8" x14ac:dyDescent="0.35">
      <c r="A243" t="s">
        <v>73</v>
      </c>
      <c r="B243" t="s">
        <v>57</v>
      </c>
      <c r="C243" t="s">
        <v>38</v>
      </c>
      <c r="D243">
        <v>2020</v>
      </c>
      <c r="E243">
        <v>-9.3511426009976422</v>
      </c>
      <c r="F243">
        <v>-7.9120138942178206</v>
      </c>
      <c r="G243">
        <f t="shared" si="3"/>
        <v>1.4391287067798215</v>
      </c>
      <c r="H243">
        <v>6.3305576015426448</v>
      </c>
    </row>
    <row r="244" spans="1:8" x14ac:dyDescent="0.35">
      <c r="A244" t="s">
        <v>73</v>
      </c>
      <c r="B244" t="s">
        <v>56</v>
      </c>
      <c r="C244" t="s">
        <v>40</v>
      </c>
      <c r="D244">
        <v>2020</v>
      </c>
      <c r="E244">
        <v>1.503749975943047</v>
      </c>
      <c r="F244">
        <v>-7.9120138942178206</v>
      </c>
      <c r="G244">
        <f t="shared" si="3"/>
        <v>-9.4157638701608679</v>
      </c>
      <c r="H244">
        <v>6.3305576015426448</v>
      </c>
    </row>
    <row r="245" spans="1:8" x14ac:dyDescent="0.35">
      <c r="A245" t="s">
        <v>73</v>
      </c>
      <c r="B245" t="s">
        <v>58</v>
      </c>
      <c r="C245" t="s">
        <v>40</v>
      </c>
      <c r="D245">
        <v>2020</v>
      </c>
      <c r="E245">
        <v>-8.2482980854368328</v>
      </c>
      <c r="F245">
        <v>-7.9120138942178206</v>
      </c>
      <c r="G245">
        <f t="shared" si="3"/>
        <v>0.33628419121901221</v>
      </c>
      <c r="H245">
        <v>6.3305576015426448</v>
      </c>
    </row>
    <row r="246" spans="1:8" x14ac:dyDescent="0.35">
      <c r="A246" t="s">
        <v>73</v>
      </c>
      <c r="B246" t="s">
        <v>57</v>
      </c>
      <c r="C246" t="s">
        <v>38</v>
      </c>
      <c r="D246">
        <v>2021</v>
      </c>
      <c r="E246">
        <v>5.7952659026178077</v>
      </c>
      <c r="F246">
        <v>6.5701884772546428</v>
      </c>
      <c r="G246">
        <f t="shared" si="3"/>
        <v>0.77492257463683512</v>
      </c>
      <c r="H246">
        <v>7.3790518114153141</v>
      </c>
    </row>
    <row r="247" spans="1:8" x14ac:dyDescent="0.35">
      <c r="A247" t="s">
        <v>73</v>
      </c>
      <c r="B247" t="s">
        <v>59</v>
      </c>
      <c r="C247" t="s">
        <v>38</v>
      </c>
      <c r="D247">
        <v>2021</v>
      </c>
      <c r="E247">
        <v>6.5425794292067074</v>
      </c>
      <c r="F247">
        <v>6.5701884772546428</v>
      </c>
      <c r="G247">
        <f t="shared" si="3"/>
        <v>2.7609048047935403E-2</v>
      </c>
      <c r="H247">
        <v>7.3790518114153141</v>
      </c>
    </row>
    <row r="248" spans="1:8" x14ac:dyDescent="0.35">
      <c r="A248" t="s">
        <v>73</v>
      </c>
      <c r="B248" t="s">
        <v>58</v>
      </c>
      <c r="C248" t="s">
        <v>40</v>
      </c>
      <c r="D248">
        <v>2021</v>
      </c>
      <c r="E248">
        <v>7.4011344913377686</v>
      </c>
      <c r="F248">
        <v>6.5701884772546428</v>
      </c>
      <c r="G248">
        <f t="shared" si="3"/>
        <v>-0.83094601408312574</v>
      </c>
      <c r="H248">
        <v>7.3790518114153141</v>
      </c>
    </row>
    <row r="249" spans="1:8" x14ac:dyDescent="0.35">
      <c r="A249" t="s">
        <v>73</v>
      </c>
      <c r="B249" t="s">
        <v>60</v>
      </c>
      <c r="C249" t="s">
        <v>40</v>
      </c>
      <c r="D249">
        <v>2021</v>
      </c>
      <c r="E249">
        <v>5.7147026734028614</v>
      </c>
      <c r="F249">
        <v>6.5701884772546428</v>
      </c>
      <c r="G249">
        <f t="shared" si="3"/>
        <v>0.85548580385178141</v>
      </c>
      <c r="H249">
        <v>7.3790518114153141</v>
      </c>
    </row>
    <row r="250" spans="1:8" x14ac:dyDescent="0.35">
      <c r="A250" t="s">
        <v>73</v>
      </c>
      <c r="B250" t="s">
        <v>59</v>
      </c>
      <c r="C250" t="s">
        <v>38</v>
      </c>
      <c r="D250">
        <v>2022</v>
      </c>
      <c r="E250">
        <v>3.7661475579403141</v>
      </c>
      <c r="F250">
        <v>2.761671160127166</v>
      </c>
      <c r="G250">
        <f t="shared" si="3"/>
        <v>-1.0044763978131481</v>
      </c>
      <c r="H250">
        <v>9.6347394516842577</v>
      </c>
    </row>
    <row r="251" spans="1:8" x14ac:dyDescent="0.35">
      <c r="A251" t="s">
        <v>73</v>
      </c>
      <c r="B251" t="s">
        <v>61</v>
      </c>
      <c r="C251" t="s">
        <v>38</v>
      </c>
      <c r="D251">
        <v>2022</v>
      </c>
      <c r="E251">
        <v>2.6294584401195249</v>
      </c>
      <c r="F251">
        <v>2.761671160127166</v>
      </c>
      <c r="G251">
        <f t="shared" si="3"/>
        <v>0.13221272000764106</v>
      </c>
      <c r="H251">
        <v>9.6347394516842577</v>
      </c>
    </row>
    <row r="252" spans="1:8" x14ac:dyDescent="0.35">
      <c r="A252" t="s">
        <v>73</v>
      </c>
      <c r="B252" t="s">
        <v>60</v>
      </c>
      <c r="C252" t="s">
        <v>40</v>
      </c>
      <c r="D252">
        <v>2022</v>
      </c>
      <c r="E252">
        <v>4.2114770737248453</v>
      </c>
      <c r="F252">
        <v>2.761671160127166</v>
      </c>
      <c r="G252">
        <f t="shared" si="3"/>
        <v>-1.4498059135976793</v>
      </c>
      <c r="H252">
        <v>9.6347394516842577</v>
      </c>
    </row>
    <row r="253" spans="1:8" x14ac:dyDescent="0.35">
      <c r="A253" t="s">
        <v>73</v>
      </c>
      <c r="B253" t="s">
        <v>62</v>
      </c>
      <c r="C253" t="s">
        <v>40</v>
      </c>
      <c r="D253">
        <v>2022</v>
      </c>
      <c r="E253">
        <v>3.0989524183168582</v>
      </c>
      <c r="F253">
        <v>2.761671160127166</v>
      </c>
      <c r="G253">
        <f t="shared" si="3"/>
        <v>-0.33728125818969223</v>
      </c>
      <c r="H253">
        <v>9.6347394516842577</v>
      </c>
    </row>
    <row r="254" spans="1:8" x14ac:dyDescent="0.35">
      <c r="A254" t="s">
        <v>73</v>
      </c>
      <c r="B254" t="s">
        <v>61</v>
      </c>
      <c r="C254" t="s">
        <v>38</v>
      </c>
      <c r="D254">
        <v>2023</v>
      </c>
      <c r="E254">
        <v>0.43950651458626311</v>
      </c>
      <c r="F254">
        <v>1.8022470831755071</v>
      </c>
      <c r="G254">
        <f t="shared" si="3"/>
        <v>1.362740568589244</v>
      </c>
      <c r="H254">
        <v>10.29193780166767</v>
      </c>
    </row>
    <row r="255" spans="1:8" x14ac:dyDescent="0.35">
      <c r="A255" t="s">
        <v>73</v>
      </c>
      <c r="B255" t="s">
        <v>63</v>
      </c>
      <c r="C255" t="s">
        <v>38</v>
      </c>
      <c r="D255">
        <v>2023</v>
      </c>
      <c r="E255">
        <v>1.0022762950343991</v>
      </c>
      <c r="F255">
        <v>1.8022470831755071</v>
      </c>
      <c r="G255">
        <f t="shared" si="3"/>
        <v>0.799970788141108</v>
      </c>
      <c r="H255">
        <v>10.29193780166767</v>
      </c>
    </row>
    <row r="256" spans="1:8" x14ac:dyDescent="0.35">
      <c r="A256" t="s">
        <v>73</v>
      </c>
      <c r="B256" t="s">
        <v>62</v>
      </c>
      <c r="C256" t="s">
        <v>40</v>
      </c>
      <c r="D256">
        <v>2023</v>
      </c>
      <c r="E256">
        <v>1.7691091240616961</v>
      </c>
      <c r="F256">
        <v>1.8022470831755071</v>
      </c>
      <c r="G256">
        <f t="shared" si="3"/>
        <v>3.3137959113811011E-2</v>
      </c>
      <c r="H256">
        <v>10.29193780166767</v>
      </c>
    </row>
    <row r="257" spans="1:8" x14ac:dyDescent="0.35">
      <c r="A257" t="s">
        <v>73</v>
      </c>
      <c r="B257" t="s">
        <v>64</v>
      </c>
      <c r="C257" t="s">
        <v>40</v>
      </c>
      <c r="D257">
        <v>2023</v>
      </c>
      <c r="E257">
        <v>0.72426026364131868</v>
      </c>
      <c r="F257">
        <v>1.8022470831755071</v>
      </c>
      <c r="G257">
        <f t="shared" si="3"/>
        <v>1.0779868195341884</v>
      </c>
      <c r="H257">
        <v>10.29193780166767</v>
      </c>
    </row>
    <row r="258" spans="1:8" x14ac:dyDescent="0.35">
      <c r="A258" t="s">
        <v>73</v>
      </c>
      <c r="B258" t="s">
        <v>63</v>
      </c>
      <c r="C258" t="s">
        <v>38</v>
      </c>
      <c r="D258">
        <v>2024</v>
      </c>
      <c r="E258">
        <v>1.2470954330068731</v>
      </c>
      <c r="F258">
        <v>1.4144828845553741</v>
      </c>
      <c r="G258">
        <f t="shared" ref="G258:G321" si="4">IF(OR(F258="",E258=""),"",F258-E258)</f>
        <v>0.16738745154850099</v>
      </c>
      <c r="H258">
        <v>11.0988927927906</v>
      </c>
    </row>
    <row r="259" spans="1:8" x14ac:dyDescent="0.35">
      <c r="A259" t="s">
        <v>73</v>
      </c>
      <c r="B259" t="s">
        <v>65</v>
      </c>
      <c r="C259" t="s">
        <v>38</v>
      </c>
      <c r="D259">
        <v>2024</v>
      </c>
      <c r="E259">
        <v>1.13903040986485</v>
      </c>
      <c r="F259">
        <v>1.4144828845553741</v>
      </c>
      <c r="G259">
        <f t="shared" si="4"/>
        <v>0.27545247469052403</v>
      </c>
      <c r="H259">
        <v>11.0988927927906</v>
      </c>
    </row>
    <row r="260" spans="1:8" x14ac:dyDescent="0.35">
      <c r="A260" t="s">
        <v>73</v>
      </c>
      <c r="B260" t="s">
        <v>64</v>
      </c>
      <c r="C260" t="s">
        <v>40</v>
      </c>
      <c r="D260">
        <v>2024</v>
      </c>
      <c r="E260">
        <v>1.41860461240253</v>
      </c>
      <c r="F260">
        <v>1.4144828845553741</v>
      </c>
      <c r="G260">
        <f t="shared" si="4"/>
        <v>-4.1217278471559204E-3</v>
      </c>
      <c r="H260">
        <v>11.0988927927906</v>
      </c>
    </row>
    <row r="261" spans="1:8" x14ac:dyDescent="0.35">
      <c r="A261" t="s">
        <v>73</v>
      </c>
      <c r="B261" t="s">
        <v>66</v>
      </c>
      <c r="C261" t="s">
        <v>40</v>
      </c>
      <c r="D261">
        <v>2024</v>
      </c>
      <c r="E261">
        <v>0.72851910514837304</v>
      </c>
      <c r="F261">
        <v>1.4144828845553741</v>
      </c>
      <c r="G261">
        <f t="shared" si="4"/>
        <v>0.68596377940700104</v>
      </c>
      <c r="H261">
        <v>11.0988927927906</v>
      </c>
    </row>
    <row r="262" spans="1:8" x14ac:dyDescent="0.35">
      <c r="A262" t="s">
        <v>73</v>
      </c>
      <c r="B262" t="s">
        <v>65</v>
      </c>
      <c r="C262" t="s">
        <v>38</v>
      </c>
      <c r="D262">
        <v>2025</v>
      </c>
      <c r="E262">
        <v>0.82258828244963222</v>
      </c>
      <c r="F262">
        <v>0.88561946045636819</v>
      </c>
      <c r="G262">
        <f t="shared" si="4"/>
        <v>6.3031178006735966E-2</v>
      </c>
      <c r="H262">
        <v>10.19774333808712</v>
      </c>
    </row>
    <row r="263" spans="1:8" x14ac:dyDescent="0.35">
      <c r="A263" t="s">
        <v>73</v>
      </c>
      <c r="B263" t="s">
        <v>71</v>
      </c>
      <c r="C263" t="s">
        <v>38</v>
      </c>
      <c r="D263">
        <v>2025</v>
      </c>
      <c r="E263">
        <v>0.69714532745484004</v>
      </c>
      <c r="F263">
        <v>0.88561946045636819</v>
      </c>
      <c r="G263">
        <f t="shared" si="4"/>
        <v>0.18847413300152815</v>
      </c>
      <c r="H263">
        <v>10.19774333808712</v>
      </c>
    </row>
    <row r="264" spans="1:8" x14ac:dyDescent="0.35">
      <c r="A264" t="s">
        <v>73</v>
      </c>
      <c r="B264" t="s">
        <v>66</v>
      </c>
      <c r="C264" t="s">
        <v>40</v>
      </c>
      <c r="D264">
        <v>2025</v>
      </c>
      <c r="E264">
        <v>1.2594069979400271</v>
      </c>
      <c r="F264">
        <v>0.88561946045636819</v>
      </c>
      <c r="G264">
        <f t="shared" si="4"/>
        <v>-0.37378753748365889</v>
      </c>
      <c r="H264">
        <v>10.19774333808712</v>
      </c>
    </row>
    <row r="265" spans="1:8" x14ac:dyDescent="0.35">
      <c r="A265" t="s">
        <v>73</v>
      </c>
      <c r="B265" t="s">
        <v>72</v>
      </c>
      <c r="C265" t="s">
        <v>40</v>
      </c>
      <c r="D265">
        <v>2025</v>
      </c>
      <c r="E265">
        <v>0.57266269658549085</v>
      </c>
      <c r="F265">
        <v>0.88561946045636819</v>
      </c>
      <c r="G265">
        <f t="shared" si="4"/>
        <v>0.31295676387087734</v>
      </c>
      <c r="H265">
        <v>10.19774333808712</v>
      </c>
    </row>
    <row r="266" spans="1:8" x14ac:dyDescent="0.35">
      <c r="A266" t="s">
        <v>74</v>
      </c>
      <c r="B266" t="s">
        <v>45</v>
      </c>
      <c r="C266" t="s">
        <v>38</v>
      </c>
      <c r="D266">
        <v>2015</v>
      </c>
      <c r="E266">
        <v>3.6221665910883831</v>
      </c>
      <c r="F266">
        <v>21.950744654507421</v>
      </c>
      <c r="G266">
        <f t="shared" si="4"/>
        <v>18.328578063419037</v>
      </c>
      <c r="H266">
        <v>4.0724219866131062E-2</v>
      </c>
    </row>
    <row r="267" spans="1:8" x14ac:dyDescent="0.35">
      <c r="A267" t="s">
        <v>74</v>
      </c>
      <c r="B267" t="s">
        <v>47</v>
      </c>
      <c r="C267" t="s">
        <v>38</v>
      </c>
      <c r="D267">
        <v>2015</v>
      </c>
      <c r="E267">
        <v>6.0449344943167782</v>
      </c>
      <c r="F267">
        <v>21.950744654507421</v>
      </c>
      <c r="G267">
        <f t="shared" si="4"/>
        <v>15.905810160190644</v>
      </c>
      <c r="H267">
        <v>4.0724219866131062E-2</v>
      </c>
    </row>
    <row r="268" spans="1:8" x14ac:dyDescent="0.35">
      <c r="A268" t="s">
        <v>74</v>
      </c>
      <c r="B268" t="s">
        <v>46</v>
      </c>
      <c r="C268" t="s">
        <v>40</v>
      </c>
      <c r="D268">
        <v>2015</v>
      </c>
      <c r="E268">
        <v>2.99572233370986</v>
      </c>
      <c r="F268">
        <v>21.950744654507421</v>
      </c>
      <c r="G268">
        <f t="shared" si="4"/>
        <v>18.955022320797561</v>
      </c>
      <c r="H268">
        <v>4.0724219866131062E-2</v>
      </c>
    </row>
    <row r="269" spans="1:8" x14ac:dyDescent="0.35">
      <c r="A269" t="s">
        <v>74</v>
      </c>
      <c r="B269" t="s">
        <v>48</v>
      </c>
      <c r="C269" t="s">
        <v>40</v>
      </c>
      <c r="D269">
        <v>2015</v>
      </c>
      <c r="E269">
        <v>3.6070418929936339</v>
      </c>
      <c r="F269">
        <v>21.950744654507421</v>
      </c>
      <c r="G269">
        <f t="shared" si="4"/>
        <v>18.343702761513786</v>
      </c>
      <c r="H269">
        <v>4.0724219866131062E-2</v>
      </c>
    </row>
    <row r="270" spans="1:8" x14ac:dyDescent="0.35">
      <c r="A270" t="s">
        <v>74</v>
      </c>
      <c r="B270" t="s">
        <v>47</v>
      </c>
      <c r="C270" t="s">
        <v>38</v>
      </c>
      <c r="D270">
        <v>2016</v>
      </c>
      <c r="E270">
        <v>4.4841243342324866</v>
      </c>
      <c r="F270">
        <v>1.1725462785856491</v>
      </c>
      <c r="G270">
        <f t="shared" si="4"/>
        <v>-3.3115780556468373</v>
      </c>
      <c r="H270">
        <v>4.946154241423438E-2</v>
      </c>
    </row>
    <row r="271" spans="1:8" x14ac:dyDescent="0.35">
      <c r="A271" t="s">
        <v>74</v>
      </c>
      <c r="B271" t="s">
        <v>49</v>
      </c>
      <c r="C271" t="s">
        <v>38</v>
      </c>
      <c r="D271">
        <v>2016</v>
      </c>
      <c r="E271">
        <v>4.0884411162628984</v>
      </c>
      <c r="F271">
        <v>1.1725462785856491</v>
      </c>
      <c r="G271">
        <f t="shared" si="4"/>
        <v>-2.9158948376772491</v>
      </c>
      <c r="H271">
        <v>4.946154241423438E-2</v>
      </c>
    </row>
    <row r="272" spans="1:8" x14ac:dyDescent="0.35">
      <c r="A272" t="s">
        <v>74</v>
      </c>
      <c r="B272" t="s">
        <v>48</v>
      </c>
      <c r="C272" t="s">
        <v>40</v>
      </c>
      <c r="D272">
        <v>2016</v>
      </c>
      <c r="E272">
        <v>3.4764574668220138</v>
      </c>
      <c r="F272">
        <v>1.1725462785856491</v>
      </c>
      <c r="G272">
        <f t="shared" si="4"/>
        <v>-2.3039111882363645</v>
      </c>
      <c r="H272">
        <v>4.946154241423438E-2</v>
      </c>
    </row>
    <row r="273" spans="1:8" x14ac:dyDescent="0.35">
      <c r="A273" t="s">
        <v>74</v>
      </c>
      <c r="B273" t="s">
        <v>50</v>
      </c>
      <c r="C273" t="s">
        <v>40</v>
      </c>
      <c r="D273">
        <v>2016</v>
      </c>
      <c r="E273">
        <v>4.8687098071762858</v>
      </c>
      <c r="F273">
        <v>1.1725462785856491</v>
      </c>
      <c r="G273">
        <f t="shared" si="4"/>
        <v>-3.6961635285906365</v>
      </c>
      <c r="H273">
        <v>4.946154241423438E-2</v>
      </c>
    </row>
    <row r="274" spans="1:8" x14ac:dyDescent="0.35">
      <c r="A274" t="s">
        <v>74</v>
      </c>
      <c r="B274" t="s">
        <v>49</v>
      </c>
      <c r="C274" t="s">
        <v>38</v>
      </c>
      <c r="D274">
        <v>2017</v>
      </c>
      <c r="E274">
        <v>3.6014209648164601</v>
      </c>
      <c r="F274">
        <v>9.6242949957613337</v>
      </c>
      <c r="G274">
        <f t="shared" si="4"/>
        <v>6.0228740309448732</v>
      </c>
      <c r="H274">
        <v>7.3230975957205416E-2</v>
      </c>
    </row>
    <row r="275" spans="1:8" x14ac:dyDescent="0.35">
      <c r="A275" t="s">
        <v>74</v>
      </c>
      <c r="B275" t="s">
        <v>51</v>
      </c>
      <c r="C275" t="s">
        <v>38</v>
      </c>
      <c r="D275">
        <v>2017</v>
      </c>
      <c r="E275">
        <v>4.8263025218790556</v>
      </c>
      <c r="F275">
        <v>9.6242949957613337</v>
      </c>
      <c r="G275">
        <f t="shared" si="4"/>
        <v>4.7979924738822781</v>
      </c>
      <c r="H275">
        <v>7.3230975957205416E-2</v>
      </c>
    </row>
    <row r="276" spans="1:8" x14ac:dyDescent="0.35">
      <c r="A276" t="s">
        <v>74</v>
      </c>
      <c r="B276" t="s">
        <v>50</v>
      </c>
      <c r="C276" t="s">
        <v>40</v>
      </c>
      <c r="D276">
        <v>2017</v>
      </c>
      <c r="E276">
        <v>3.6717987560630938</v>
      </c>
      <c r="F276">
        <v>9.6242949957613337</v>
      </c>
      <c r="G276">
        <f t="shared" si="4"/>
        <v>5.9524962396982399</v>
      </c>
      <c r="H276">
        <v>7.3230975957205416E-2</v>
      </c>
    </row>
    <row r="277" spans="1:8" x14ac:dyDescent="0.35">
      <c r="A277" t="s">
        <v>74</v>
      </c>
      <c r="B277" t="s">
        <v>52</v>
      </c>
      <c r="C277" t="s">
        <v>40</v>
      </c>
      <c r="D277">
        <v>2017</v>
      </c>
      <c r="E277">
        <v>3.9509452446526701</v>
      </c>
      <c r="F277">
        <v>9.6242949957613337</v>
      </c>
      <c r="G277">
        <f t="shared" si="4"/>
        <v>5.6733497511086632</v>
      </c>
      <c r="H277">
        <v>7.3230975957205416E-2</v>
      </c>
    </row>
    <row r="278" spans="1:8" x14ac:dyDescent="0.35">
      <c r="A278" t="s">
        <v>74</v>
      </c>
      <c r="B278" t="s">
        <v>51</v>
      </c>
      <c r="C278" t="s">
        <v>38</v>
      </c>
      <c r="D278">
        <v>2018</v>
      </c>
      <c r="E278">
        <v>3.9055452515839528</v>
      </c>
      <c r="F278">
        <v>7.4446874521163222</v>
      </c>
      <c r="G278">
        <f t="shared" si="4"/>
        <v>3.5391422005323694</v>
      </c>
      <c r="H278">
        <v>6.4420530915232005E-2</v>
      </c>
    </row>
    <row r="279" spans="1:8" x14ac:dyDescent="0.35">
      <c r="A279" t="s">
        <v>74</v>
      </c>
      <c r="B279" t="s">
        <v>53</v>
      </c>
      <c r="C279" t="s">
        <v>38</v>
      </c>
      <c r="D279">
        <v>2018</v>
      </c>
      <c r="E279">
        <v>7.8117760082768486</v>
      </c>
      <c r="F279">
        <v>7.4446874521163222</v>
      </c>
      <c r="G279">
        <f t="shared" si="4"/>
        <v>-0.36708855616052638</v>
      </c>
      <c r="H279">
        <v>6.4420530915232005E-2</v>
      </c>
    </row>
    <row r="280" spans="1:8" x14ac:dyDescent="0.35">
      <c r="A280" t="s">
        <v>74</v>
      </c>
      <c r="B280" t="s">
        <v>52</v>
      </c>
      <c r="C280" t="s">
        <v>40</v>
      </c>
      <c r="D280">
        <v>2018</v>
      </c>
      <c r="E280">
        <v>3.6432271266646499</v>
      </c>
      <c r="F280">
        <v>7.4446874521163222</v>
      </c>
      <c r="G280">
        <f t="shared" si="4"/>
        <v>3.8014603254516723</v>
      </c>
      <c r="H280">
        <v>6.4420530915232005E-2</v>
      </c>
    </row>
    <row r="281" spans="1:8" x14ac:dyDescent="0.35">
      <c r="A281" t="s">
        <v>74</v>
      </c>
      <c r="B281" t="s">
        <v>54</v>
      </c>
      <c r="C281" t="s">
        <v>40</v>
      </c>
      <c r="D281">
        <v>2018</v>
      </c>
      <c r="E281">
        <v>5.6808928025538163</v>
      </c>
      <c r="F281">
        <v>7.4446874521163222</v>
      </c>
      <c r="G281">
        <f t="shared" si="4"/>
        <v>1.7637946495625059</v>
      </c>
      <c r="H281">
        <v>6.4420530915232005E-2</v>
      </c>
    </row>
    <row r="282" spans="1:8" x14ac:dyDescent="0.35">
      <c r="A282" t="s">
        <v>74</v>
      </c>
      <c r="B282" t="s">
        <v>53</v>
      </c>
      <c r="C282" t="s">
        <v>38</v>
      </c>
      <c r="D282">
        <v>2019</v>
      </c>
      <c r="E282">
        <v>4.5299756937161373</v>
      </c>
      <c r="F282">
        <v>4.8237638263446936</v>
      </c>
      <c r="G282">
        <f t="shared" si="4"/>
        <v>0.2937881326285563</v>
      </c>
      <c r="H282">
        <v>8.451228512832766E-2</v>
      </c>
    </row>
    <row r="283" spans="1:8" x14ac:dyDescent="0.35">
      <c r="A283" t="s">
        <v>74</v>
      </c>
      <c r="B283" t="s">
        <v>55</v>
      </c>
      <c r="C283" t="s">
        <v>38</v>
      </c>
      <c r="D283">
        <v>2019</v>
      </c>
      <c r="E283">
        <v>5.6355935792373302</v>
      </c>
      <c r="F283">
        <v>4.8237638263446936</v>
      </c>
      <c r="G283">
        <f t="shared" si="4"/>
        <v>-0.81182975289263659</v>
      </c>
      <c r="H283">
        <v>8.451228512832766E-2</v>
      </c>
    </row>
    <row r="284" spans="1:8" x14ac:dyDescent="0.35">
      <c r="A284" t="s">
        <v>74</v>
      </c>
      <c r="B284" t="s">
        <v>54</v>
      </c>
      <c r="C284" t="s">
        <v>40</v>
      </c>
      <c r="D284">
        <v>2019</v>
      </c>
      <c r="E284">
        <v>4.058674421459818</v>
      </c>
      <c r="F284">
        <v>4.8237638263446936</v>
      </c>
      <c r="G284">
        <f t="shared" si="4"/>
        <v>0.76508940488487553</v>
      </c>
      <c r="H284">
        <v>8.451228512832766E-2</v>
      </c>
    </row>
    <row r="285" spans="1:8" x14ac:dyDescent="0.35">
      <c r="A285" t="s">
        <v>74</v>
      </c>
      <c r="B285" t="s">
        <v>56</v>
      </c>
      <c r="C285" t="s">
        <v>40</v>
      </c>
      <c r="D285">
        <v>2019</v>
      </c>
      <c r="E285">
        <v>3.759569376747196</v>
      </c>
      <c r="F285">
        <v>4.8237638263446936</v>
      </c>
      <c r="G285">
        <f t="shared" si="4"/>
        <v>1.0641944495974975</v>
      </c>
      <c r="H285">
        <v>8.451228512832766E-2</v>
      </c>
    </row>
    <row r="286" spans="1:8" x14ac:dyDescent="0.35">
      <c r="A286" t="s">
        <v>74</v>
      </c>
      <c r="B286" t="s">
        <v>55</v>
      </c>
      <c r="C286" t="s">
        <v>38</v>
      </c>
      <c r="D286">
        <v>2020</v>
      </c>
      <c r="E286">
        <v>3.528571869780794</v>
      </c>
      <c r="F286">
        <v>6.9863814303713827</v>
      </c>
      <c r="G286">
        <f t="shared" si="4"/>
        <v>3.4578095605905887</v>
      </c>
      <c r="H286">
        <v>8.2963646418187362E-2</v>
      </c>
    </row>
    <row r="287" spans="1:8" x14ac:dyDescent="0.35">
      <c r="A287" t="s">
        <v>74</v>
      </c>
      <c r="B287" t="s">
        <v>57</v>
      </c>
      <c r="C287" t="s">
        <v>38</v>
      </c>
      <c r="D287">
        <v>2020</v>
      </c>
      <c r="E287">
        <v>-2.3373996171914708</v>
      </c>
      <c r="F287">
        <v>6.9863814303713827</v>
      </c>
      <c r="G287">
        <f t="shared" si="4"/>
        <v>9.3237810475628535</v>
      </c>
      <c r="H287">
        <v>8.2963646418187362E-2</v>
      </c>
    </row>
    <row r="288" spans="1:8" x14ac:dyDescent="0.35">
      <c r="A288" t="s">
        <v>74</v>
      </c>
      <c r="B288" t="s">
        <v>56</v>
      </c>
      <c r="C288" t="s">
        <v>40</v>
      </c>
      <c r="D288">
        <v>2020</v>
      </c>
      <c r="E288">
        <v>3.3676156234285992</v>
      </c>
      <c r="F288">
        <v>6.9863814303713827</v>
      </c>
      <c r="G288">
        <f t="shared" si="4"/>
        <v>3.6187658069427835</v>
      </c>
      <c r="H288">
        <v>8.2963646418187362E-2</v>
      </c>
    </row>
    <row r="289" spans="1:8" x14ac:dyDescent="0.35">
      <c r="A289" t="s">
        <v>74</v>
      </c>
      <c r="B289" t="s">
        <v>58</v>
      </c>
      <c r="C289" t="s">
        <v>40</v>
      </c>
      <c r="D289">
        <v>2020</v>
      </c>
      <c r="E289">
        <v>-7.9470480138547073</v>
      </c>
      <c r="F289">
        <v>6.9863814303713827</v>
      </c>
      <c r="G289">
        <f t="shared" si="4"/>
        <v>14.933429444226089</v>
      </c>
      <c r="H289">
        <v>8.2963646418187362E-2</v>
      </c>
    </row>
    <row r="290" spans="1:8" x14ac:dyDescent="0.35">
      <c r="A290" t="s">
        <v>74</v>
      </c>
      <c r="B290" t="s">
        <v>57</v>
      </c>
      <c r="C290" t="s">
        <v>38</v>
      </c>
      <c r="D290">
        <v>2021</v>
      </c>
      <c r="E290">
        <v>2.947813244873676</v>
      </c>
      <c r="F290">
        <v>15.1246997065809</v>
      </c>
      <c r="G290">
        <f t="shared" si="4"/>
        <v>12.176886461707223</v>
      </c>
      <c r="H290">
        <v>0.1125684434133815</v>
      </c>
    </row>
    <row r="291" spans="1:8" x14ac:dyDescent="0.35">
      <c r="A291" t="s">
        <v>74</v>
      </c>
      <c r="B291" t="s">
        <v>59</v>
      </c>
      <c r="C291" t="s">
        <v>38</v>
      </c>
      <c r="D291">
        <v>2021</v>
      </c>
      <c r="E291">
        <v>14.562981111404421</v>
      </c>
      <c r="F291">
        <v>15.1246997065809</v>
      </c>
      <c r="G291">
        <f t="shared" si="4"/>
        <v>0.5617185951764796</v>
      </c>
      <c r="H291">
        <v>0.1125684434133815</v>
      </c>
    </row>
    <row r="292" spans="1:8" x14ac:dyDescent="0.35">
      <c r="A292" t="s">
        <v>74</v>
      </c>
      <c r="B292" t="s">
        <v>58</v>
      </c>
      <c r="C292" t="s">
        <v>40</v>
      </c>
      <c r="D292">
        <v>2021</v>
      </c>
      <c r="E292">
        <v>6.0844415228506374</v>
      </c>
      <c r="F292">
        <v>15.1246997065809</v>
      </c>
      <c r="G292">
        <f t="shared" si="4"/>
        <v>9.0402581837302627</v>
      </c>
      <c r="H292">
        <v>0.1125684434133815</v>
      </c>
    </row>
    <row r="293" spans="1:8" x14ac:dyDescent="0.35">
      <c r="A293" t="s">
        <v>74</v>
      </c>
      <c r="B293" t="s">
        <v>60</v>
      </c>
      <c r="C293" t="s">
        <v>40</v>
      </c>
      <c r="D293">
        <v>2021</v>
      </c>
      <c r="E293">
        <v>4.5993257541988797</v>
      </c>
      <c r="F293">
        <v>15.1246997065809</v>
      </c>
      <c r="G293">
        <f t="shared" si="4"/>
        <v>10.52537395238202</v>
      </c>
      <c r="H293">
        <v>0.1125684434133815</v>
      </c>
    </row>
    <row r="294" spans="1:8" x14ac:dyDescent="0.35">
      <c r="A294" t="s">
        <v>74</v>
      </c>
      <c r="B294" t="s">
        <v>59</v>
      </c>
      <c r="C294" t="s">
        <v>38</v>
      </c>
      <c r="D294">
        <v>2022</v>
      </c>
      <c r="E294">
        <v>5.0918722980731523</v>
      </c>
      <c r="F294">
        <v>7.9894443369245964</v>
      </c>
      <c r="G294">
        <f t="shared" si="4"/>
        <v>2.8975720388514441</v>
      </c>
      <c r="H294">
        <v>0.12710526929016649</v>
      </c>
    </row>
    <row r="295" spans="1:8" x14ac:dyDescent="0.35">
      <c r="A295" t="s">
        <v>74</v>
      </c>
      <c r="B295" t="s">
        <v>61</v>
      </c>
      <c r="C295" t="s">
        <v>38</v>
      </c>
      <c r="D295">
        <v>2022</v>
      </c>
      <c r="E295">
        <v>7.8710837662645083</v>
      </c>
      <c r="F295">
        <v>7.9894443369245964</v>
      </c>
      <c r="G295">
        <f t="shared" si="4"/>
        <v>0.11836057066008809</v>
      </c>
      <c r="H295">
        <v>0.12710526929016649</v>
      </c>
    </row>
    <row r="296" spans="1:8" x14ac:dyDescent="0.35">
      <c r="A296" t="s">
        <v>74</v>
      </c>
      <c r="B296" t="s">
        <v>60</v>
      </c>
      <c r="C296" t="s">
        <v>40</v>
      </c>
      <c r="D296">
        <v>2022</v>
      </c>
      <c r="E296">
        <v>4.9759868399277041</v>
      </c>
      <c r="F296">
        <v>7.9894443369245964</v>
      </c>
      <c r="G296">
        <f t="shared" si="4"/>
        <v>3.0134574969968924</v>
      </c>
      <c r="H296">
        <v>0.12710526929016649</v>
      </c>
    </row>
    <row r="297" spans="1:8" x14ac:dyDescent="0.35">
      <c r="A297" t="s">
        <v>74</v>
      </c>
      <c r="B297" t="s">
        <v>62</v>
      </c>
      <c r="C297" t="s">
        <v>40</v>
      </c>
      <c r="D297">
        <v>2022</v>
      </c>
      <c r="E297">
        <v>5.3816861962496354</v>
      </c>
      <c r="F297">
        <v>7.9894443369245964</v>
      </c>
      <c r="G297">
        <f t="shared" si="4"/>
        <v>2.607758140674961</v>
      </c>
      <c r="H297">
        <v>0.12710526929016649</v>
      </c>
    </row>
    <row r="298" spans="1:8" x14ac:dyDescent="0.35">
      <c r="A298" t="s">
        <v>74</v>
      </c>
      <c r="B298" t="s">
        <v>61</v>
      </c>
      <c r="C298" t="s">
        <v>38</v>
      </c>
      <c r="D298">
        <v>2023</v>
      </c>
      <c r="E298">
        <v>3.172255506856847</v>
      </c>
      <c r="F298">
        <v>-3.5205103013764418</v>
      </c>
      <c r="G298">
        <f t="shared" si="4"/>
        <v>-6.6927658082332888</v>
      </c>
      <c r="H298">
        <v>8.2843043821704931E-2</v>
      </c>
    </row>
    <row r="299" spans="1:8" x14ac:dyDescent="0.35">
      <c r="A299" t="s">
        <v>74</v>
      </c>
      <c r="B299" t="s">
        <v>63</v>
      </c>
      <c r="C299" t="s">
        <v>38</v>
      </c>
      <c r="D299">
        <v>2023</v>
      </c>
      <c r="E299">
        <v>-0.93495600507882415</v>
      </c>
      <c r="F299">
        <v>-3.5205103013764418</v>
      </c>
      <c r="G299">
        <f t="shared" si="4"/>
        <v>-2.5855542962976177</v>
      </c>
      <c r="H299">
        <v>8.2843043821704931E-2</v>
      </c>
    </row>
    <row r="300" spans="1:8" x14ac:dyDescent="0.35">
      <c r="A300" t="s">
        <v>74</v>
      </c>
      <c r="B300" t="s">
        <v>62</v>
      </c>
      <c r="C300" t="s">
        <v>40</v>
      </c>
      <c r="D300">
        <v>2023</v>
      </c>
      <c r="E300">
        <v>4.4348314017168322</v>
      </c>
      <c r="F300">
        <v>-3.5205103013764418</v>
      </c>
      <c r="G300">
        <f t="shared" si="4"/>
        <v>-7.955341703093274</v>
      </c>
      <c r="H300">
        <v>8.2843043821704931E-2</v>
      </c>
    </row>
    <row r="301" spans="1:8" x14ac:dyDescent="0.35">
      <c r="A301" t="s">
        <v>74</v>
      </c>
      <c r="B301" t="s">
        <v>64</v>
      </c>
      <c r="C301" t="s">
        <v>40</v>
      </c>
      <c r="D301">
        <v>2023</v>
      </c>
      <c r="E301">
        <v>5.5170730455133654</v>
      </c>
      <c r="F301">
        <v>-3.5205103013764418</v>
      </c>
      <c r="G301">
        <f t="shared" si="4"/>
        <v>-9.0375833468898072</v>
      </c>
      <c r="H301">
        <v>8.2843043821704931E-2</v>
      </c>
    </row>
    <row r="302" spans="1:8" x14ac:dyDescent="0.35">
      <c r="A302" t="s">
        <v>74</v>
      </c>
      <c r="B302" t="s">
        <v>63</v>
      </c>
      <c r="C302" t="s">
        <v>38</v>
      </c>
      <c r="D302">
        <v>2024</v>
      </c>
      <c r="E302">
        <v>3.0440640134462789</v>
      </c>
      <c r="F302">
        <v>3.6203795629134459</v>
      </c>
      <c r="G302">
        <f t="shared" si="4"/>
        <v>0.57631554946716701</v>
      </c>
      <c r="H302">
        <v>0.1177447291038284</v>
      </c>
    </row>
    <row r="303" spans="1:8" x14ac:dyDescent="0.35">
      <c r="A303" t="s">
        <v>74</v>
      </c>
      <c r="B303" t="s">
        <v>65</v>
      </c>
      <c r="C303" t="s">
        <v>38</v>
      </c>
      <c r="D303">
        <v>2024</v>
      </c>
      <c r="E303">
        <v>-0.54062635287741578</v>
      </c>
      <c r="F303">
        <v>3.6203795629134459</v>
      </c>
      <c r="G303">
        <f t="shared" si="4"/>
        <v>4.1610059157908612</v>
      </c>
      <c r="H303">
        <v>0.1177447291038284</v>
      </c>
    </row>
    <row r="304" spans="1:8" x14ac:dyDescent="0.35">
      <c r="A304" t="s">
        <v>74</v>
      </c>
      <c r="B304" t="s">
        <v>64</v>
      </c>
      <c r="C304" t="s">
        <v>40</v>
      </c>
      <c r="D304">
        <v>2024</v>
      </c>
      <c r="E304">
        <v>4.9679452562146009</v>
      </c>
      <c r="F304">
        <v>3.6203795629134459</v>
      </c>
      <c r="G304">
        <f t="shared" si="4"/>
        <v>-1.3475656933011551</v>
      </c>
      <c r="H304">
        <v>0.1177447291038284</v>
      </c>
    </row>
    <row r="305" spans="1:8" x14ac:dyDescent="0.35">
      <c r="A305" t="s">
        <v>74</v>
      </c>
      <c r="B305" t="s">
        <v>66</v>
      </c>
      <c r="C305" t="s">
        <v>40</v>
      </c>
      <c r="D305">
        <v>2024</v>
      </c>
      <c r="E305">
        <v>1.2437124663212009</v>
      </c>
      <c r="F305">
        <v>3.6203795629134459</v>
      </c>
      <c r="G305">
        <f t="shared" si="4"/>
        <v>2.3766670965922447</v>
      </c>
      <c r="H305">
        <v>0.1177447291038284</v>
      </c>
    </row>
    <row r="306" spans="1:8" x14ac:dyDescent="0.35">
      <c r="A306" t="s">
        <v>74</v>
      </c>
      <c r="B306" t="s">
        <v>65</v>
      </c>
      <c r="C306" t="s">
        <v>38</v>
      </c>
      <c r="D306">
        <v>2025</v>
      </c>
      <c r="E306">
        <v>4.023669914633099</v>
      </c>
      <c r="F306">
        <v>7.7791754385506806</v>
      </c>
      <c r="G306">
        <f t="shared" si="4"/>
        <v>3.7555055239175816</v>
      </c>
      <c r="H306">
        <v>0.1147657704770987</v>
      </c>
    </row>
    <row r="307" spans="1:8" x14ac:dyDescent="0.35">
      <c r="A307" t="s">
        <v>74</v>
      </c>
      <c r="B307" t="s">
        <v>71</v>
      </c>
      <c r="C307" t="s">
        <v>38</v>
      </c>
      <c r="D307">
        <v>2025</v>
      </c>
      <c r="E307">
        <v>10.65081995793598</v>
      </c>
      <c r="F307">
        <v>7.7791754385506806</v>
      </c>
      <c r="G307">
        <f t="shared" si="4"/>
        <v>-2.8716445193852991</v>
      </c>
      <c r="H307">
        <v>0.1147657704770987</v>
      </c>
    </row>
    <row r="308" spans="1:8" x14ac:dyDescent="0.35">
      <c r="A308" t="s">
        <v>74</v>
      </c>
      <c r="B308" t="s">
        <v>66</v>
      </c>
      <c r="C308" t="s">
        <v>40</v>
      </c>
      <c r="D308">
        <v>2025</v>
      </c>
      <c r="E308">
        <v>3.5927766013469591</v>
      </c>
      <c r="F308">
        <v>7.7791754385506806</v>
      </c>
      <c r="G308">
        <f t="shared" si="4"/>
        <v>4.186398837203722</v>
      </c>
      <c r="H308">
        <v>0.1147657704770987</v>
      </c>
    </row>
    <row r="309" spans="1:8" x14ac:dyDescent="0.35">
      <c r="A309" t="s">
        <v>74</v>
      </c>
      <c r="B309" t="s">
        <v>72</v>
      </c>
      <c r="C309" t="s">
        <v>40</v>
      </c>
      <c r="D309">
        <v>2025</v>
      </c>
      <c r="E309">
        <v>3.377198218825495</v>
      </c>
      <c r="F309">
        <v>7.7791754385506806</v>
      </c>
      <c r="G309">
        <f t="shared" si="4"/>
        <v>4.4019772197251861</v>
      </c>
      <c r="H309">
        <v>0.1147657704770987</v>
      </c>
    </row>
    <row r="310" spans="1:8" x14ac:dyDescent="0.35">
      <c r="A310" t="s">
        <v>75</v>
      </c>
      <c r="B310" t="s">
        <v>45</v>
      </c>
      <c r="C310" t="s">
        <v>38</v>
      </c>
      <c r="D310">
        <v>2015</v>
      </c>
      <c r="E310">
        <v>0.62872973894907425</v>
      </c>
      <c r="F310">
        <v>0.74285153390220071</v>
      </c>
      <c r="G310">
        <f t="shared" si="4"/>
        <v>0.11412179495312647</v>
      </c>
      <c r="H310">
        <v>6.4495721704754719E-2</v>
      </c>
    </row>
    <row r="311" spans="1:8" x14ac:dyDescent="0.35">
      <c r="A311" t="s">
        <v>75</v>
      </c>
      <c r="B311" t="s">
        <v>47</v>
      </c>
      <c r="C311" t="s">
        <v>38</v>
      </c>
      <c r="D311">
        <v>2015</v>
      </c>
      <c r="E311">
        <v>0.86665350989461043</v>
      </c>
      <c r="F311">
        <v>0.74285153390220071</v>
      </c>
      <c r="G311">
        <f t="shared" si="4"/>
        <v>-0.12380197599240972</v>
      </c>
      <c r="H311">
        <v>6.4495721704754719E-2</v>
      </c>
    </row>
    <row r="312" spans="1:8" x14ac:dyDescent="0.35">
      <c r="A312" t="s">
        <v>75</v>
      </c>
      <c r="B312" t="s">
        <v>46</v>
      </c>
      <c r="C312" t="s">
        <v>40</v>
      </c>
      <c r="D312">
        <v>2015</v>
      </c>
      <c r="E312">
        <v>1.229987574853153</v>
      </c>
      <c r="F312">
        <v>0.74285153390220071</v>
      </c>
      <c r="G312">
        <f t="shared" si="4"/>
        <v>-0.48713604095095231</v>
      </c>
      <c r="H312">
        <v>6.4495721704754719E-2</v>
      </c>
    </row>
    <row r="313" spans="1:8" x14ac:dyDescent="0.35">
      <c r="A313" t="s">
        <v>75</v>
      </c>
      <c r="B313" t="s">
        <v>48</v>
      </c>
      <c r="C313" t="s">
        <v>40</v>
      </c>
      <c r="D313">
        <v>2015</v>
      </c>
      <c r="E313">
        <v>0.6068597463795955</v>
      </c>
      <c r="F313">
        <v>0.74285153390220071</v>
      </c>
      <c r="G313">
        <f t="shared" si="4"/>
        <v>0.13599178752260521</v>
      </c>
      <c r="H313">
        <v>6.4495721704754719E-2</v>
      </c>
    </row>
    <row r="314" spans="1:8" x14ac:dyDescent="0.35">
      <c r="A314" t="s">
        <v>75</v>
      </c>
      <c r="B314" t="s">
        <v>47</v>
      </c>
      <c r="C314" t="s">
        <v>38</v>
      </c>
      <c r="D314">
        <v>2016</v>
      </c>
      <c r="E314">
        <v>1.4512761867371271</v>
      </c>
      <c r="F314">
        <v>1.34543552139666</v>
      </c>
      <c r="G314">
        <f t="shared" si="4"/>
        <v>-0.1058406653404671</v>
      </c>
      <c r="H314">
        <v>4.895947464224041E-2</v>
      </c>
    </row>
    <row r="315" spans="1:8" x14ac:dyDescent="0.35">
      <c r="A315" t="s">
        <v>75</v>
      </c>
      <c r="B315" t="s">
        <v>49</v>
      </c>
      <c r="C315" t="s">
        <v>38</v>
      </c>
      <c r="D315">
        <v>2016</v>
      </c>
      <c r="E315">
        <v>0.70784283945437565</v>
      </c>
      <c r="F315">
        <v>1.34543552139666</v>
      </c>
      <c r="G315">
        <f t="shared" si="4"/>
        <v>0.63759268194228436</v>
      </c>
      <c r="H315">
        <v>4.895947464224041E-2</v>
      </c>
    </row>
    <row r="316" spans="1:8" x14ac:dyDescent="0.35">
      <c r="A316" t="s">
        <v>75</v>
      </c>
      <c r="B316" t="s">
        <v>48</v>
      </c>
      <c r="C316" t="s">
        <v>40</v>
      </c>
      <c r="D316">
        <v>2016</v>
      </c>
      <c r="E316">
        <v>1.4109778499366681</v>
      </c>
      <c r="F316">
        <v>1.34543552139666</v>
      </c>
      <c r="G316">
        <f t="shared" si="4"/>
        <v>-6.5542328540008077E-2</v>
      </c>
      <c r="H316">
        <v>4.895947464224041E-2</v>
      </c>
    </row>
    <row r="317" spans="1:8" x14ac:dyDescent="0.35">
      <c r="A317" t="s">
        <v>75</v>
      </c>
      <c r="B317" t="s">
        <v>50</v>
      </c>
      <c r="C317" t="s">
        <v>40</v>
      </c>
      <c r="D317">
        <v>2016</v>
      </c>
      <c r="E317">
        <v>1.090462780977397</v>
      </c>
      <c r="F317">
        <v>1.34543552139666</v>
      </c>
      <c r="G317">
        <f t="shared" si="4"/>
        <v>0.25497274041926299</v>
      </c>
      <c r="H317">
        <v>4.895947464224041E-2</v>
      </c>
    </row>
    <row r="318" spans="1:8" x14ac:dyDescent="0.35">
      <c r="A318" t="s">
        <v>75</v>
      </c>
      <c r="B318" t="s">
        <v>49</v>
      </c>
      <c r="C318" t="s">
        <v>38</v>
      </c>
      <c r="D318">
        <v>2017</v>
      </c>
      <c r="E318">
        <v>0.90288361690229468</v>
      </c>
      <c r="F318">
        <v>1.6777714333363121</v>
      </c>
      <c r="G318">
        <f t="shared" si="4"/>
        <v>0.77488781643401738</v>
      </c>
      <c r="H318">
        <v>4.7872991480586879E-2</v>
      </c>
    </row>
    <row r="319" spans="1:8" x14ac:dyDescent="0.35">
      <c r="A319" t="s">
        <v>75</v>
      </c>
      <c r="B319" t="s">
        <v>51</v>
      </c>
      <c r="C319" t="s">
        <v>38</v>
      </c>
      <c r="D319">
        <v>2017</v>
      </c>
      <c r="E319">
        <v>1.454734323287576</v>
      </c>
      <c r="F319">
        <v>1.6777714333363121</v>
      </c>
      <c r="G319">
        <f t="shared" si="4"/>
        <v>0.22303711004873605</v>
      </c>
      <c r="H319">
        <v>4.7872991480586879E-2</v>
      </c>
    </row>
    <row r="320" spans="1:8" x14ac:dyDescent="0.35">
      <c r="A320" t="s">
        <v>75</v>
      </c>
      <c r="B320" t="s">
        <v>50</v>
      </c>
      <c r="C320" t="s">
        <v>40</v>
      </c>
      <c r="D320">
        <v>2017</v>
      </c>
      <c r="E320">
        <v>1.33546021526687</v>
      </c>
      <c r="F320">
        <v>1.6777714333363121</v>
      </c>
      <c r="G320">
        <f t="shared" si="4"/>
        <v>0.34231121806944209</v>
      </c>
      <c r="H320">
        <v>4.7872991480586879E-2</v>
      </c>
    </row>
    <row r="321" spans="1:8" x14ac:dyDescent="0.35">
      <c r="A321" t="s">
        <v>75</v>
      </c>
      <c r="B321" t="s">
        <v>52</v>
      </c>
      <c r="C321" t="s">
        <v>40</v>
      </c>
      <c r="D321">
        <v>2017</v>
      </c>
      <c r="E321">
        <v>0.92886361941262319</v>
      </c>
      <c r="F321">
        <v>1.6777714333363121</v>
      </c>
      <c r="G321">
        <f t="shared" si="4"/>
        <v>0.74890781392368888</v>
      </c>
      <c r="H321">
        <v>4.7872991480586879E-2</v>
      </c>
    </row>
    <row r="322" spans="1:8" x14ac:dyDescent="0.35">
      <c r="A322" t="s">
        <v>75</v>
      </c>
      <c r="B322" t="s">
        <v>51</v>
      </c>
      <c r="C322" t="s">
        <v>38</v>
      </c>
      <c r="D322">
        <v>2018</v>
      </c>
      <c r="E322">
        <v>1.301033595779133</v>
      </c>
      <c r="F322">
        <v>0.67915616097696463</v>
      </c>
      <c r="G322">
        <f t="shared" ref="G322:G385" si="5">IF(OR(F322="",E322=""),"",F322-E322)</f>
        <v>-0.62187743480216839</v>
      </c>
      <c r="H322">
        <v>7.9752209883890743E-2</v>
      </c>
    </row>
    <row r="323" spans="1:8" x14ac:dyDescent="0.35">
      <c r="A323" t="s">
        <v>75</v>
      </c>
      <c r="B323" t="s">
        <v>53</v>
      </c>
      <c r="C323" t="s">
        <v>38</v>
      </c>
      <c r="D323">
        <v>2018</v>
      </c>
      <c r="E323">
        <v>1.148974792689472</v>
      </c>
      <c r="F323">
        <v>0.67915616097696463</v>
      </c>
      <c r="G323">
        <f t="shared" si="5"/>
        <v>-0.46981863171250737</v>
      </c>
      <c r="H323">
        <v>7.9752209883890743E-2</v>
      </c>
    </row>
    <row r="324" spans="1:8" x14ac:dyDescent="0.35">
      <c r="A324" t="s">
        <v>75</v>
      </c>
      <c r="B324" t="s">
        <v>52</v>
      </c>
      <c r="C324" t="s">
        <v>40</v>
      </c>
      <c r="D324">
        <v>2018</v>
      </c>
      <c r="E324">
        <v>1.1322194305175119</v>
      </c>
      <c r="F324">
        <v>0.67915616097696463</v>
      </c>
      <c r="G324">
        <f t="shared" si="5"/>
        <v>-0.45306326954054732</v>
      </c>
      <c r="H324">
        <v>7.9752209883890743E-2</v>
      </c>
    </row>
    <row r="325" spans="1:8" x14ac:dyDescent="0.35">
      <c r="A325" t="s">
        <v>75</v>
      </c>
      <c r="B325" t="s">
        <v>54</v>
      </c>
      <c r="C325" t="s">
        <v>40</v>
      </c>
      <c r="D325">
        <v>2018</v>
      </c>
      <c r="E325">
        <v>1.453547985332837</v>
      </c>
      <c r="F325">
        <v>0.67915616097696463</v>
      </c>
      <c r="G325">
        <f t="shared" si="5"/>
        <v>-0.77439182435587239</v>
      </c>
      <c r="H325">
        <v>7.9752209883890743E-2</v>
      </c>
    </row>
    <row r="326" spans="1:8" x14ac:dyDescent="0.35">
      <c r="A326" t="s">
        <v>75</v>
      </c>
      <c r="B326" t="s">
        <v>53</v>
      </c>
      <c r="C326" t="s">
        <v>38</v>
      </c>
      <c r="D326">
        <v>2019</v>
      </c>
      <c r="E326">
        <v>1.1508168253350211</v>
      </c>
      <c r="F326">
        <v>0.41751152968335331</v>
      </c>
      <c r="G326">
        <f t="shared" si="5"/>
        <v>-0.73330529565166769</v>
      </c>
      <c r="H326">
        <v>7.456030390779872E-2</v>
      </c>
    </row>
    <row r="327" spans="1:8" x14ac:dyDescent="0.35">
      <c r="A327" t="s">
        <v>75</v>
      </c>
      <c r="B327" t="s">
        <v>55</v>
      </c>
      <c r="C327" t="s">
        <v>38</v>
      </c>
      <c r="D327">
        <v>2019</v>
      </c>
      <c r="E327">
        <v>0.1046834039854172</v>
      </c>
      <c r="F327">
        <v>0.41751152968335331</v>
      </c>
      <c r="G327">
        <f t="shared" si="5"/>
        <v>0.31282812569793611</v>
      </c>
      <c r="H327">
        <v>7.456030390779872E-2</v>
      </c>
    </row>
    <row r="328" spans="1:8" x14ac:dyDescent="0.35">
      <c r="A328" t="s">
        <v>75</v>
      </c>
      <c r="B328" t="s">
        <v>54</v>
      </c>
      <c r="C328" t="s">
        <v>40</v>
      </c>
      <c r="D328">
        <v>2019</v>
      </c>
      <c r="E328">
        <v>1.208894526316961</v>
      </c>
      <c r="F328">
        <v>0.41751152968335331</v>
      </c>
      <c r="G328">
        <f t="shared" si="5"/>
        <v>-0.79138299663360767</v>
      </c>
      <c r="H328">
        <v>7.456030390779872E-2</v>
      </c>
    </row>
    <row r="329" spans="1:8" x14ac:dyDescent="0.35">
      <c r="A329" t="s">
        <v>75</v>
      </c>
      <c r="B329" t="s">
        <v>56</v>
      </c>
      <c r="C329" t="s">
        <v>40</v>
      </c>
      <c r="D329">
        <v>2019</v>
      </c>
      <c r="E329">
        <v>0.1006276066420453</v>
      </c>
      <c r="F329">
        <v>0.41751152968335331</v>
      </c>
      <c r="G329">
        <f t="shared" si="5"/>
        <v>0.31688392304130802</v>
      </c>
      <c r="H329">
        <v>7.456030390779872E-2</v>
      </c>
    </row>
    <row r="330" spans="1:8" x14ac:dyDescent="0.35">
      <c r="A330" t="s">
        <v>75</v>
      </c>
      <c r="B330" t="s">
        <v>55</v>
      </c>
      <c r="C330" t="s">
        <v>38</v>
      </c>
      <c r="D330">
        <v>2020</v>
      </c>
      <c r="E330">
        <v>0.43236292909316631</v>
      </c>
      <c r="F330">
        <v>-9.3783767522421471</v>
      </c>
      <c r="G330">
        <f t="shared" si="5"/>
        <v>-9.8107396813353134</v>
      </c>
      <c r="H330">
        <v>0.10567749457490171</v>
      </c>
    </row>
    <row r="331" spans="1:8" x14ac:dyDescent="0.35">
      <c r="A331" t="s">
        <v>75</v>
      </c>
      <c r="B331" t="s">
        <v>57</v>
      </c>
      <c r="C331" t="s">
        <v>38</v>
      </c>
      <c r="D331">
        <v>2020</v>
      </c>
      <c r="E331">
        <v>-9.8515454699187543</v>
      </c>
      <c r="F331">
        <v>-9.3783767522421471</v>
      </c>
      <c r="G331">
        <f t="shared" si="5"/>
        <v>0.47316871767660729</v>
      </c>
      <c r="H331">
        <v>0.10567749457490171</v>
      </c>
    </row>
    <row r="332" spans="1:8" x14ac:dyDescent="0.35">
      <c r="A332" t="s">
        <v>75</v>
      </c>
      <c r="B332" t="s">
        <v>56</v>
      </c>
      <c r="C332" t="s">
        <v>40</v>
      </c>
      <c r="D332">
        <v>2020</v>
      </c>
      <c r="E332">
        <v>0.71178912334750599</v>
      </c>
      <c r="F332">
        <v>-9.3783767522421471</v>
      </c>
      <c r="G332">
        <f t="shared" si="5"/>
        <v>-10.090165875589653</v>
      </c>
      <c r="H332">
        <v>0.10567749457490171</v>
      </c>
    </row>
    <row r="333" spans="1:8" x14ac:dyDescent="0.35">
      <c r="A333" t="s">
        <v>75</v>
      </c>
      <c r="B333" t="s">
        <v>58</v>
      </c>
      <c r="C333" t="s">
        <v>40</v>
      </c>
      <c r="D333">
        <v>2020</v>
      </c>
      <c r="E333">
        <v>-9.517990850094149</v>
      </c>
      <c r="F333">
        <v>-9.3783767522421471</v>
      </c>
      <c r="G333">
        <f t="shared" si="5"/>
        <v>0.13961409785200196</v>
      </c>
      <c r="H333">
        <v>0.10567749457490171</v>
      </c>
    </row>
    <row r="334" spans="1:8" x14ac:dyDescent="0.35">
      <c r="A334" t="s">
        <v>75</v>
      </c>
      <c r="B334" t="s">
        <v>57</v>
      </c>
      <c r="C334" t="s">
        <v>38</v>
      </c>
      <c r="D334">
        <v>2021</v>
      </c>
      <c r="E334">
        <v>4.051033813756133</v>
      </c>
      <c r="F334">
        <v>8.4370671759064813</v>
      </c>
      <c r="G334">
        <f t="shared" si="5"/>
        <v>4.3860333621503482</v>
      </c>
      <c r="H334">
        <v>0.19431646820822901</v>
      </c>
    </row>
    <row r="335" spans="1:8" x14ac:dyDescent="0.35">
      <c r="A335" t="s">
        <v>75</v>
      </c>
      <c r="B335" t="s">
        <v>59</v>
      </c>
      <c r="C335" t="s">
        <v>38</v>
      </c>
      <c r="D335">
        <v>2021</v>
      </c>
      <c r="E335">
        <v>6.2292733128945343</v>
      </c>
      <c r="F335">
        <v>8.4370671759064813</v>
      </c>
      <c r="G335">
        <f t="shared" si="5"/>
        <v>2.2077938630119469</v>
      </c>
      <c r="H335">
        <v>0.19431646820822901</v>
      </c>
    </row>
    <row r="336" spans="1:8" x14ac:dyDescent="0.35">
      <c r="A336" t="s">
        <v>75</v>
      </c>
      <c r="B336" t="s">
        <v>58</v>
      </c>
      <c r="C336" t="s">
        <v>40</v>
      </c>
      <c r="D336">
        <v>2021</v>
      </c>
      <c r="E336">
        <v>6.5496569028856699</v>
      </c>
      <c r="F336">
        <v>8.4370671759064813</v>
      </c>
      <c r="G336">
        <f t="shared" si="5"/>
        <v>1.8874102730208113</v>
      </c>
      <c r="H336">
        <v>0.19431646820822901</v>
      </c>
    </row>
    <row r="337" spans="1:8" x14ac:dyDescent="0.35">
      <c r="A337" t="s">
        <v>75</v>
      </c>
      <c r="B337" t="s">
        <v>60</v>
      </c>
      <c r="C337" t="s">
        <v>40</v>
      </c>
      <c r="D337">
        <v>2021</v>
      </c>
      <c r="E337">
        <v>4.2068723885489323</v>
      </c>
      <c r="F337">
        <v>8.4370671759064813</v>
      </c>
      <c r="G337">
        <f t="shared" si="5"/>
        <v>4.2301947873575489</v>
      </c>
      <c r="H337">
        <v>0.19431646820822901</v>
      </c>
    </row>
    <row r="338" spans="1:8" x14ac:dyDescent="0.35">
      <c r="A338" t="s">
        <v>75</v>
      </c>
      <c r="B338" t="s">
        <v>59</v>
      </c>
      <c r="C338" t="s">
        <v>38</v>
      </c>
      <c r="D338">
        <v>2022</v>
      </c>
      <c r="E338">
        <v>4.2689191687874661</v>
      </c>
      <c r="F338">
        <v>4.8546134866977511</v>
      </c>
      <c r="G338">
        <f t="shared" si="5"/>
        <v>0.58569431791028492</v>
      </c>
      <c r="H338">
        <v>0.18202263906573379</v>
      </c>
    </row>
    <row r="339" spans="1:8" x14ac:dyDescent="0.35">
      <c r="A339" t="s">
        <v>75</v>
      </c>
      <c r="B339" t="s">
        <v>61</v>
      </c>
      <c r="C339" t="s">
        <v>38</v>
      </c>
      <c r="D339">
        <v>2022</v>
      </c>
      <c r="E339">
        <v>3.8268920279536989</v>
      </c>
      <c r="F339">
        <v>4.8546134866977511</v>
      </c>
      <c r="G339">
        <f t="shared" si="5"/>
        <v>1.0277214587440522</v>
      </c>
      <c r="H339">
        <v>0.18202263906573379</v>
      </c>
    </row>
    <row r="340" spans="1:8" x14ac:dyDescent="0.35">
      <c r="A340" t="s">
        <v>75</v>
      </c>
      <c r="B340" t="s">
        <v>60</v>
      </c>
      <c r="C340" t="s">
        <v>40</v>
      </c>
      <c r="D340">
        <v>2022</v>
      </c>
      <c r="E340">
        <v>4.3934586282645904</v>
      </c>
      <c r="F340">
        <v>4.8546134866977511</v>
      </c>
      <c r="G340">
        <f t="shared" si="5"/>
        <v>0.46115485843316062</v>
      </c>
      <c r="H340">
        <v>0.18202263906573379</v>
      </c>
    </row>
    <row r="341" spans="1:8" x14ac:dyDescent="0.35">
      <c r="A341" t="s">
        <v>75</v>
      </c>
      <c r="B341" t="s">
        <v>62</v>
      </c>
      <c r="C341" t="s">
        <v>40</v>
      </c>
      <c r="D341">
        <v>2022</v>
      </c>
      <c r="E341">
        <v>2.4256542804822261</v>
      </c>
      <c r="F341">
        <v>4.8546134866977511</v>
      </c>
      <c r="G341">
        <f t="shared" si="5"/>
        <v>2.428959206215525</v>
      </c>
      <c r="H341">
        <v>0.18202263906573379</v>
      </c>
    </row>
    <row r="342" spans="1:8" x14ac:dyDescent="0.35">
      <c r="A342" t="s">
        <v>75</v>
      </c>
      <c r="B342" t="s">
        <v>61</v>
      </c>
      <c r="C342" t="s">
        <v>38</v>
      </c>
      <c r="D342">
        <v>2023</v>
      </c>
      <c r="E342">
        <v>0.31473715860916851</v>
      </c>
      <c r="F342">
        <v>1.014274087639002</v>
      </c>
      <c r="G342">
        <f t="shared" si="5"/>
        <v>0.69953692902983344</v>
      </c>
      <c r="H342">
        <v>0.177052568927489</v>
      </c>
    </row>
    <row r="343" spans="1:8" x14ac:dyDescent="0.35">
      <c r="A343" t="s">
        <v>75</v>
      </c>
      <c r="B343" t="s">
        <v>63</v>
      </c>
      <c r="C343" t="s">
        <v>38</v>
      </c>
      <c r="D343">
        <v>2023</v>
      </c>
      <c r="E343">
        <v>0.69157318051265015</v>
      </c>
      <c r="F343">
        <v>1.014274087639002</v>
      </c>
      <c r="G343">
        <f t="shared" si="5"/>
        <v>0.3227009071263518</v>
      </c>
      <c r="H343">
        <v>0.177052568927489</v>
      </c>
    </row>
    <row r="344" spans="1:8" x14ac:dyDescent="0.35">
      <c r="A344" t="s">
        <v>75</v>
      </c>
      <c r="B344" t="s">
        <v>62</v>
      </c>
      <c r="C344" t="s">
        <v>40</v>
      </c>
      <c r="D344">
        <v>2023</v>
      </c>
      <c r="E344">
        <v>1.851291422718337</v>
      </c>
      <c r="F344">
        <v>1.014274087639002</v>
      </c>
      <c r="G344">
        <f t="shared" si="5"/>
        <v>-0.83701733507933507</v>
      </c>
      <c r="H344">
        <v>0.177052568927489</v>
      </c>
    </row>
    <row r="345" spans="1:8" x14ac:dyDescent="0.35">
      <c r="A345" t="s">
        <v>75</v>
      </c>
      <c r="B345" t="s">
        <v>64</v>
      </c>
      <c r="C345" t="s">
        <v>40</v>
      </c>
      <c r="D345">
        <v>2023</v>
      </c>
      <c r="E345">
        <v>1.206598132351089</v>
      </c>
      <c r="F345">
        <v>1.014274087639002</v>
      </c>
      <c r="G345">
        <f t="shared" si="5"/>
        <v>-0.19232404471208708</v>
      </c>
      <c r="H345">
        <v>0.177052568927489</v>
      </c>
    </row>
    <row r="346" spans="1:8" x14ac:dyDescent="0.35">
      <c r="A346" t="s">
        <v>75</v>
      </c>
      <c r="B346" t="s">
        <v>63</v>
      </c>
      <c r="C346" t="s">
        <v>38</v>
      </c>
      <c r="D346">
        <v>2024</v>
      </c>
      <c r="E346">
        <v>0.85219564942633497</v>
      </c>
      <c r="F346">
        <v>0.58463257989526929</v>
      </c>
      <c r="G346">
        <f t="shared" si="5"/>
        <v>-0.26756306953106568</v>
      </c>
      <c r="H346">
        <v>0.27455983249816451</v>
      </c>
    </row>
    <row r="347" spans="1:8" x14ac:dyDescent="0.35">
      <c r="A347" t="s">
        <v>75</v>
      </c>
      <c r="B347" t="s">
        <v>65</v>
      </c>
      <c r="C347" t="s">
        <v>38</v>
      </c>
      <c r="D347">
        <v>2024</v>
      </c>
      <c r="E347">
        <v>0.66875073104093463</v>
      </c>
      <c r="F347">
        <v>0.58463257989526929</v>
      </c>
      <c r="G347">
        <f t="shared" si="5"/>
        <v>-8.4118151145665343E-2</v>
      </c>
      <c r="H347">
        <v>0.27455983249816451</v>
      </c>
    </row>
    <row r="348" spans="1:8" x14ac:dyDescent="0.35">
      <c r="A348" t="s">
        <v>75</v>
      </c>
      <c r="B348" t="s">
        <v>64</v>
      </c>
      <c r="C348" t="s">
        <v>40</v>
      </c>
      <c r="D348">
        <v>2024</v>
      </c>
      <c r="E348">
        <v>1.088219792885559</v>
      </c>
      <c r="F348">
        <v>0.58463257989526929</v>
      </c>
      <c r="G348">
        <f t="shared" si="5"/>
        <v>-0.50358721299028975</v>
      </c>
      <c r="H348">
        <v>0.27455983249816451</v>
      </c>
    </row>
    <row r="349" spans="1:8" x14ac:dyDescent="0.35">
      <c r="A349" t="s">
        <v>75</v>
      </c>
      <c r="B349" t="s">
        <v>66</v>
      </c>
      <c r="C349" t="s">
        <v>40</v>
      </c>
      <c r="D349">
        <v>2024</v>
      </c>
      <c r="E349">
        <v>0.93648338218597083</v>
      </c>
      <c r="F349">
        <v>0.58463257989526929</v>
      </c>
      <c r="G349">
        <f t="shared" si="5"/>
        <v>-0.35185080229070154</v>
      </c>
      <c r="H349">
        <v>0.27455983249816451</v>
      </c>
    </row>
    <row r="350" spans="1:8" x14ac:dyDescent="0.35">
      <c r="A350" t="s">
        <v>75</v>
      </c>
      <c r="B350" t="s">
        <v>65</v>
      </c>
      <c r="C350" t="s">
        <v>38</v>
      </c>
      <c r="D350">
        <v>2025</v>
      </c>
      <c r="E350">
        <v>1.0376492446310339</v>
      </c>
      <c r="F350">
        <v>0.66135842759176278</v>
      </c>
      <c r="G350">
        <f t="shared" si="5"/>
        <v>-0.37629081703927114</v>
      </c>
      <c r="H350">
        <v>0.40820851895901789</v>
      </c>
    </row>
    <row r="351" spans="1:8" x14ac:dyDescent="0.35">
      <c r="A351" t="s">
        <v>75</v>
      </c>
      <c r="B351" t="s">
        <v>71</v>
      </c>
      <c r="C351" t="s">
        <v>38</v>
      </c>
      <c r="D351">
        <v>2025</v>
      </c>
      <c r="E351">
        <v>0.35981622121454843</v>
      </c>
      <c r="F351">
        <v>0.66135842759176278</v>
      </c>
      <c r="G351">
        <f t="shared" si="5"/>
        <v>0.30154220637721435</v>
      </c>
      <c r="H351">
        <v>0.40820851895901789</v>
      </c>
    </row>
    <row r="352" spans="1:8" x14ac:dyDescent="0.35">
      <c r="A352" t="s">
        <v>75</v>
      </c>
      <c r="B352" t="s">
        <v>66</v>
      </c>
      <c r="C352" t="s">
        <v>40</v>
      </c>
      <c r="D352">
        <v>2025</v>
      </c>
      <c r="E352">
        <v>1.0979449050216421</v>
      </c>
      <c r="F352">
        <v>0.66135842759176278</v>
      </c>
      <c r="G352">
        <f t="shared" si="5"/>
        <v>-0.43658647742987933</v>
      </c>
      <c r="H352">
        <v>0.40820851895901789</v>
      </c>
    </row>
    <row r="353" spans="1:8" x14ac:dyDescent="0.35">
      <c r="A353" t="s">
        <v>75</v>
      </c>
      <c r="B353" t="s">
        <v>72</v>
      </c>
      <c r="C353" t="s">
        <v>40</v>
      </c>
      <c r="D353">
        <v>2025</v>
      </c>
      <c r="E353">
        <v>0.66447930597219873</v>
      </c>
      <c r="F353">
        <v>0.66135842759176278</v>
      </c>
      <c r="G353">
        <f t="shared" si="5"/>
        <v>-3.1208783804359541E-3</v>
      </c>
      <c r="H353">
        <v>0.40820851895901789</v>
      </c>
    </row>
    <row r="354" spans="1:8" x14ac:dyDescent="0.35">
      <c r="A354" t="s">
        <v>76</v>
      </c>
      <c r="B354" t="s">
        <v>45</v>
      </c>
      <c r="C354" t="s">
        <v>38</v>
      </c>
      <c r="D354">
        <v>2015</v>
      </c>
      <c r="E354">
        <v>1.4152411951803721</v>
      </c>
      <c r="F354">
        <v>2.075992985655045</v>
      </c>
      <c r="G354">
        <f t="shared" si="5"/>
        <v>0.66075179047467292</v>
      </c>
      <c r="H354">
        <v>0.64469227395689221</v>
      </c>
    </row>
    <row r="355" spans="1:8" x14ac:dyDescent="0.35">
      <c r="A355" t="s">
        <v>76</v>
      </c>
      <c r="B355" t="s">
        <v>47</v>
      </c>
      <c r="C355" t="s">
        <v>38</v>
      </c>
      <c r="D355">
        <v>2015</v>
      </c>
      <c r="E355">
        <v>2.048080115775686</v>
      </c>
      <c r="F355">
        <v>2.075992985655045</v>
      </c>
      <c r="G355">
        <f t="shared" si="5"/>
        <v>2.7912869879358926E-2</v>
      </c>
      <c r="H355">
        <v>0.64469227395689221</v>
      </c>
    </row>
    <row r="356" spans="1:8" x14ac:dyDescent="0.35">
      <c r="A356" t="s">
        <v>76</v>
      </c>
      <c r="B356" t="s">
        <v>46</v>
      </c>
      <c r="C356" t="s">
        <v>40</v>
      </c>
      <c r="D356">
        <v>2015</v>
      </c>
      <c r="E356">
        <v>1.3587126188379759</v>
      </c>
      <c r="F356">
        <v>2.075992985655045</v>
      </c>
      <c r="G356">
        <f t="shared" si="5"/>
        <v>0.71728036681706908</v>
      </c>
      <c r="H356">
        <v>0.64469227395689221</v>
      </c>
    </row>
    <row r="357" spans="1:8" x14ac:dyDescent="0.35">
      <c r="A357" t="s">
        <v>76</v>
      </c>
      <c r="B357" t="s">
        <v>48</v>
      </c>
      <c r="C357" t="s">
        <v>40</v>
      </c>
      <c r="D357">
        <v>2015</v>
      </c>
      <c r="E357">
        <v>1.634744403265187</v>
      </c>
      <c r="F357">
        <v>2.075992985655045</v>
      </c>
      <c r="G357">
        <f t="shared" si="5"/>
        <v>0.44124858238985798</v>
      </c>
      <c r="H357">
        <v>0.64469227395689221</v>
      </c>
    </row>
    <row r="358" spans="1:8" x14ac:dyDescent="0.35">
      <c r="A358" t="s">
        <v>76</v>
      </c>
      <c r="B358" t="s">
        <v>47</v>
      </c>
      <c r="C358" t="s">
        <v>38</v>
      </c>
      <c r="D358">
        <v>2016</v>
      </c>
      <c r="E358">
        <v>2.1325986777734669</v>
      </c>
      <c r="F358">
        <v>2.3909782656438301</v>
      </c>
      <c r="G358">
        <f t="shared" si="5"/>
        <v>0.25837958787036319</v>
      </c>
      <c r="H358">
        <v>0.88869438219391805</v>
      </c>
    </row>
    <row r="359" spans="1:8" x14ac:dyDescent="0.35">
      <c r="A359" t="s">
        <v>76</v>
      </c>
      <c r="B359" t="s">
        <v>49</v>
      </c>
      <c r="C359" t="s">
        <v>38</v>
      </c>
      <c r="D359">
        <v>2016</v>
      </c>
      <c r="E359">
        <v>1.6589744219452249</v>
      </c>
      <c r="F359">
        <v>2.3909782656438301</v>
      </c>
      <c r="G359">
        <f t="shared" si="5"/>
        <v>0.73200384369860516</v>
      </c>
      <c r="H359">
        <v>0.88869438219391805</v>
      </c>
    </row>
    <row r="360" spans="1:8" x14ac:dyDescent="0.35">
      <c r="A360" t="s">
        <v>76</v>
      </c>
      <c r="B360" t="s">
        <v>48</v>
      </c>
      <c r="C360" t="s">
        <v>40</v>
      </c>
      <c r="D360">
        <v>2016</v>
      </c>
      <c r="E360">
        <v>1.7327119888610909</v>
      </c>
      <c r="F360">
        <v>2.3909782656438301</v>
      </c>
      <c r="G360">
        <f t="shared" si="5"/>
        <v>0.65826627678273919</v>
      </c>
      <c r="H360">
        <v>0.88869438219391805</v>
      </c>
    </row>
    <row r="361" spans="1:8" x14ac:dyDescent="0.35">
      <c r="A361" t="s">
        <v>76</v>
      </c>
      <c r="B361" t="s">
        <v>50</v>
      </c>
      <c r="C361" t="s">
        <v>40</v>
      </c>
      <c r="D361">
        <v>2016</v>
      </c>
      <c r="E361">
        <v>1.6774792555238389</v>
      </c>
      <c r="F361">
        <v>2.3909782656438301</v>
      </c>
      <c r="G361">
        <f t="shared" si="5"/>
        <v>0.71349901011999117</v>
      </c>
      <c r="H361">
        <v>0.88869438219391805</v>
      </c>
    </row>
    <row r="362" spans="1:8" x14ac:dyDescent="0.35">
      <c r="A362" t="s">
        <v>76</v>
      </c>
      <c r="B362" t="s">
        <v>49</v>
      </c>
      <c r="C362" t="s">
        <v>38</v>
      </c>
      <c r="D362">
        <v>2017</v>
      </c>
      <c r="E362">
        <v>1.6517530585588249</v>
      </c>
      <c r="F362">
        <v>2.7431906089065579</v>
      </c>
      <c r="G362">
        <f t="shared" si="5"/>
        <v>1.0914375503477329</v>
      </c>
      <c r="H362">
        <v>0.91375556201106944</v>
      </c>
    </row>
    <row r="363" spans="1:8" x14ac:dyDescent="0.35">
      <c r="A363" t="s">
        <v>76</v>
      </c>
      <c r="B363" t="s">
        <v>51</v>
      </c>
      <c r="C363" t="s">
        <v>38</v>
      </c>
      <c r="D363">
        <v>2017</v>
      </c>
      <c r="E363">
        <v>3.2081591137887999</v>
      </c>
      <c r="F363">
        <v>2.7431906089065579</v>
      </c>
      <c r="G363">
        <f t="shared" si="5"/>
        <v>-0.46496850488224206</v>
      </c>
      <c r="H363">
        <v>0.91375556201106944</v>
      </c>
    </row>
    <row r="364" spans="1:8" x14ac:dyDescent="0.35">
      <c r="A364" t="s">
        <v>76</v>
      </c>
      <c r="B364" t="s">
        <v>50</v>
      </c>
      <c r="C364" t="s">
        <v>40</v>
      </c>
      <c r="D364">
        <v>2017</v>
      </c>
      <c r="E364">
        <v>1.9694041267229729</v>
      </c>
      <c r="F364">
        <v>2.7431906089065579</v>
      </c>
      <c r="G364">
        <f t="shared" si="5"/>
        <v>0.77378648218358492</v>
      </c>
      <c r="H364">
        <v>0.91375556201106944</v>
      </c>
    </row>
    <row r="365" spans="1:8" x14ac:dyDescent="0.35">
      <c r="A365" t="s">
        <v>76</v>
      </c>
      <c r="B365" t="s">
        <v>52</v>
      </c>
      <c r="C365" t="s">
        <v>40</v>
      </c>
      <c r="D365">
        <v>2017</v>
      </c>
      <c r="E365">
        <v>2.1108256212513781</v>
      </c>
      <c r="F365">
        <v>2.7431906089065579</v>
      </c>
      <c r="G365">
        <f t="shared" si="5"/>
        <v>0.63236498765517979</v>
      </c>
      <c r="H365">
        <v>0.91375556201106944</v>
      </c>
    </row>
    <row r="366" spans="1:8" x14ac:dyDescent="0.35">
      <c r="A366" t="s">
        <v>76</v>
      </c>
      <c r="B366" t="s">
        <v>51</v>
      </c>
      <c r="C366" t="s">
        <v>38</v>
      </c>
      <c r="D366">
        <v>2018</v>
      </c>
      <c r="E366">
        <v>2.719855882122268</v>
      </c>
      <c r="F366">
        <v>2.2276489335745251</v>
      </c>
      <c r="G366">
        <f t="shared" si="5"/>
        <v>-0.49220694854774294</v>
      </c>
      <c r="H366">
        <v>1.074386415797439</v>
      </c>
    </row>
    <row r="367" spans="1:8" x14ac:dyDescent="0.35">
      <c r="A367" t="s">
        <v>76</v>
      </c>
      <c r="B367" t="s">
        <v>53</v>
      </c>
      <c r="C367" t="s">
        <v>38</v>
      </c>
      <c r="D367">
        <v>2018</v>
      </c>
      <c r="E367">
        <v>2.836804692292016</v>
      </c>
      <c r="F367">
        <v>2.2276489335745251</v>
      </c>
      <c r="G367">
        <f t="shared" si="5"/>
        <v>-0.60915575871749095</v>
      </c>
      <c r="H367">
        <v>1.074386415797439</v>
      </c>
    </row>
    <row r="368" spans="1:8" x14ac:dyDescent="0.35">
      <c r="A368" t="s">
        <v>76</v>
      </c>
      <c r="B368" t="s">
        <v>52</v>
      </c>
      <c r="C368" t="s">
        <v>40</v>
      </c>
      <c r="D368">
        <v>2018</v>
      </c>
      <c r="E368">
        <v>1.81696463155987</v>
      </c>
      <c r="F368">
        <v>2.2276489335745251</v>
      </c>
      <c r="G368">
        <f t="shared" si="5"/>
        <v>0.41068430201465511</v>
      </c>
      <c r="H368">
        <v>1.074386415797439</v>
      </c>
    </row>
    <row r="369" spans="1:8" x14ac:dyDescent="0.35">
      <c r="A369" t="s">
        <v>76</v>
      </c>
      <c r="B369" t="s">
        <v>54</v>
      </c>
      <c r="C369" t="s">
        <v>40</v>
      </c>
      <c r="D369">
        <v>2018</v>
      </c>
      <c r="E369">
        <v>2.9504045313044398</v>
      </c>
      <c r="F369">
        <v>2.2276489335745251</v>
      </c>
      <c r="G369">
        <f t="shared" si="5"/>
        <v>-0.72275559772991471</v>
      </c>
      <c r="H369">
        <v>1.074386415797439</v>
      </c>
    </row>
    <row r="370" spans="1:8" x14ac:dyDescent="0.35">
      <c r="A370" t="s">
        <v>76</v>
      </c>
      <c r="B370" t="s">
        <v>53</v>
      </c>
      <c r="C370" t="s">
        <v>38</v>
      </c>
      <c r="D370">
        <v>2019</v>
      </c>
      <c r="E370">
        <v>2.3973855170303038</v>
      </c>
      <c r="F370">
        <v>2.2687921571426761</v>
      </c>
      <c r="G370">
        <f t="shared" si="5"/>
        <v>-0.12859335988762766</v>
      </c>
      <c r="H370">
        <v>1.104616251936025</v>
      </c>
    </row>
    <row r="371" spans="1:8" x14ac:dyDescent="0.35">
      <c r="A371" t="s">
        <v>76</v>
      </c>
      <c r="B371" t="s">
        <v>55</v>
      </c>
      <c r="C371" t="s">
        <v>38</v>
      </c>
      <c r="D371">
        <v>2019</v>
      </c>
      <c r="E371">
        <v>1.699934171052897</v>
      </c>
      <c r="F371">
        <v>2.2687921571426761</v>
      </c>
      <c r="G371">
        <f t="shared" si="5"/>
        <v>0.56885798608977911</v>
      </c>
      <c r="H371">
        <v>1.104616251936025</v>
      </c>
    </row>
    <row r="372" spans="1:8" x14ac:dyDescent="0.35">
      <c r="A372" t="s">
        <v>76</v>
      </c>
      <c r="B372" t="s">
        <v>54</v>
      </c>
      <c r="C372" t="s">
        <v>40</v>
      </c>
      <c r="D372">
        <v>2019</v>
      </c>
      <c r="E372">
        <v>2.5903398154754731</v>
      </c>
      <c r="F372">
        <v>2.2687921571426761</v>
      </c>
      <c r="G372">
        <f t="shared" si="5"/>
        <v>-0.32154765833279697</v>
      </c>
      <c r="H372">
        <v>1.104616251936025</v>
      </c>
    </row>
    <row r="373" spans="1:8" x14ac:dyDescent="0.35">
      <c r="A373" t="s">
        <v>76</v>
      </c>
      <c r="B373" t="s">
        <v>56</v>
      </c>
      <c r="C373" t="s">
        <v>40</v>
      </c>
      <c r="D373">
        <v>2019</v>
      </c>
      <c r="E373">
        <v>1.627911133653104</v>
      </c>
      <c r="F373">
        <v>2.2687921571426761</v>
      </c>
      <c r="G373">
        <f t="shared" si="5"/>
        <v>0.6408810234895721</v>
      </c>
      <c r="H373">
        <v>1.104616251936025</v>
      </c>
    </row>
    <row r="374" spans="1:8" x14ac:dyDescent="0.35">
      <c r="A374" t="s">
        <v>76</v>
      </c>
      <c r="B374" t="s">
        <v>55</v>
      </c>
      <c r="C374" t="s">
        <v>38</v>
      </c>
      <c r="D374">
        <v>2020</v>
      </c>
      <c r="E374">
        <v>1.2831214058191649</v>
      </c>
      <c r="F374">
        <v>-3.9039509434828492</v>
      </c>
      <c r="G374">
        <f t="shared" si="5"/>
        <v>-5.1870723493020137</v>
      </c>
      <c r="H374">
        <v>1.670735682705939</v>
      </c>
    </row>
    <row r="375" spans="1:8" x14ac:dyDescent="0.35">
      <c r="A375" t="s">
        <v>76</v>
      </c>
      <c r="B375" t="s">
        <v>57</v>
      </c>
      <c r="C375" t="s">
        <v>38</v>
      </c>
      <c r="D375">
        <v>2020</v>
      </c>
      <c r="E375">
        <v>-5.3222217587985954</v>
      </c>
      <c r="F375">
        <v>-3.9039509434828492</v>
      </c>
      <c r="G375">
        <f t="shared" si="5"/>
        <v>1.4182708153157462</v>
      </c>
      <c r="H375">
        <v>1.670735682705939</v>
      </c>
    </row>
    <row r="376" spans="1:8" x14ac:dyDescent="0.35">
      <c r="A376" t="s">
        <v>76</v>
      </c>
      <c r="B376" t="s">
        <v>56</v>
      </c>
      <c r="C376" t="s">
        <v>40</v>
      </c>
      <c r="D376">
        <v>2020</v>
      </c>
      <c r="E376">
        <v>1.619436814413677</v>
      </c>
      <c r="F376">
        <v>-3.9039509434828492</v>
      </c>
      <c r="G376">
        <f t="shared" si="5"/>
        <v>-5.5233877578965265</v>
      </c>
      <c r="H376">
        <v>1.670735682705939</v>
      </c>
    </row>
    <row r="377" spans="1:8" x14ac:dyDescent="0.35">
      <c r="A377" t="s">
        <v>76</v>
      </c>
      <c r="B377" t="s">
        <v>58</v>
      </c>
      <c r="C377" t="s">
        <v>40</v>
      </c>
      <c r="D377">
        <v>2020</v>
      </c>
      <c r="E377">
        <v>-6.8478963820636896</v>
      </c>
      <c r="F377">
        <v>-3.9039509434828492</v>
      </c>
      <c r="G377">
        <f t="shared" si="5"/>
        <v>2.9439454385808403</v>
      </c>
      <c r="H377">
        <v>1.670735682705939</v>
      </c>
    </row>
    <row r="378" spans="1:8" x14ac:dyDescent="0.35">
      <c r="A378" t="s">
        <v>76</v>
      </c>
      <c r="B378" t="s">
        <v>57</v>
      </c>
      <c r="C378" t="s">
        <v>38</v>
      </c>
      <c r="D378">
        <v>2021</v>
      </c>
      <c r="E378">
        <v>2.161323818880434</v>
      </c>
      <c r="F378">
        <v>6.0197643563294596</v>
      </c>
      <c r="G378">
        <f t="shared" si="5"/>
        <v>3.8584405374490256</v>
      </c>
      <c r="H378">
        <v>1.619800877878083</v>
      </c>
    </row>
    <row r="379" spans="1:8" x14ac:dyDescent="0.35">
      <c r="A379" t="s">
        <v>76</v>
      </c>
      <c r="B379" t="s">
        <v>59</v>
      </c>
      <c r="C379" t="s">
        <v>38</v>
      </c>
      <c r="D379">
        <v>2021</v>
      </c>
      <c r="E379">
        <v>3.9728248180522558</v>
      </c>
      <c r="F379">
        <v>6.0197643563294596</v>
      </c>
      <c r="G379">
        <f t="shared" si="5"/>
        <v>2.0469395382772038</v>
      </c>
      <c r="H379">
        <v>1.619800877878083</v>
      </c>
    </row>
    <row r="380" spans="1:8" x14ac:dyDescent="0.35">
      <c r="A380" t="s">
        <v>76</v>
      </c>
      <c r="B380" t="s">
        <v>58</v>
      </c>
      <c r="C380" t="s">
        <v>40</v>
      </c>
      <c r="D380">
        <v>2021</v>
      </c>
      <c r="E380">
        <v>4.963640025345617</v>
      </c>
      <c r="F380">
        <v>6.0197643563294596</v>
      </c>
      <c r="G380">
        <f t="shared" si="5"/>
        <v>1.0561243309838426</v>
      </c>
      <c r="H380">
        <v>1.619800877878083</v>
      </c>
    </row>
    <row r="381" spans="1:8" x14ac:dyDescent="0.35">
      <c r="A381" t="s">
        <v>76</v>
      </c>
      <c r="B381" t="s">
        <v>60</v>
      </c>
      <c r="C381" t="s">
        <v>40</v>
      </c>
      <c r="D381">
        <v>2021</v>
      </c>
      <c r="E381">
        <v>2.3382369164345769</v>
      </c>
      <c r="F381">
        <v>6.0197643563294596</v>
      </c>
      <c r="G381">
        <f t="shared" si="5"/>
        <v>3.6815274398948827</v>
      </c>
      <c r="H381">
        <v>1.619800877878083</v>
      </c>
    </row>
    <row r="382" spans="1:8" x14ac:dyDescent="0.35">
      <c r="A382" t="s">
        <v>76</v>
      </c>
      <c r="B382" t="s">
        <v>59</v>
      </c>
      <c r="C382" t="s">
        <v>38</v>
      </c>
      <c r="D382">
        <v>2022</v>
      </c>
      <c r="E382">
        <v>3.3489770835561039</v>
      </c>
      <c r="F382">
        <v>4.8892912104023152</v>
      </c>
      <c r="G382">
        <f t="shared" si="5"/>
        <v>1.5403141268462113</v>
      </c>
      <c r="H382">
        <v>1.8443544310864439</v>
      </c>
    </row>
    <row r="383" spans="1:8" x14ac:dyDescent="0.35">
      <c r="A383" t="s">
        <v>76</v>
      </c>
      <c r="B383" t="s">
        <v>61</v>
      </c>
      <c r="C383" t="s">
        <v>38</v>
      </c>
      <c r="D383">
        <v>2022</v>
      </c>
      <c r="E383">
        <v>4.6490196630740721</v>
      </c>
      <c r="F383">
        <v>4.8892912104023152</v>
      </c>
      <c r="G383">
        <f t="shared" si="5"/>
        <v>0.24027154732824307</v>
      </c>
      <c r="H383">
        <v>1.8443544310864439</v>
      </c>
    </row>
    <row r="384" spans="1:8" x14ac:dyDescent="0.35">
      <c r="A384" t="s">
        <v>76</v>
      </c>
      <c r="B384" t="s">
        <v>60</v>
      </c>
      <c r="C384" t="s">
        <v>40</v>
      </c>
      <c r="D384">
        <v>2022</v>
      </c>
      <c r="E384">
        <v>3.5790486712876879</v>
      </c>
      <c r="F384">
        <v>4.8892912104023152</v>
      </c>
      <c r="G384">
        <f t="shared" si="5"/>
        <v>1.3102425391146273</v>
      </c>
      <c r="H384">
        <v>1.8443544310864439</v>
      </c>
    </row>
    <row r="385" spans="1:8" x14ac:dyDescent="0.35">
      <c r="A385" t="s">
        <v>76</v>
      </c>
      <c r="B385" t="s">
        <v>62</v>
      </c>
      <c r="C385" t="s">
        <v>40</v>
      </c>
      <c r="D385">
        <v>2022</v>
      </c>
      <c r="E385">
        <v>3.271330674458595</v>
      </c>
      <c r="F385">
        <v>4.8892912104023152</v>
      </c>
      <c r="G385">
        <f t="shared" si="5"/>
        <v>1.6179605359437201</v>
      </c>
      <c r="H385">
        <v>1.8443544310864439</v>
      </c>
    </row>
    <row r="386" spans="1:8" x14ac:dyDescent="0.35">
      <c r="A386" t="s">
        <v>76</v>
      </c>
      <c r="B386" t="s">
        <v>61</v>
      </c>
      <c r="C386" t="s">
        <v>38</v>
      </c>
      <c r="D386">
        <v>2023</v>
      </c>
      <c r="E386">
        <v>0.64857323528075828</v>
      </c>
      <c r="F386">
        <v>-0.58469355622177965</v>
      </c>
      <c r="G386">
        <f t="shared" ref="G386:G441" si="6">IF(OR(F386="",E386=""),"",F386-E386)</f>
        <v>-1.2332667915025379</v>
      </c>
      <c r="H386">
        <v>1.8588080393447699</v>
      </c>
    </row>
    <row r="387" spans="1:8" x14ac:dyDescent="0.35">
      <c r="A387" t="s">
        <v>76</v>
      </c>
      <c r="B387" t="s">
        <v>63</v>
      </c>
      <c r="C387" t="s">
        <v>38</v>
      </c>
      <c r="D387">
        <v>2023</v>
      </c>
      <c r="E387">
        <v>0.5799247285826814</v>
      </c>
      <c r="F387">
        <v>-0.58469355622177965</v>
      </c>
      <c r="G387">
        <f t="shared" si="6"/>
        <v>-1.1646182848044611</v>
      </c>
      <c r="H387">
        <v>1.8588080393447699</v>
      </c>
    </row>
    <row r="388" spans="1:8" x14ac:dyDescent="0.35">
      <c r="A388" t="s">
        <v>76</v>
      </c>
      <c r="B388" t="s">
        <v>62</v>
      </c>
      <c r="C388" t="s">
        <v>40</v>
      </c>
      <c r="D388">
        <v>2023</v>
      </c>
      <c r="E388">
        <v>1.5682500170195011</v>
      </c>
      <c r="F388">
        <v>-0.58469355622177965</v>
      </c>
      <c r="G388">
        <f t="shared" si="6"/>
        <v>-2.1529435732412807</v>
      </c>
      <c r="H388">
        <v>1.8588080393447699</v>
      </c>
    </row>
    <row r="389" spans="1:8" x14ac:dyDescent="0.35">
      <c r="A389" t="s">
        <v>76</v>
      </c>
      <c r="B389" t="s">
        <v>64</v>
      </c>
      <c r="C389" t="s">
        <v>40</v>
      </c>
      <c r="D389">
        <v>2023</v>
      </c>
      <c r="E389">
        <v>1.8009941751683021</v>
      </c>
      <c r="F389">
        <v>-0.58469355622177965</v>
      </c>
      <c r="G389">
        <f t="shared" si="6"/>
        <v>-2.3856877313900817</v>
      </c>
      <c r="H389">
        <v>1.8588080393447699</v>
      </c>
    </row>
    <row r="390" spans="1:8" x14ac:dyDescent="0.35">
      <c r="A390" t="s">
        <v>76</v>
      </c>
      <c r="B390" t="s">
        <v>63</v>
      </c>
      <c r="C390" t="s">
        <v>38</v>
      </c>
      <c r="D390">
        <v>2024</v>
      </c>
      <c r="E390">
        <v>1.090974188365412</v>
      </c>
      <c r="F390">
        <v>1.058640812818894</v>
      </c>
      <c r="G390">
        <f t="shared" si="6"/>
        <v>-3.2333375546518051E-2</v>
      </c>
      <c r="H390">
        <v>1.8225943435336369</v>
      </c>
    </row>
    <row r="391" spans="1:8" x14ac:dyDescent="0.35">
      <c r="A391" t="s">
        <v>76</v>
      </c>
      <c r="B391" t="s">
        <v>65</v>
      </c>
      <c r="C391" t="s">
        <v>38</v>
      </c>
      <c r="D391">
        <v>2024</v>
      </c>
      <c r="E391">
        <v>0.84134331866276835</v>
      </c>
      <c r="F391">
        <v>1.058640812818894</v>
      </c>
      <c r="G391">
        <f t="shared" si="6"/>
        <v>0.21729749415612565</v>
      </c>
      <c r="H391">
        <v>1.8225943435336369</v>
      </c>
    </row>
    <row r="392" spans="1:8" x14ac:dyDescent="0.35">
      <c r="A392" t="s">
        <v>76</v>
      </c>
      <c r="B392" t="s">
        <v>64</v>
      </c>
      <c r="C392" t="s">
        <v>40</v>
      </c>
      <c r="D392">
        <v>2024</v>
      </c>
      <c r="E392">
        <v>1.181076174566176</v>
      </c>
      <c r="F392">
        <v>1.058640812818894</v>
      </c>
      <c r="G392">
        <f t="shared" si="6"/>
        <v>-0.12243536174728198</v>
      </c>
      <c r="H392">
        <v>1.8225943435336369</v>
      </c>
    </row>
    <row r="393" spans="1:8" x14ac:dyDescent="0.35">
      <c r="A393" t="s">
        <v>76</v>
      </c>
      <c r="B393" t="s">
        <v>66</v>
      </c>
      <c r="C393" t="s">
        <v>40</v>
      </c>
      <c r="D393">
        <v>2024</v>
      </c>
      <c r="E393">
        <v>0.76042118074215459</v>
      </c>
      <c r="F393">
        <v>1.058640812818894</v>
      </c>
      <c r="G393">
        <f t="shared" si="6"/>
        <v>0.2982196320767394</v>
      </c>
      <c r="H393">
        <v>1.8225943435336369</v>
      </c>
    </row>
    <row r="394" spans="1:8" x14ac:dyDescent="0.35">
      <c r="A394" t="s">
        <v>76</v>
      </c>
      <c r="B394" t="s">
        <v>65</v>
      </c>
      <c r="C394" t="s">
        <v>38</v>
      </c>
      <c r="D394">
        <v>2025</v>
      </c>
      <c r="E394">
        <v>1.551316113361789</v>
      </c>
      <c r="F394">
        <v>1.5629801711020599</v>
      </c>
      <c r="G394">
        <f t="shared" si="6"/>
        <v>1.1664057740270906E-2</v>
      </c>
      <c r="H394">
        <v>2.036323027173855</v>
      </c>
    </row>
    <row r="395" spans="1:8" x14ac:dyDescent="0.35">
      <c r="A395" t="s">
        <v>76</v>
      </c>
      <c r="B395" t="s">
        <v>71</v>
      </c>
      <c r="C395" t="s">
        <v>38</v>
      </c>
      <c r="D395">
        <v>2025</v>
      </c>
      <c r="E395">
        <v>1.6966708374271939</v>
      </c>
      <c r="F395">
        <v>1.5629801711020599</v>
      </c>
      <c r="G395">
        <f t="shared" si="6"/>
        <v>-0.13369066632513404</v>
      </c>
      <c r="H395">
        <v>2.036323027173855</v>
      </c>
    </row>
    <row r="396" spans="1:8" x14ac:dyDescent="0.35">
      <c r="A396" t="s">
        <v>76</v>
      </c>
      <c r="B396" t="s">
        <v>66</v>
      </c>
      <c r="C396" t="s">
        <v>40</v>
      </c>
      <c r="D396">
        <v>2025</v>
      </c>
      <c r="E396">
        <v>1.4664182247055459</v>
      </c>
      <c r="F396">
        <v>1.5629801711020599</v>
      </c>
      <c r="G396">
        <f t="shared" si="6"/>
        <v>9.6561946396513942E-2</v>
      </c>
      <c r="H396">
        <v>2.036323027173855</v>
      </c>
    </row>
    <row r="397" spans="1:8" x14ac:dyDescent="0.35">
      <c r="A397" t="s">
        <v>76</v>
      </c>
      <c r="B397" t="s">
        <v>72</v>
      </c>
      <c r="C397" t="s">
        <v>40</v>
      </c>
      <c r="D397">
        <v>2025</v>
      </c>
      <c r="E397">
        <v>1.282511180567347</v>
      </c>
      <c r="F397">
        <v>1.5629801711020599</v>
      </c>
      <c r="G397">
        <f t="shared" si="6"/>
        <v>0.28046899053471286</v>
      </c>
      <c r="H397">
        <v>2.036323027173855</v>
      </c>
    </row>
    <row r="398" spans="1:8" x14ac:dyDescent="0.35">
      <c r="A398" t="s">
        <v>77</v>
      </c>
      <c r="B398" t="s">
        <v>45</v>
      </c>
      <c r="C398" t="s">
        <v>38</v>
      </c>
      <c r="D398">
        <v>2015</v>
      </c>
      <c r="E398">
        <v>1.29819266835165</v>
      </c>
      <c r="F398">
        <v>1.5772755552952269</v>
      </c>
      <c r="G398">
        <f t="shared" si="6"/>
        <v>0.27908288694357686</v>
      </c>
      <c r="H398">
        <v>0.13691232060579539</v>
      </c>
    </row>
    <row r="399" spans="1:8" x14ac:dyDescent="0.35">
      <c r="A399" t="s">
        <v>77</v>
      </c>
      <c r="B399" t="s">
        <v>47</v>
      </c>
      <c r="C399" t="s">
        <v>38</v>
      </c>
      <c r="D399">
        <v>2015</v>
      </c>
      <c r="E399">
        <v>1.741329419958926</v>
      </c>
      <c r="F399">
        <v>1.5772755552952269</v>
      </c>
      <c r="G399">
        <f t="shared" si="6"/>
        <v>-0.16405386466369909</v>
      </c>
      <c r="H399">
        <v>0.13691232060579539</v>
      </c>
    </row>
    <row r="400" spans="1:8" x14ac:dyDescent="0.35">
      <c r="A400" t="s">
        <v>77</v>
      </c>
      <c r="B400" t="s">
        <v>46</v>
      </c>
      <c r="C400" t="s">
        <v>40</v>
      </c>
      <c r="D400">
        <v>2015</v>
      </c>
      <c r="E400">
        <v>1.4931874273763861</v>
      </c>
      <c r="F400">
        <v>1.5772755552952269</v>
      </c>
      <c r="G400">
        <f t="shared" si="6"/>
        <v>8.4088127918840794E-2</v>
      </c>
      <c r="H400">
        <v>0.13691232060579539</v>
      </c>
    </row>
    <row r="401" spans="1:8" x14ac:dyDescent="0.35">
      <c r="A401" t="s">
        <v>77</v>
      </c>
      <c r="B401" t="s">
        <v>48</v>
      </c>
      <c r="C401" t="s">
        <v>40</v>
      </c>
      <c r="D401">
        <v>2015</v>
      </c>
      <c r="E401">
        <v>1.6418853965775471</v>
      </c>
      <c r="F401">
        <v>1.5772755552952269</v>
      </c>
      <c r="G401">
        <f t="shared" si="6"/>
        <v>-6.4609841282320168E-2</v>
      </c>
      <c r="H401">
        <v>0.13691232060579539</v>
      </c>
    </row>
    <row r="402" spans="1:8" x14ac:dyDescent="0.35">
      <c r="A402" t="s">
        <v>77</v>
      </c>
      <c r="B402" t="s">
        <v>47</v>
      </c>
      <c r="C402" t="s">
        <v>38</v>
      </c>
      <c r="D402">
        <v>2016</v>
      </c>
      <c r="E402">
        <v>1.659048842216615</v>
      </c>
      <c r="F402">
        <v>1.9843922204112789</v>
      </c>
      <c r="G402">
        <f t="shared" si="6"/>
        <v>0.32534337819466397</v>
      </c>
      <c r="H402">
        <v>0.15111381049456349</v>
      </c>
    </row>
    <row r="403" spans="1:8" x14ac:dyDescent="0.35">
      <c r="A403" t="s">
        <v>77</v>
      </c>
      <c r="B403" t="s">
        <v>49</v>
      </c>
      <c r="C403" t="s">
        <v>38</v>
      </c>
      <c r="D403">
        <v>2016</v>
      </c>
      <c r="E403">
        <v>0.92930181879138374</v>
      </c>
      <c r="F403">
        <v>1.9843922204112789</v>
      </c>
      <c r="G403">
        <f t="shared" si="6"/>
        <v>1.0550904016198952</v>
      </c>
      <c r="H403">
        <v>0.15111381049456349</v>
      </c>
    </row>
    <row r="404" spans="1:8" x14ac:dyDescent="0.35">
      <c r="A404" t="s">
        <v>77</v>
      </c>
      <c r="B404" t="s">
        <v>48</v>
      </c>
      <c r="C404" t="s">
        <v>40</v>
      </c>
      <c r="D404">
        <v>2016</v>
      </c>
      <c r="E404">
        <v>1.838363161189682</v>
      </c>
      <c r="F404">
        <v>1.9843922204112789</v>
      </c>
      <c r="G404">
        <f t="shared" si="6"/>
        <v>0.14602905922159692</v>
      </c>
      <c r="H404">
        <v>0.15111381049456349</v>
      </c>
    </row>
    <row r="405" spans="1:8" x14ac:dyDescent="0.35">
      <c r="A405" t="s">
        <v>77</v>
      </c>
      <c r="B405" t="s">
        <v>50</v>
      </c>
      <c r="C405" t="s">
        <v>40</v>
      </c>
      <c r="D405">
        <v>2016</v>
      </c>
      <c r="E405">
        <v>1.458222731677794</v>
      </c>
      <c r="F405">
        <v>1.9843922204112789</v>
      </c>
      <c r="G405">
        <f t="shared" si="6"/>
        <v>0.5261694887334849</v>
      </c>
      <c r="H405">
        <v>0.15111381049456349</v>
      </c>
    </row>
    <row r="406" spans="1:8" x14ac:dyDescent="0.35">
      <c r="A406" t="s">
        <v>77</v>
      </c>
      <c r="B406" t="s">
        <v>49</v>
      </c>
      <c r="C406" t="s">
        <v>38</v>
      </c>
      <c r="D406">
        <v>2017</v>
      </c>
      <c r="E406">
        <v>1.2443844685501531</v>
      </c>
      <c r="F406">
        <v>3.260896558994415</v>
      </c>
      <c r="G406">
        <f t="shared" si="6"/>
        <v>2.0165120904442619</v>
      </c>
      <c r="H406">
        <v>0.1244056097882334</v>
      </c>
    </row>
    <row r="407" spans="1:8" x14ac:dyDescent="0.35">
      <c r="A407" t="s">
        <v>77</v>
      </c>
      <c r="B407" t="s">
        <v>51</v>
      </c>
      <c r="C407" t="s">
        <v>38</v>
      </c>
      <c r="D407">
        <v>2017</v>
      </c>
      <c r="E407">
        <v>2.6293844522458749</v>
      </c>
      <c r="F407">
        <v>3.260896558994415</v>
      </c>
      <c r="G407">
        <f t="shared" si="6"/>
        <v>0.63151210674854008</v>
      </c>
      <c r="H407">
        <v>0.1244056097882334</v>
      </c>
    </row>
    <row r="408" spans="1:8" x14ac:dyDescent="0.35">
      <c r="A408" t="s">
        <v>77</v>
      </c>
      <c r="B408" t="s">
        <v>50</v>
      </c>
      <c r="C408" t="s">
        <v>40</v>
      </c>
      <c r="D408">
        <v>2017</v>
      </c>
      <c r="E408">
        <v>1.7439816750679069</v>
      </c>
      <c r="F408">
        <v>3.260896558994415</v>
      </c>
      <c r="G408">
        <f t="shared" si="6"/>
        <v>1.5169148839265081</v>
      </c>
      <c r="H408">
        <v>0.1244056097882334</v>
      </c>
    </row>
    <row r="409" spans="1:8" x14ac:dyDescent="0.35">
      <c r="A409" t="s">
        <v>77</v>
      </c>
      <c r="B409" t="s">
        <v>52</v>
      </c>
      <c r="C409" t="s">
        <v>40</v>
      </c>
      <c r="D409">
        <v>2017</v>
      </c>
      <c r="E409">
        <v>1.838683940143615</v>
      </c>
      <c r="F409">
        <v>3.260896558994415</v>
      </c>
      <c r="G409">
        <f t="shared" si="6"/>
        <v>1.4222126188508</v>
      </c>
      <c r="H409">
        <v>0.1244056097882334</v>
      </c>
    </row>
    <row r="410" spans="1:8" x14ac:dyDescent="0.35">
      <c r="A410" t="s">
        <v>77</v>
      </c>
      <c r="B410" t="s">
        <v>51</v>
      </c>
      <c r="C410" t="s">
        <v>38</v>
      </c>
      <c r="D410">
        <v>2018</v>
      </c>
      <c r="E410">
        <v>2.0625112156605669</v>
      </c>
      <c r="F410">
        <v>2.903725267458769</v>
      </c>
      <c r="G410">
        <f t="shared" si="6"/>
        <v>0.84121405179820208</v>
      </c>
      <c r="H410">
        <v>0.22120896228110681</v>
      </c>
    </row>
    <row r="411" spans="1:8" x14ac:dyDescent="0.35">
      <c r="A411" t="s">
        <v>77</v>
      </c>
      <c r="B411" t="s">
        <v>53</v>
      </c>
      <c r="C411" t="s">
        <v>38</v>
      </c>
      <c r="D411">
        <v>2018</v>
      </c>
      <c r="E411">
        <v>2.1672748154352162</v>
      </c>
      <c r="F411">
        <v>2.903725267458769</v>
      </c>
      <c r="G411">
        <f t="shared" si="6"/>
        <v>0.73645045202355286</v>
      </c>
      <c r="H411">
        <v>0.22120896228110681</v>
      </c>
    </row>
    <row r="412" spans="1:8" x14ac:dyDescent="0.35">
      <c r="A412" t="s">
        <v>77</v>
      </c>
      <c r="B412" t="s">
        <v>52</v>
      </c>
      <c r="C412" t="s">
        <v>40</v>
      </c>
      <c r="D412">
        <v>2018</v>
      </c>
      <c r="E412">
        <v>1.5677461936429939</v>
      </c>
      <c r="F412">
        <v>2.903725267458769</v>
      </c>
      <c r="G412">
        <f t="shared" si="6"/>
        <v>1.3359790738157751</v>
      </c>
      <c r="H412">
        <v>0.22120896228110681</v>
      </c>
    </row>
    <row r="413" spans="1:8" x14ac:dyDescent="0.35">
      <c r="A413" t="s">
        <v>77</v>
      </c>
      <c r="B413" t="s">
        <v>54</v>
      </c>
      <c r="C413" t="s">
        <v>40</v>
      </c>
      <c r="D413">
        <v>2018</v>
      </c>
      <c r="E413">
        <v>2.3337380052623979</v>
      </c>
      <c r="F413">
        <v>2.903725267458769</v>
      </c>
      <c r="G413">
        <f t="shared" si="6"/>
        <v>0.56998726219637108</v>
      </c>
      <c r="H413">
        <v>0.22120896228110681</v>
      </c>
    </row>
    <row r="414" spans="1:8" x14ac:dyDescent="0.35">
      <c r="A414" t="s">
        <v>77</v>
      </c>
      <c r="B414" t="s">
        <v>53</v>
      </c>
      <c r="C414" t="s">
        <v>38</v>
      </c>
      <c r="D414">
        <v>2019</v>
      </c>
      <c r="E414">
        <v>1.839454993980616</v>
      </c>
      <c r="F414">
        <v>2.7086922955372188</v>
      </c>
      <c r="G414">
        <f t="shared" si="6"/>
        <v>0.86923730155660284</v>
      </c>
      <c r="H414">
        <v>0.39465021894302132</v>
      </c>
    </row>
    <row r="415" spans="1:8" x14ac:dyDescent="0.35">
      <c r="A415" t="s">
        <v>77</v>
      </c>
      <c r="B415" t="s">
        <v>55</v>
      </c>
      <c r="C415" t="s">
        <v>38</v>
      </c>
      <c r="D415">
        <v>2019</v>
      </c>
      <c r="E415">
        <v>1.950475273387009</v>
      </c>
      <c r="F415">
        <v>2.7086922955372188</v>
      </c>
      <c r="G415">
        <f t="shared" si="6"/>
        <v>0.75821702215020981</v>
      </c>
      <c r="H415">
        <v>0.39465021894302132</v>
      </c>
    </row>
    <row r="416" spans="1:8" x14ac:dyDescent="0.35">
      <c r="A416" t="s">
        <v>77</v>
      </c>
      <c r="B416" t="s">
        <v>54</v>
      </c>
      <c r="C416" t="s">
        <v>40</v>
      </c>
      <c r="D416">
        <v>2019</v>
      </c>
      <c r="E416">
        <v>2.0372674050813671</v>
      </c>
      <c r="F416">
        <v>2.7086922955372188</v>
      </c>
      <c r="G416">
        <f t="shared" si="6"/>
        <v>0.67142489045585174</v>
      </c>
      <c r="H416">
        <v>0.39465021894302132</v>
      </c>
    </row>
    <row r="417" spans="1:8" x14ac:dyDescent="0.35">
      <c r="A417" t="s">
        <v>77</v>
      </c>
      <c r="B417" t="s">
        <v>56</v>
      </c>
      <c r="C417" t="s">
        <v>40</v>
      </c>
      <c r="D417">
        <v>2019</v>
      </c>
      <c r="E417">
        <v>1.672451894689297</v>
      </c>
      <c r="F417">
        <v>2.7086922955372188</v>
      </c>
      <c r="G417">
        <f t="shared" si="6"/>
        <v>1.0362404008479218</v>
      </c>
      <c r="H417">
        <v>0.39465021894302132</v>
      </c>
    </row>
    <row r="418" spans="1:8" x14ac:dyDescent="0.35">
      <c r="A418" t="s">
        <v>77</v>
      </c>
      <c r="B418" t="s">
        <v>55</v>
      </c>
      <c r="C418" t="s">
        <v>38</v>
      </c>
      <c r="D418">
        <v>2020</v>
      </c>
      <c r="E418">
        <v>1.699885517193356</v>
      </c>
      <c r="F418">
        <v>-8.5609032033360464</v>
      </c>
      <c r="G418">
        <f t="shared" si="6"/>
        <v>-10.260788720529403</v>
      </c>
      <c r="H418">
        <v>0.25858418693050872</v>
      </c>
    </row>
    <row r="419" spans="1:8" x14ac:dyDescent="0.35">
      <c r="A419" t="s">
        <v>77</v>
      </c>
      <c r="B419" t="s">
        <v>57</v>
      </c>
      <c r="C419" t="s">
        <v>38</v>
      </c>
      <c r="D419">
        <v>2020</v>
      </c>
      <c r="E419">
        <v>-9.2905567939445373</v>
      </c>
      <c r="F419">
        <v>-8.5609032033360464</v>
      </c>
      <c r="G419">
        <f t="shared" si="6"/>
        <v>0.72965359060849089</v>
      </c>
      <c r="H419">
        <v>0.25858418693050872</v>
      </c>
    </row>
    <row r="420" spans="1:8" x14ac:dyDescent="0.35">
      <c r="A420" t="s">
        <v>77</v>
      </c>
      <c r="B420" t="s">
        <v>56</v>
      </c>
      <c r="C420" t="s">
        <v>40</v>
      </c>
      <c r="D420">
        <v>2020</v>
      </c>
      <c r="E420">
        <v>1.7153996309464681</v>
      </c>
      <c r="F420">
        <v>-8.5609032033360464</v>
      </c>
      <c r="G420">
        <f t="shared" si="6"/>
        <v>-10.276302834282514</v>
      </c>
      <c r="H420">
        <v>0.25858418693050872</v>
      </c>
    </row>
    <row r="421" spans="1:8" x14ac:dyDescent="0.35">
      <c r="A421" t="s">
        <v>77</v>
      </c>
      <c r="B421" t="s">
        <v>58</v>
      </c>
      <c r="C421" t="s">
        <v>40</v>
      </c>
      <c r="D421">
        <v>2020</v>
      </c>
      <c r="E421">
        <v>-6.7651809613411107</v>
      </c>
      <c r="F421">
        <v>-8.5609032033360464</v>
      </c>
      <c r="G421">
        <f t="shared" si="6"/>
        <v>-1.7957222419949357</v>
      </c>
      <c r="H421">
        <v>0.25858418693050872</v>
      </c>
    </row>
    <row r="422" spans="1:8" x14ac:dyDescent="0.35">
      <c r="A422" t="s">
        <v>77</v>
      </c>
      <c r="B422" t="s">
        <v>57</v>
      </c>
      <c r="C422" t="s">
        <v>38</v>
      </c>
      <c r="D422">
        <v>2021</v>
      </c>
      <c r="E422">
        <v>5.3606609364002189</v>
      </c>
      <c r="F422">
        <v>5.4098373027499997</v>
      </c>
      <c r="G422">
        <f t="shared" si="6"/>
        <v>4.9176366349780842E-2</v>
      </c>
      <c r="H422">
        <v>0.42343876473384962</v>
      </c>
    </row>
    <row r="423" spans="1:8" x14ac:dyDescent="0.35">
      <c r="A423" t="s">
        <v>77</v>
      </c>
      <c r="B423" t="s">
        <v>59</v>
      </c>
      <c r="C423" t="s">
        <v>38</v>
      </c>
      <c r="D423">
        <v>2021</v>
      </c>
      <c r="E423">
        <v>4.5428064601391371</v>
      </c>
      <c r="F423">
        <v>5.4098373027499997</v>
      </c>
      <c r="G423">
        <f t="shared" si="6"/>
        <v>0.86703084261086261</v>
      </c>
      <c r="H423">
        <v>0.42343876473384962</v>
      </c>
    </row>
    <row r="424" spans="1:8" x14ac:dyDescent="0.35">
      <c r="A424" t="s">
        <v>77</v>
      </c>
      <c r="B424" t="s">
        <v>58</v>
      </c>
      <c r="C424" t="s">
        <v>40</v>
      </c>
      <c r="D424">
        <v>2021</v>
      </c>
      <c r="E424">
        <v>5.8179091621113344</v>
      </c>
      <c r="F424">
        <v>5.4098373027499997</v>
      </c>
      <c r="G424">
        <f t="shared" si="6"/>
        <v>-0.40807185936133461</v>
      </c>
      <c r="H424">
        <v>0.42343876473384962</v>
      </c>
    </row>
    <row r="425" spans="1:8" x14ac:dyDescent="0.35">
      <c r="A425" t="s">
        <v>77</v>
      </c>
      <c r="B425" t="s">
        <v>60</v>
      </c>
      <c r="C425" t="s">
        <v>40</v>
      </c>
      <c r="D425">
        <v>2021</v>
      </c>
      <c r="E425">
        <v>3.9441078773994498</v>
      </c>
      <c r="F425">
        <v>5.4098373027499997</v>
      </c>
      <c r="G425">
        <f t="shared" si="6"/>
        <v>1.46572942535055</v>
      </c>
      <c r="H425">
        <v>0.42343876473384962</v>
      </c>
    </row>
    <row r="426" spans="1:8" x14ac:dyDescent="0.35">
      <c r="A426" t="s">
        <v>77</v>
      </c>
      <c r="B426" t="s">
        <v>59</v>
      </c>
      <c r="C426" t="s">
        <v>38</v>
      </c>
      <c r="D426">
        <v>2022</v>
      </c>
      <c r="E426">
        <v>5.3212657228810967</v>
      </c>
      <c r="F426">
        <v>6.7526124502433778</v>
      </c>
      <c r="G426">
        <f t="shared" si="6"/>
        <v>1.4313467273622811</v>
      </c>
      <c r="H426">
        <v>0.42339525951042151</v>
      </c>
    </row>
    <row r="427" spans="1:8" x14ac:dyDescent="0.35">
      <c r="A427" t="s">
        <v>77</v>
      </c>
      <c r="B427" t="s">
        <v>61</v>
      </c>
      <c r="C427" t="s">
        <v>38</v>
      </c>
      <c r="D427">
        <v>2022</v>
      </c>
      <c r="E427">
        <v>6.5861251608809734</v>
      </c>
      <c r="F427">
        <v>6.7526124502433778</v>
      </c>
      <c r="G427">
        <f t="shared" si="6"/>
        <v>0.16648728936240431</v>
      </c>
      <c r="H427">
        <v>0.42339525951042151</v>
      </c>
    </row>
    <row r="428" spans="1:8" x14ac:dyDescent="0.35">
      <c r="A428" t="s">
        <v>77</v>
      </c>
      <c r="B428" t="s">
        <v>60</v>
      </c>
      <c r="C428" t="s">
        <v>40</v>
      </c>
      <c r="D428">
        <v>2022</v>
      </c>
      <c r="E428">
        <v>5.0988792351265078</v>
      </c>
      <c r="F428">
        <v>6.7526124502433778</v>
      </c>
      <c r="G428">
        <f t="shared" si="6"/>
        <v>1.65373321511687</v>
      </c>
      <c r="H428">
        <v>0.42339525951042151</v>
      </c>
    </row>
    <row r="429" spans="1:8" x14ac:dyDescent="0.35">
      <c r="A429" t="s">
        <v>77</v>
      </c>
      <c r="B429" t="s">
        <v>62</v>
      </c>
      <c r="C429" t="s">
        <v>40</v>
      </c>
      <c r="D429">
        <v>2022</v>
      </c>
      <c r="E429">
        <v>5.8054687081874778</v>
      </c>
      <c r="F429">
        <v>6.7526124502433778</v>
      </c>
      <c r="G429">
        <f t="shared" si="6"/>
        <v>0.94714374205589991</v>
      </c>
      <c r="H429">
        <v>0.42339525951042151</v>
      </c>
    </row>
    <row r="430" spans="1:8" x14ac:dyDescent="0.35">
      <c r="A430" t="s">
        <v>77</v>
      </c>
      <c r="B430" t="s">
        <v>61</v>
      </c>
      <c r="C430" t="s">
        <v>38</v>
      </c>
      <c r="D430">
        <v>2023</v>
      </c>
      <c r="E430">
        <v>0.71696140778811923</v>
      </c>
      <c r="F430">
        <v>3.0529202104847739</v>
      </c>
      <c r="G430">
        <f t="shared" si="6"/>
        <v>2.3359588026966547</v>
      </c>
      <c r="H430">
        <v>0.2332189462001916</v>
      </c>
    </row>
    <row r="431" spans="1:8" x14ac:dyDescent="0.35">
      <c r="A431" t="s">
        <v>77</v>
      </c>
      <c r="B431" t="s">
        <v>63</v>
      </c>
      <c r="C431" t="s">
        <v>38</v>
      </c>
      <c r="D431">
        <v>2023</v>
      </c>
      <c r="E431">
        <v>2.226883105497079</v>
      </c>
      <c r="F431">
        <v>3.0529202104847739</v>
      </c>
      <c r="G431">
        <f t="shared" si="6"/>
        <v>0.82603710498769489</v>
      </c>
      <c r="H431">
        <v>0.2332189462001916</v>
      </c>
    </row>
    <row r="432" spans="1:8" x14ac:dyDescent="0.35">
      <c r="A432" t="s">
        <v>77</v>
      </c>
      <c r="B432" t="s">
        <v>62</v>
      </c>
      <c r="C432" t="s">
        <v>40</v>
      </c>
      <c r="D432">
        <v>2023</v>
      </c>
      <c r="E432">
        <v>2.6604918870074319</v>
      </c>
      <c r="F432">
        <v>3.0529202104847739</v>
      </c>
      <c r="G432">
        <f t="shared" si="6"/>
        <v>0.39242832347734202</v>
      </c>
      <c r="H432">
        <v>0.2332189462001916</v>
      </c>
    </row>
    <row r="433" spans="1:8" x14ac:dyDescent="0.35">
      <c r="A433" t="s">
        <v>77</v>
      </c>
      <c r="B433" t="s">
        <v>64</v>
      </c>
      <c r="C433" t="s">
        <v>40</v>
      </c>
      <c r="D433">
        <v>2023</v>
      </c>
      <c r="E433">
        <v>2.4387614512581202</v>
      </c>
      <c r="F433">
        <v>3.0529202104847739</v>
      </c>
      <c r="G433">
        <f t="shared" si="6"/>
        <v>0.61415875922665375</v>
      </c>
      <c r="H433">
        <v>0.2332189462001916</v>
      </c>
    </row>
    <row r="434" spans="1:8" x14ac:dyDescent="0.35">
      <c r="A434" t="s">
        <v>77</v>
      </c>
      <c r="B434" t="s">
        <v>63</v>
      </c>
      <c r="C434" t="s">
        <v>38</v>
      </c>
      <c r="D434">
        <v>2024</v>
      </c>
      <c r="E434">
        <v>1.3133477904788251</v>
      </c>
      <c r="F434">
        <v>2.1904072780361381</v>
      </c>
      <c r="G434">
        <f t="shared" si="6"/>
        <v>0.877059487557313</v>
      </c>
      <c r="H434">
        <v>0.30099524076358469</v>
      </c>
    </row>
    <row r="435" spans="1:8" x14ac:dyDescent="0.35">
      <c r="A435" t="s">
        <v>77</v>
      </c>
      <c r="B435" t="s">
        <v>65</v>
      </c>
      <c r="C435" t="s">
        <v>38</v>
      </c>
      <c r="D435">
        <v>2024</v>
      </c>
      <c r="E435">
        <v>1.6514732694230541</v>
      </c>
      <c r="F435">
        <v>2.1904072780361381</v>
      </c>
      <c r="G435">
        <f t="shared" si="6"/>
        <v>0.53893400861308405</v>
      </c>
      <c r="H435">
        <v>0.30099524076358469</v>
      </c>
    </row>
    <row r="436" spans="1:8" x14ac:dyDescent="0.35">
      <c r="A436" t="s">
        <v>77</v>
      </c>
      <c r="B436" t="s">
        <v>64</v>
      </c>
      <c r="C436" t="s">
        <v>40</v>
      </c>
      <c r="D436">
        <v>2024</v>
      </c>
      <c r="E436">
        <v>1.7569161258840891</v>
      </c>
      <c r="F436">
        <v>2.1904072780361381</v>
      </c>
      <c r="G436">
        <f t="shared" si="6"/>
        <v>0.43349115215204903</v>
      </c>
      <c r="H436">
        <v>0.30099524076358469</v>
      </c>
    </row>
    <row r="437" spans="1:8" x14ac:dyDescent="0.35">
      <c r="A437" t="s">
        <v>77</v>
      </c>
      <c r="B437" t="s">
        <v>66</v>
      </c>
      <c r="C437" t="s">
        <v>40</v>
      </c>
      <c r="D437">
        <v>2024</v>
      </c>
      <c r="E437">
        <v>1.734179743438991</v>
      </c>
      <c r="F437">
        <v>2.1904072780361381</v>
      </c>
      <c r="G437">
        <f t="shared" si="6"/>
        <v>0.45622753459714716</v>
      </c>
      <c r="H437">
        <v>0.30099524076358469</v>
      </c>
    </row>
    <row r="438" spans="1:8" x14ac:dyDescent="0.35">
      <c r="A438" t="s">
        <v>77</v>
      </c>
      <c r="B438" t="s">
        <v>65</v>
      </c>
      <c r="C438" t="s">
        <v>38</v>
      </c>
      <c r="D438">
        <v>2025</v>
      </c>
      <c r="E438">
        <v>1.851074416505627</v>
      </c>
      <c r="F438">
        <v>1.8442000090405599</v>
      </c>
      <c r="G438">
        <f t="shared" si="6"/>
        <v>-6.8744074650670672E-3</v>
      </c>
      <c r="H438">
        <v>0.1926127574837464</v>
      </c>
    </row>
    <row r="439" spans="1:8" x14ac:dyDescent="0.35">
      <c r="A439" t="s">
        <v>77</v>
      </c>
      <c r="B439" t="s">
        <v>71</v>
      </c>
      <c r="C439" t="s">
        <v>38</v>
      </c>
      <c r="D439">
        <v>2025</v>
      </c>
      <c r="E439">
        <v>1.898720252436026</v>
      </c>
      <c r="F439">
        <v>1.8442000090405599</v>
      </c>
      <c r="G439">
        <f t="shared" si="6"/>
        <v>-5.4520243395466128E-2</v>
      </c>
      <c r="H439">
        <v>0.1926127574837464</v>
      </c>
    </row>
    <row r="440" spans="1:8" x14ac:dyDescent="0.35">
      <c r="A440" t="s">
        <v>77</v>
      </c>
      <c r="B440" t="s">
        <v>66</v>
      </c>
      <c r="C440" t="s">
        <v>40</v>
      </c>
      <c r="D440">
        <v>2025</v>
      </c>
      <c r="E440">
        <v>1.87529344869708</v>
      </c>
      <c r="F440">
        <v>1.8442000090405599</v>
      </c>
      <c r="G440">
        <f t="shared" si="6"/>
        <v>-3.1093439656520117E-2</v>
      </c>
      <c r="H440">
        <v>0.1926127574837464</v>
      </c>
    </row>
    <row r="441" spans="1:8" x14ac:dyDescent="0.35">
      <c r="A441" t="s">
        <v>77</v>
      </c>
      <c r="B441" t="s">
        <v>72</v>
      </c>
      <c r="C441" t="s">
        <v>40</v>
      </c>
      <c r="D441">
        <v>2025</v>
      </c>
      <c r="E441">
        <v>1.7505876843593839</v>
      </c>
      <c r="F441">
        <v>1.8442000090405599</v>
      </c>
      <c r="G441">
        <f t="shared" si="6"/>
        <v>9.3612324681175973E-2</v>
      </c>
      <c r="H441">
        <v>0.1926127574837464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"/>
  <sheetViews>
    <sheetView topLeftCell="A18" workbookViewId="0">
      <selection activeCell="A18" sqref="A18"/>
    </sheetView>
  </sheetViews>
  <sheetFormatPr defaultRowHeight="14.5" x14ac:dyDescent="0.35"/>
  <sheetData/>
  <pageMargins left="0.75" right="0.75" top="1" bottom="1" header="0.5" footer="0.5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24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8</v>
      </c>
    </row>
    <row r="2" spans="1:8" x14ac:dyDescent="0.35">
      <c r="A2" t="s">
        <v>36</v>
      </c>
      <c r="B2" t="s">
        <v>55</v>
      </c>
      <c r="C2" t="s">
        <v>38</v>
      </c>
      <c r="D2">
        <v>2020</v>
      </c>
      <c r="E2">
        <v>1.3947816095145389</v>
      </c>
      <c r="F2">
        <v>-6.5900132771165296</v>
      </c>
      <c r="G2">
        <f t="shared" ref="G2:G65" si="0">IF(OR(F2="",E2=""),"",F2-E2)</f>
        <v>-7.9847948866310681</v>
      </c>
      <c r="H2">
        <v>0.12677194132347211</v>
      </c>
    </row>
    <row r="3" spans="1:8" x14ac:dyDescent="0.35">
      <c r="A3" t="s">
        <v>36</v>
      </c>
      <c r="B3" t="s">
        <v>57</v>
      </c>
      <c r="C3" t="s">
        <v>38</v>
      </c>
      <c r="D3">
        <v>2020</v>
      </c>
      <c r="E3">
        <v>-7.0511951651758391</v>
      </c>
      <c r="F3">
        <v>-6.5900132771165296</v>
      </c>
      <c r="G3">
        <f t="shared" si="0"/>
        <v>0.46118188805930949</v>
      </c>
      <c r="H3">
        <v>0.12677194132347211</v>
      </c>
    </row>
    <row r="4" spans="1:8" x14ac:dyDescent="0.35">
      <c r="A4" t="s">
        <v>36</v>
      </c>
      <c r="B4" t="s">
        <v>56</v>
      </c>
      <c r="C4" t="s">
        <v>40</v>
      </c>
      <c r="D4">
        <v>2020</v>
      </c>
      <c r="E4">
        <v>1.6306467331163921</v>
      </c>
      <c r="F4">
        <v>-6.5900132771165296</v>
      </c>
      <c r="G4">
        <f t="shared" si="0"/>
        <v>-8.2206600102329226</v>
      </c>
      <c r="H4">
        <v>0.12677194132347211</v>
      </c>
    </row>
    <row r="5" spans="1:8" x14ac:dyDescent="0.35">
      <c r="A5" t="s">
        <v>36</v>
      </c>
      <c r="B5" t="s">
        <v>58</v>
      </c>
      <c r="C5" t="s">
        <v>40</v>
      </c>
      <c r="D5">
        <v>2020</v>
      </c>
      <c r="E5">
        <v>-5.5131277655310118</v>
      </c>
      <c r="F5">
        <v>-6.5900132771165296</v>
      </c>
      <c r="G5">
        <f t="shared" si="0"/>
        <v>-1.0768855115855178</v>
      </c>
      <c r="H5">
        <v>0.12677194132347211</v>
      </c>
    </row>
    <row r="6" spans="1:8" x14ac:dyDescent="0.35">
      <c r="A6" t="s">
        <v>36</v>
      </c>
      <c r="B6" t="s">
        <v>57</v>
      </c>
      <c r="C6" t="s">
        <v>38</v>
      </c>
      <c r="D6">
        <v>2021</v>
      </c>
      <c r="E6">
        <v>4.1159384107752661</v>
      </c>
      <c r="F6">
        <v>4.8848712783015431</v>
      </c>
      <c r="G6">
        <f t="shared" si="0"/>
        <v>0.76893286752627699</v>
      </c>
      <c r="H6">
        <v>0.16609569206651981</v>
      </c>
    </row>
    <row r="7" spans="1:8" x14ac:dyDescent="0.35">
      <c r="A7" t="s">
        <v>36</v>
      </c>
      <c r="B7" t="s">
        <v>59</v>
      </c>
      <c r="C7" t="s">
        <v>38</v>
      </c>
      <c r="D7">
        <v>2021</v>
      </c>
      <c r="E7">
        <v>4.4031542878007812</v>
      </c>
      <c r="F7">
        <v>4.8848712783015431</v>
      </c>
      <c r="G7">
        <f t="shared" si="0"/>
        <v>0.48171699050076189</v>
      </c>
      <c r="H7">
        <v>0.16609569206651981</v>
      </c>
    </row>
    <row r="8" spans="1:8" x14ac:dyDescent="0.35">
      <c r="A8" t="s">
        <v>36</v>
      </c>
      <c r="B8" t="s">
        <v>58</v>
      </c>
      <c r="C8" t="s">
        <v>40</v>
      </c>
      <c r="D8">
        <v>2021</v>
      </c>
      <c r="E8">
        <v>5.0052790018873416</v>
      </c>
      <c r="F8">
        <v>4.8848712783015431</v>
      </c>
      <c r="G8">
        <f t="shared" si="0"/>
        <v>-0.12040772358579854</v>
      </c>
      <c r="H8">
        <v>0.16609569206651981</v>
      </c>
    </row>
    <row r="9" spans="1:8" x14ac:dyDescent="0.35">
      <c r="A9" t="s">
        <v>36</v>
      </c>
      <c r="B9" t="s">
        <v>60</v>
      </c>
      <c r="C9" t="s">
        <v>40</v>
      </c>
      <c r="D9">
        <v>2021</v>
      </c>
      <c r="E9">
        <v>3.407915196652112</v>
      </c>
      <c r="F9">
        <v>4.8848712783015431</v>
      </c>
      <c r="G9">
        <f t="shared" si="0"/>
        <v>1.4769560816494312</v>
      </c>
      <c r="H9">
        <v>0.16609569206651981</v>
      </c>
    </row>
    <row r="10" spans="1:8" x14ac:dyDescent="0.35">
      <c r="A10" t="s">
        <v>36</v>
      </c>
      <c r="B10" t="s">
        <v>59</v>
      </c>
      <c r="C10" t="s">
        <v>38</v>
      </c>
      <c r="D10">
        <v>2022</v>
      </c>
      <c r="E10">
        <v>4.8883580526853274</v>
      </c>
      <c r="F10">
        <v>5.2899005620960757</v>
      </c>
      <c r="G10">
        <f t="shared" si="0"/>
        <v>0.40154250941074832</v>
      </c>
      <c r="H10">
        <v>0.16058654708636669</v>
      </c>
    </row>
    <row r="11" spans="1:8" x14ac:dyDescent="0.35">
      <c r="A11" t="s">
        <v>36</v>
      </c>
      <c r="B11" t="s">
        <v>61</v>
      </c>
      <c r="C11" t="s">
        <v>38</v>
      </c>
      <c r="D11">
        <v>2022</v>
      </c>
      <c r="E11">
        <v>4.6469116666415733</v>
      </c>
      <c r="F11">
        <v>5.2899005620960757</v>
      </c>
      <c r="G11">
        <f t="shared" si="0"/>
        <v>0.64298889545450244</v>
      </c>
      <c r="H11">
        <v>0.16058654708636669</v>
      </c>
    </row>
    <row r="12" spans="1:8" x14ac:dyDescent="0.35">
      <c r="A12" t="s">
        <v>36</v>
      </c>
      <c r="B12" t="s">
        <v>60</v>
      </c>
      <c r="C12" t="s">
        <v>40</v>
      </c>
      <c r="D12">
        <v>2022</v>
      </c>
      <c r="E12">
        <v>4.2814646537613577</v>
      </c>
      <c r="F12">
        <v>5.2899005620960757</v>
      </c>
      <c r="G12">
        <f t="shared" si="0"/>
        <v>1.0084359083347181</v>
      </c>
      <c r="H12">
        <v>0.16058654708636669</v>
      </c>
    </row>
    <row r="13" spans="1:8" x14ac:dyDescent="0.35">
      <c r="A13" t="s">
        <v>36</v>
      </c>
      <c r="B13" t="s">
        <v>62</v>
      </c>
      <c r="C13" t="s">
        <v>40</v>
      </c>
      <c r="D13">
        <v>2022</v>
      </c>
      <c r="E13">
        <v>3.9196460068068979</v>
      </c>
      <c r="F13">
        <v>5.2899005620960757</v>
      </c>
      <c r="G13">
        <f t="shared" si="0"/>
        <v>1.3702545552891778</v>
      </c>
      <c r="H13">
        <v>0.16058654708636669</v>
      </c>
    </row>
    <row r="14" spans="1:8" x14ac:dyDescent="0.35">
      <c r="A14" t="s">
        <v>36</v>
      </c>
      <c r="B14" t="s">
        <v>61</v>
      </c>
      <c r="C14" t="s">
        <v>38</v>
      </c>
      <c r="D14">
        <v>2023</v>
      </c>
      <c r="E14">
        <v>0.30335623159960518</v>
      </c>
      <c r="F14">
        <v>-0.6768389272940647</v>
      </c>
      <c r="G14">
        <f t="shared" si="0"/>
        <v>-0.98019515889366993</v>
      </c>
      <c r="H14">
        <v>0.34832254059447909</v>
      </c>
    </row>
    <row r="15" spans="1:8" x14ac:dyDescent="0.35">
      <c r="A15" t="s">
        <v>36</v>
      </c>
      <c r="B15" t="s">
        <v>63</v>
      </c>
      <c r="C15" t="s">
        <v>38</v>
      </c>
      <c r="D15">
        <v>2023</v>
      </c>
      <c r="E15">
        <v>-0.54656439605949014</v>
      </c>
      <c r="F15">
        <v>-0.6768389272940647</v>
      </c>
      <c r="G15">
        <f t="shared" si="0"/>
        <v>-0.13027453123457455</v>
      </c>
      <c r="H15">
        <v>0.34832254059447909</v>
      </c>
    </row>
    <row r="16" spans="1:8" x14ac:dyDescent="0.35">
      <c r="A16" t="s">
        <v>36</v>
      </c>
      <c r="B16" t="s">
        <v>62</v>
      </c>
      <c r="C16" t="s">
        <v>40</v>
      </c>
      <c r="D16">
        <v>2023</v>
      </c>
      <c r="E16">
        <v>1.874018674886258</v>
      </c>
      <c r="F16">
        <v>-0.6768389272940647</v>
      </c>
      <c r="G16">
        <f t="shared" si="0"/>
        <v>-2.5508576021803226</v>
      </c>
      <c r="H16">
        <v>0.34832254059447909</v>
      </c>
    </row>
    <row r="17" spans="1:8" x14ac:dyDescent="0.35">
      <c r="A17" t="s">
        <v>36</v>
      </c>
      <c r="B17" t="s">
        <v>64</v>
      </c>
      <c r="C17" t="s">
        <v>40</v>
      </c>
      <c r="D17">
        <v>2023</v>
      </c>
      <c r="E17">
        <v>0.39339786418057798</v>
      </c>
      <c r="F17">
        <v>-0.6768389272940647</v>
      </c>
      <c r="G17">
        <f t="shared" si="0"/>
        <v>-1.0702367914746427</v>
      </c>
      <c r="H17">
        <v>0.34832254059447909</v>
      </c>
    </row>
    <row r="18" spans="1:8" x14ac:dyDescent="0.35">
      <c r="A18" t="s">
        <v>36</v>
      </c>
      <c r="B18" t="s">
        <v>63</v>
      </c>
      <c r="C18" t="s">
        <v>38</v>
      </c>
      <c r="D18">
        <v>2024</v>
      </c>
      <c r="E18">
        <v>1.003014698305593</v>
      </c>
      <c r="F18">
        <v>-0.83360128885911988</v>
      </c>
      <c r="G18">
        <f t="shared" si="0"/>
        <v>-1.8366159871647127</v>
      </c>
      <c r="H18">
        <v>0.30910634856214708</v>
      </c>
    </row>
    <row r="19" spans="1:8" x14ac:dyDescent="0.35">
      <c r="A19" t="s">
        <v>36</v>
      </c>
      <c r="B19" t="s">
        <v>65</v>
      </c>
      <c r="C19" t="s">
        <v>38</v>
      </c>
      <c r="D19">
        <v>2024</v>
      </c>
      <c r="E19">
        <v>-0.62164843681992155</v>
      </c>
      <c r="F19">
        <v>-0.83360128885911988</v>
      </c>
      <c r="G19">
        <f t="shared" si="0"/>
        <v>-0.21195285203919834</v>
      </c>
      <c r="H19">
        <v>0.30910634856214708</v>
      </c>
    </row>
    <row r="20" spans="1:8" x14ac:dyDescent="0.35">
      <c r="A20" t="s">
        <v>36</v>
      </c>
      <c r="B20" t="s">
        <v>64</v>
      </c>
      <c r="C20" t="s">
        <v>40</v>
      </c>
      <c r="D20">
        <v>2024</v>
      </c>
      <c r="E20">
        <v>1.612734355819456</v>
      </c>
      <c r="F20">
        <v>-0.83360128885911988</v>
      </c>
      <c r="G20">
        <f t="shared" si="0"/>
        <v>-2.4463356446785758</v>
      </c>
      <c r="H20">
        <v>0.30910634856214708</v>
      </c>
    </row>
    <row r="21" spans="1:8" x14ac:dyDescent="0.35">
      <c r="A21" t="s">
        <v>36</v>
      </c>
      <c r="B21" t="s">
        <v>66</v>
      </c>
      <c r="C21" t="s">
        <v>40</v>
      </c>
      <c r="D21">
        <v>2024</v>
      </c>
      <c r="E21">
        <v>0.29111977378135651</v>
      </c>
      <c r="F21">
        <v>-0.83360128885911988</v>
      </c>
      <c r="G21">
        <f t="shared" si="0"/>
        <v>-1.1247210626404764</v>
      </c>
      <c r="H21">
        <v>0.30910634856214708</v>
      </c>
    </row>
    <row r="22" spans="1:8" x14ac:dyDescent="0.35">
      <c r="A22" t="s">
        <v>36</v>
      </c>
      <c r="B22" t="s">
        <v>65</v>
      </c>
      <c r="C22" t="s">
        <v>38</v>
      </c>
      <c r="D22">
        <v>2025</v>
      </c>
      <c r="E22">
        <v>0.99303912238537517</v>
      </c>
      <c r="F22">
        <v>0.95241300208403867</v>
      </c>
      <c r="G22">
        <f t="shared" si="0"/>
        <v>-4.0626120301336499E-2</v>
      </c>
      <c r="H22">
        <v>0.17315909372686161</v>
      </c>
    </row>
    <row r="23" spans="1:8" x14ac:dyDescent="0.35">
      <c r="A23" t="s">
        <v>36</v>
      </c>
      <c r="B23" t="s">
        <v>71</v>
      </c>
      <c r="C23" t="s">
        <v>38</v>
      </c>
      <c r="D23">
        <v>2025</v>
      </c>
      <c r="E23">
        <v>0.31436230025780892</v>
      </c>
      <c r="F23">
        <v>0.95241300208403867</v>
      </c>
      <c r="G23">
        <f t="shared" si="0"/>
        <v>0.6380507018262298</v>
      </c>
      <c r="H23">
        <v>0.17315909372686161</v>
      </c>
    </row>
    <row r="24" spans="1:8" x14ac:dyDescent="0.35">
      <c r="A24" t="s">
        <v>36</v>
      </c>
      <c r="B24" t="s">
        <v>66</v>
      </c>
      <c r="C24" t="s">
        <v>40</v>
      </c>
      <c r="D24">
        <v>2025</v>
      </c>
      <c r="E24">
        <v>1.6020195321839961</v>
      </c>
      <c r="F24">
        <v>0.95241300208403867</v>
      </c>
      <c r="G24">
        <f t="shared" si="0"/>
        <v>-0.64960653009995739</v>
      </c>
      <c r="H24">
        <v>0.17315909372686161</v>
      </c>
    </row>
    <row r="25" spans="1:8" x14ac:dyDescent="0.35">
      <c r="A25" t="s">
        <v>36</v>
      </c>
      <c r="B25" t="s">
        <v>72</v>
      </c>
      <c r="C25" t="s">
        <v>40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0.17315909372686161</v>
      </c>
    </row>
    <row r="26" spans="1:8" x14ac:dyDescent="0.35">
      <c r="A26" t="s">
        <v>67</v>
      </c>
      <c r="B26" t="s">
        <v>55</v>
      </c>
      <c r="C26" t="s">
        <v>38</v>
      </c>
      <c r="D26">
        <v>2020</v>
      </c>
      <c r="E26">
        <v>0.96034482213216421</v>
      </c>
      <c r="F26">
        <v>-4.9116764965584894</v>
      </c>
      <c r="G26">
        <f t="shared" si="0"/>
        <v>-5.8720213186906536</v>
      </c>
      <c r="H26">
        <v>0.8845732944795045</v>
      </c>
    </row>
    <row r="27" spans="1:8" x14ac:dyDescent="0.35">
      <c r="A27" t="s">
        <v>67</v>
      </c>
      <c r="B27" t="s">
        <v>57</v>
      </c>
      <c r="C27" t="s">
        <v>38</v>
      </c>
      <c r="D27">
        <v>2020</v>
      </c>
      <c r="E27">
        <v>-8.420158667688538</v>
      </c>
      <c r="F27">
        <v>-4.9116764965584894</v>
      </c>
      <c r="G27">
        <f t="shared" si="0"/>
        <v>3.5084821711300487</v>
      </c>
      <c r="H27">
        <v>0.8845732944795045</v>
      </c>
    </row>
    <row r="28" spans="1:8" x14ac:dyDescent="0.35">
      <c r="A28" t="s">
        <v>67</v>
      </c>
      <c r="B28" t="s">
        <v>56</v>
      </c>
      <c r="C28" t="s">
        <v>40</v>
      </c>
      <c r="D28">
        <v>2020</v>
      </c>
      <c r="E28">
        <v>1.199077085455502</v>
      </c>
      <c r="F28">
        <v>-4.9116764965584894</v>
      </c>
      <c r="G28">
        <f t="shared" si="0"/>
        <v>-6.1107535820139915</v>
      </c>
      <c r="H28">
        <v>0.8845732944795045</v>
      </c>
    </row>
    <row r="29" spans="1:8" x14ac:dyDescent="0.35">
      <c r="A29" t="s">
        <v>67</v>
      </c>
      <c r="B29" t="s">
        <v>58</v>
      </c>
      <c r="C29" t="s">
        <v>40</v>
      </c>
      <c r="D29">
        <v>2020</v>
      </c>
      <c r="E29">
        <v>-7.1575995247655024</v>
      </c>
      <c r="F29">
        <v>-4.9116764965584894</v>
      </c>
      <c r="G29">
        <f t="shared" si="0"/>
        <v>2.2459230282070131</v>
      </c>
      <c r="H29">
        <v>0.8845732944795045</v>
      </c>
    </row>
    <row r="30" spans="1:8" x14ac:dyDescent="0.35">
      <c r="A30" t="s">
        <v>67</v>
      </c>
      <c r="B30" t="s">
        <v>57</v>
      </c>
      <c r="C30" t="s">
        <v>38</v>
      </c>
      <c r="D30">
        <v>2021</v>
      </c>
      <c r="E30">
        <v>4.1239049795648741</v>
      </c>
      <c r="F30">
        <v>6.0667175798443678</v>
      </c>
      <c r="G30">
        <f t="shared" si="0"/>
        <v>1.9428126002794937</v>
      </c>
      <c r="H30">
        <v>0.78222990278386606</v>
      </c>
    </row>
    <row r="31" spans="1:8" x14ac:dyDescent="0.35">
      <c r="A31" t="s">
        <v>67</v>
      </c>
      <c r="B31" t="s">
        <v>59</v>
      </c>
      <c r="C31" t="s">
        <v>38</v>
      </c>
      <c r="D31">
        <v>2021</v>
      </c>
      <c r="E31">
        <v>5.9836029339416452</v>
      </c>
      <c r="F31">
        <v>6.0667175798443678</v>
      </c>
      <c r="G31">
        <f t="shared" si="0"/>
        <v>8.311464590272255E-2</v>
      </c>
      <c r="H31">
        <v>0.78222990278386606</v>
      </c>
    </row>
    <row r="32" spans="1:8" x14ac:dyDescent="0.35">
      <c r="A32" t="s">
        <v>67</v>
      </c>
      <c r="B32" t="s">
        <v>58</v>
      </c>
      <c r="C32" t="s">
        <v>40</v>
      </c>
      <c r="D32">
        <v>2021</v>
      </c>
      <c r="E32">
        <v>6.6899129841448302</v>
      </c>
      <c r="F32">
        <v>6.0667175798443678</v>
      </c>
      <c r="G32">
        <f t="shared" si="0"/>
        <v>-0.62319540430046239</v>
      </c>
      <c r="H32">
        <v>0.78222990278386606</v>
      </c>
    </row>
    <row r="33" spans="1:8" x14ac:dyDescent="0.35">
      <c r="A33" t="s">
        <v>67</v>
      </c>
      <c r="B33" t="s">
        <v>60</v>
      </c>
      <c r="C33" t="s">
        <v>40</v>
      </c>
      <c r="D33">
        <v>2021</v>
      </c>
      <c r="E33">
        <v>4.5423071463688514</v>
      </c>
      <c r="F33">
        <v>6.0667175798443678</v>
      </c>
      <c r="G33">
        <f t="shared" si="0"/>
        <v>1.5244104334755164</v>
      </c>
      <c r="H33">
        <v>0.78222990278386606</v>
      </c>
    </row>
    <row r="34" spans="1:8" x14ac:dyDescent="0.35">
      <c r="A34" t="s">
        <v>67</v>
      </c>
      <c r="B34" t="s">
        <v>59</v>
      </c>
      <c r="C34" t="s">
        <v>38</v>
      </c>
      <c r="D34">
        <v>2022</v>
      </c>
      <c r="E34">
        <v>2.6471364529380592</v>
      </c>
      <c r="F34">
        <v>3.945716681463399</v>
      </c>
      <c r="G34">
        <f t="shared" si="0"/>
        <v>1.2985802285253398</v>
      </c>
      <c r="H34">
        <v>0.90172560603950691</v>
      </c>
    </row>
    <row r="35" spans="1:8" x14ac:dyDescent="0.35">
      <c r="A35" t="s">
        <v>67</v>
      </c>
      <c r="B35" t="s">
        <v>61</v>
      </c>
      <c r="C35" t="s">
        <v>38</v>
      </c>
      <c r="D35">
        <v>2022</v>
      </c>
      <c r="E35">
        <v>2.8171147512312089</v>
      </c>
      <c r="F35">
        <v>3.945716681463399</v>
      </c>
      <c r="G35">
        <f t="shared" si="0"/>
        <v>1.1286019302321901</v>
      </c>
      <c r="H35">
        <v>0.90172560603950691</v>
      </c>
    </row>
    <row r="36" spans="1:8" x14ac:dyDescent="0.35">
      <c r="A36" t="s">
        <v>67</v>
      </c>
      <c r="B36" t="s">
        <v>60</v>
      </c>
      <c r="C36" t="s">
        <v>40</v>
      </c>
      <c r="D36">
        <v>2022</v>
      </c>
      <c r="E36">
        <v>3.671117125209777</v>
      </c>
      <c r="F36">
        <v>3.945716681463399</v>
      </c>
      <c r="G36">
        <f t="shared" si="0"/>
        <v>0.27459955625362209</v>
      </c>
      <c r="H36">
        <v>0.90172560603950691</v>
      </c>
    </row>
    <row r="37" spans="1:8" x14ac:dyDescent="0.35">
      <c r="A37" t="s">
        <v>67</v>
      </c>
      <c r="B37" t="s">
        <v>62</v>
      </c>
      <c r="C37" t="s">
        <v>40</v>
      </c>
      <c r="D37">
        <v>2022</v>
      </c>
      <c r="E37">
        <v>2.0165795618690252</v>
      </c>
      <c r="F37">
        <v>3.945716681463399</v>
      </c>
      <c r="G37">
        <f t="shared" si="0"/>
        <v>1.9291371195943738</v>
      </c>
      <c r="H37">
        <v>0.90172560603950691</v>
      </c>
    </row>
    <row r="38" spans="1:8" x14ac:dyDescent="0.35">
      <c r="A38" t="s">
        <v>67</v>
      </c>
      <c r="B38" t="s">
        <v>61</v>
      </c>
      <c r="C38" t="s">
        <v>38</v>
      </c>
      <c r="D38">
        <v>2023</v>
      </c>
      <c r="E38">
        <v>0.1608186912456899</v>
      </c>
      <c r="F38">
        <v>1.5491827810755261</v>
      </c>
      <c r="G38">
        <f t="shared" si="0"/>
        <v>1.3883640898298362</v>
      </c>
      <c r="H38">
        <v>0.70099774387898239</v>
      </c>
    </row>
    <row r="39" spans="1:8" x14ac:dyDescent="0.35">
      <c r="A39" t="s">
        <v>67</v>
      </c>
      <c r="B39" t="s">
        <v>63</v>
      </c>
      <c r="C39" t="s">
        <v>38</v>
      </c>
      <c r="D39">
        <v>2023</v>
      </c>
      <c r="E39">
        <v>1.44096095579862</v>
      </c>
      <c r="F39">
        <v>1.5491827810755261</v>
      </c>
      <c r="G39">
        <f t="shared" si="0"/>
        <v>0.10822182527690605</v>
      </c>
      <c r="H39">
        <v>0.70099774387898239</v>
      </c>
    </row>
    <row r="40" spans="1:8" x14ac:dyDescent="0.35">
      <c r="A40" t="s">
        <v>67</v>
      </c>
      <c r="B40" t="s">
        <v>62</v>
      </c>
      <c r="C40" t="s">
        <v>40</v>
      </c>
      <c r="D40">
        <v>2023</v>
      </c>
      <c r="E40">
        <v>1.7766240808305469</v>
      </c>
      <c r="F40">
        <v>1.5491827810755261</v>
      </c>
      <c r="G40">
        <f t="shared" si="0"/>
        <v>-0.22744129975502081</v>
      </c>
      <c r="H40">
        <v>0.70099774387898239</v>
      </c>
    </row>
    <row r="41" spans="1:8" x14ac:dyDescent="0.35">
      <c r="A41" t="s">
        <v>67</v>
      </c>
      <c r="B41" t="s">
        <v>64</v>
      </c>
      <c r="C41" t="s">
        <v>40</v>
      </c>
      <c r="D41">
        <v>2023</v>
      </c>
      <c r="E41">
        <v>1.2330728065618859</v>
      </c>
      <c r="F41">
        <v>1.5491827810755261</v>
      </c>
      <c r="G41">
        <f t="shared" si="0"/>
        <v>0.3161099745136402</v>
      </c>
      <c r="H41">
        <v>0.70099774387898239</v>
      </c>
    </row>
    <row r="42" spans="1:8" x14ac:dyDescent="0.35">
      <c r="A42" t="s">
        <v>67</v>
      </c>
      <c r="B42" t="s">
        <v>63</v>
      </c>
      <c r="C42" t="s">
        <v>38</v>
      </c>
      <c r="D42">
        <v>2024</v>
      </c>
      <c r="E42">
        <v>1.366814397179428</v>
      </c>
      <c r="F42">
        <v>1.0917584184985489</v>
      </c>
      <c r="G42">
        <f t="shared" si="0"/>
        <v>-0.27505597868087905</v>
      </c>
      <c r="H42">
        <v>1.1240323327321109</v>
      </c>
    </row>
    <row r="43" spans="1:8" x14ac:dyDescent="0.35">
      <c r="A43" t="s">
        <v>67</v>
      </c>
      <c r="B43" t="s">
        <v>65</v>
      </c>
      <c r="C43" t="s">
        <v>38</v>
      </c>
      <c r="D43">
        <v>2024</v>
      </c>
      <c r="E43">
        <v>1.144309940913812</v>
      </c>
      <c r="F43">
        <v>1.0917584184985489</v>
      </c>
      <c r="G43">
        <f t="shared" si="0"/>
        <v>-5.2551522415263063E-2</v>
      </c>
      <c r="H43">
        <v>1.1240323327321109</v>
      </c>
    </row>
    <row r="44" spans="1:8" x14ac:dyDescent="0.35">
      <c r="A44" t="s">
        <v>67</v>
      </c>
      <c r="B44" t="s">
        <v>64</v>
      </c>
      <c r="C44" t="s">
        <v>40</v>
      </c>
      <c r="D44">
        <v>2024</v>
      </c>
      <c r="E44">
        <v>1.3611844962323929</v>
      </c>
      <c r="F44">
        <v>1.0917584184985489</v>
      </c>
      <c r="G44">
        <f t="shared" si="0"/>
        <v>-0.26942607773384397</v>
      </c>
      <c r="H44">
        <v>1.1240323327321109</v>
      </c>
    </row>
    <row r="45" spans="1:8" x14ac:dyDescent="0.35">
      <c r="A45" t="s">
        <v>67</v>
      </c>
      <c r="B45" t="s">
        <v>66</v>
      </c>
      <c r="C45" t="s">
        <v>40</v>
      </c>
      <c r="D45">
        <v>2024</v>
      </c>
      <c r="E45">
        <v>1.2741731353000501</v>
      </c>
      <c r="F45">
        <v>1.0917584184985489</v>
      </c>
      <c r="G45">
        <f t="shared" si="0"/>
        <v>-0.18241471680150112</v>
      </c>
      <c r="H45">
        <v>1.1240323327321109</v>
      </c>
    </row>
    <row r="46" spans="1:8" x14ac:dyDescent="0.35">
      <c r="A46" t="s">
        <v>67</v>
      </c>
      <c r="B46" t="s">
        <v>65</v>
      </c>
      <c r="C46" t="s">
        <v>38</v>
      </c>
      <c r="D46">
        <v>2025</v>
      </c>
      <c r="E46">
        <v>1.2445832169132749</v>
      </c>
      <c r="F46">
        <v>0.97833513074895262</v>
      </c>
      <c r="G46">
        <f t="shared" si="0"/>
        <v>-0.26624808616432227</v>
      </c>
      <c r="H46">
        <v>1.388852621215412</v>
      </c>
    </row>
    <row r="47" spans="1:8" x14ac:dyDescent="0.35">
      <c r="A47" t="s">
        <v>67</v>
      </c>
      <c r="B47" t="s">
        <v>71</v>
      </c>
      <c r="C47" t="s">
        <v>38</v>
      </c>
      <c r="D47">
        <v>2025</v>
      </c>
      <c r="E47">
        <v>0.99784735760106713</v>
      </c>
      <c r="F47">
        <v>0.97833513074895262</v>
      </c>
      <c r="G47">
        <f t="shared" si="0"/>
        <v>-1.9512226852114511E-2</v>
      </c>
      <c r="H47">
        <v>1.388852621215412</v>
      </c>
    </row>
    <row r="48" spans="1:8" x14ac:dyDescent="0.35">
      <c r="A48" t="s">
        <v>67</v>
      </c>
      <c r="B48" t="s">
        <v>66</v>
      </c>
      <c r="C48" t="s">
        <v>40</v>
      </c>
      <c r="D48">
        <v>2025</v>
      </c>
      <c r="E48">
        <v>1.3772936758912999</v>
      </c>
      <c r="F48">
        <v>0.97833513074895262</v>
      </c>
      <c r="G48">
        <f t="shared" si="0"/>
        <v>-0.3989585451423473</v>
      </c>
      <c r="H48">
        <v>1.388852621215412</v>
      </c>
    </row>
    <row r="49" spans="1:8" x14ac:dyDescent="0.35">
      <c r="A49" t="s">
        <v>67</v>
      </c>
      <c r="B49" t="s">
        <v>72</v>
      </c>
      <c r="C49" t="s">
        <v>40</v>
      </c>
      <c r="D49">
        <v>2025</v>
      </c>
      <c r="E49">
        <v>0.76893815941332377</v>
      </c>
      <c r="F49">
        <v>0.97833513074895262</v>
      </c>
      <c r="G49">
        <f t="shared" si="0"/>
        <v>0.20939697133562885</v>
      </c>
      <c r="H49">
        <v>1.388852621215412</v>
      </c>
    </row>
    <row r="50" spans="1:8" x14ac:dyDescent="0.35">
      <c r="A50" t="s">
        <v>68</v>
      </c>
      <c r="B50" t="s">
        <v>55</v>
      </c>
      <c r="C50" t="s">
        <v>38</v>
      </c>
      <c r="D50">
        <v>2020</v>
      </c>
      <c r="E50">
        <v>1.0098419735112829</v>
      </c>
      <c r="F50">
        <v>-4.5019012679871278</v>
      </c>
      <c r="G50">
        <f t="shared" si="0"/>
        <v>-5.5117432414984107</v>
      </c>
      <c r="H50">
        <v>4.1207891005128294</v>
      </c>
    </row>
    <row r="51" spans="1:8" x14ac:dyDescent="0.35">
      <c r="A51" t="s">
        <v>68</v>
      </c>
      <c r="B51" t="s">
        <v>57</v>
      </c>
      <c r="C51" t="s">
        <v>38</v>
      </c>
      <c r="D51">
        <v>2020</v>
      </c>
      <c r="E51">
        <v>-5.5682040725027582</v>
      </c>
      <c r="F51">
        <v>-4.5019012679871278</v>
      </c>
      <c r="G51">
        <f t="shared" si="0"/>
        <v>1.0663028045156304</v>
      </c>
      <c r="H51">
        <v>4.1207891005128294</v>
      </c>
    </row>
    <row r="52" spans="1:8" x14ac:dyDescent="0.35">
      <c r="A52" t="s">
        <v>68</v>
      </c>
      <c r="B52" t="s">
        <v>56</v>
      </c>
      <c r="C52" t="s">
        <v>40</v>
      </c>
      <c r="D52">
        <v>2020</v>
      </c>
      <c r="E52">
        <v>1.5458815393741829</v>
      </c>
      <c r="F52">
        <v>-4.5019012679871278</v>
      </c>
      <c r="G52">
        <f t="shared" si="0"/>
        <v>-6.0477828073613109</v>
      </c>
      <c r="H52">
        <v>4.1207891005128294</v>
      </c>
    </row>
    <row r="53" spans="1:8" x14ac:dyDescent="0.35">
      <c r="A53" t="s">
        <v>68</v>
      </c>
      <c r="B53" t="s">
        <v>58</v>
      </c>
      <c r="C53" t="s">
        <v>40</v>
      </c>
      <c r="D53">
        <v>2020</v>
      </c>
      <c r="E53">
        <v>-6.4695771848944261</v>
      </c>
      <c r="F53">
        <v>-4.5019012679871278</v>
      </c>
      <c r="G53">
        <f t="shared" si="0"/>
        <v>1.9676759169072984</v>
      </c>
      <c r="H53">
        <v>4.1207891005128294</v>
      </c>
    </row>
    <row r="54" spans="1:8" x14ac:dyDescent="0.35">
      <c r="A54" t="s">
        <v>68</v>
      </c>
      <c r="B54" t="s">
        <v>57</v>
      </c>
      <c r="C54" t="s">
        <v>38</v>
      </c>
      <c r="D54">
        <v>2021</v>
      </c>
      <c r="E54">
        <v>3.5168418141955371</v>
      </c>
      <c r="F54">
        <v>3.8314526417859192</v>
      </c>
      <c r="G54">
        <f t="shared" si="0"/>
        <v>0.31461082759038206</v>
      </c>
      <c r="H54">
        <v>6.8156919307247312</v>
      </c>
    </row>
    <row r="55" spans="1:8" x14ac:dyDescent="0.35">
      <c r="A55" t="s">
        <v>68</v>
      </c>
      <c r="B55" t="s">
        <v>59</v>
      </c>
      <c r="C55" t="s">
        <v>38</v>
      </c>
      <c r="D55">
        <v>2021</v>
      </c>
      <c r="E55">
        <v>2.7343389231728081</v>
      </c>
      <c r="F55">
        <v>3.8314526417859192</v>
      </c>
      <c r="G55">
        <f t="shared" si="0"/>
        <v>1.097113718613111</v>
      </c>
      <c r="H55">
        <v>6.8156919307247312</v>
      </c>
    </row>
    <row r="56" spans="1:8" x14ac:dyDescent="0.35">
      <c r="A56" t="s">
        <v>68</v>
      </c>
      <c r="B56" t="s">
        <v>58</v>
      </c>
      <c r="C56" t="s">
        <v>40</v>
      </c>
      <c r="D56">
        <v>2021</v>
      </c>
      <c r="E56">
        <v>5.8723795390502653</v>
      </c>
      <c r="F56">
        <v>3.8314526417859192</v>
      </c>
      <c r="G56">
        <f t="shared" si="0"/>
        <v>-2.0409268972643462</v>
      </c>
      <c r="H56">
        <v>6.8156919307247312</v>
      </c>
    </row>
    <row r="57" spans="1:8" x14ac:dyDescent="0.35">
      <c r="A57" t="s">
        <v>68</v>
      </c>
      <c r="B57" t="s">
        <v>60</v>
      </c>
      <c r="C57" t="s">
        <v>40</v>
      </c>
      <c r="D57">
        <v>2021</v>
      </c>
      <c r="E57">
        <v>3.405406776981335</v>
      </c>
      <c r="F57">
        <v>3.8314526417859192</v>
      </c>
      <c r="G57">
        <f t="shared" si="0"/>
        <v>0.42604586480458417</v>
      </c>
      <c r="H57">
        <v>6.8156919307247312</v>
      </c>
    </row>
    <row r="58" spans="1:8" x14ac:dyDescent="0.35">
      <c r="A58" t="s">
        <v>68</v>
      </c>
      <c r="B58" t="s">
        <v>59</v>
      </c>
      <c r="C58" t="s">
        <v>38</v>
      </c>
      <c r="D58">
        <v>2022</v>
      </c>
      <c r="E58">
        <v>4.5927784434600882</v>
      </c>
      <c r="F58">
        <v>1.931834126476093</v>
      </c>
      <c r="G58">
        <f t="shared" si="0"/>
        <v>-2.6609443169839953</v>
      </c>
      <c r="H58">
        <v>8.1761583775401121</v>
      </c>
    </row>
    <row r="59" spans="1:8" x14ac:dyDescent="0.35">
      <c r="A59" t="s">
        <v>68</v>
      </c>
      <c r="B59" t="s">
        <v>61</v>
      </c>
      <c r="C59" t="s">
        <v>38</v>
      </c>
      <c r="D59">
        <v>2022</v>
      </c>
      <c r="E59">
        <v>1.55845355711639</v>
      </c>
      <c r="F59">
        <v>1.931834126476093</v>
      </c>
      <c r="G59">
        <f t="shared" si="0"/>
        <v>0.37338056935970299</v>
      </c>
      <c r="H59">
        <v>8.1761583775401121</v>
      </c>
    </row>
    <row r="60" spans="1:8" x14ac:dyDescent="0.35">
      <c r="A60" t="s">
        <v>68</v>
      </c>
      <c r="B60" t="s">
        <v>60</v>
      </c>
      <c r="C60" t="s">
        <v>40</v>
      </c>
      <c r="D60">
        <v>2022</v>
      </c>
      <c r="E60">
        <v>4.0547699734103224</v>
      </c>
      <c r="F60">
        <v>1.931834126476093</v>
      </c>
      <c r="G60">
        <f t="shared" si="0"/>
        <v>-2.1229358469342294</v>
      </c>
      <c r="H60">
        <v>8.1761583775401121</v>
      </c>
    </row>
    <row r="61" spans="1:8" x14ac:dyDescent="0.35">
      <c r="A61" t="s">
        <v>68</v>
      </c>
      <c r="B61" t="s">
        <v>62</v>
      </c>
      <c r="C61" t="s">
        <v>40</v>
      </c>
      <c r="D61">
        <v>2022</v>
      </c>
      <c r="E61">
        <v>1.5579683422439761</v>
      </c>
      <c r="F61">
        <v>1.931834126476093</v>
      </c>
      <c r="G61">
        <f t="shared" si="0"/>
        <v>0.37386578423211692</v>
      </c>
      <c r="H61">
        <v>8.1761583775401121</v>
      </c>
    </row>
    <row r="62" spans="1:8" x14ac:dyDescent="0.35">
      <c r="A62" t="s">
        <v>68</v>
      </c>
      <c r="B62" t="s">
        <v>61</v>
      </c>
      <c r="C62" t="s">
        <v>38</v>
      </c>
      <c r="D62">
        <v>2023</v>
      </c>
      <c r="E62">
        <v>-0.62595524483003429</v>
      </c>
      <c r="F62">
        <v>-0.81689108427086243</v>
      </c>
      <c r="G62">
        <f t="shared" si="0"/>
        <v>-0.19093583944082815</v>
      </c>
      <c r="H62">
        <v>7.6870184113631561</v>
      </c>
    </row>
    <row r="63" spans="1:8" x14ac:dyDescent="0.35">
      <c r="A63" t="s">
        <v>68</v>
      </c>
      <c r="B63" t="s">
        <v>63</v>
      </c>
      <c r="C63" t="s">
        <v>38</v>
      </c>
      <c r="D63">
        <v>2023</v>
      </c>
      <c r="E63">
        <v>-0.27334918709761569</v>
      </c>
      <c r="F63">
        <v>-0.81689108427086243</v>
      </c>
      <c r="G63">
        <f t="shared" si="0"/>
        <v>-0.54354189717324675</v>
      </c>
      <c r="H63">
        <v>7.6870184113631561</v>
      </c>
    </row>
    <row r="64" spans="1:8" x14ac:dyDescent="0.35">
      <c r="A64" t="s">
        <v>68</v>
      </c>
      <c r="B64" t="s">
        <v>62</v>
      </c>
      <c r="C64" t="s">
        <v>40</v>
      </c>
      <c r="D64">
        <v>2023</v>
      </c>
      <c r="E64">
        <v>2.4090316591396821</v>
      </c>
      <c r="F64">
        <v>-0.81689108427086243</v>
      </c>
      <c r="G64">
        <f t="shared" si="0"/>
        <v>-3.2259227434105444</v>
      </c>
      <c r="H64">
        <v>7.6870184113631561</v>
      </c>
    </row>
    <row r="65" spans="1:8" x14ac:dyDescent="0.35">
      <c r="A65" t="s">
        <v>68</v>
      </c>
      <c r="B65" t="s">
        <v>64</v>
      </c>
      <c r="C65" t="s">
        <v>40</v>
      </c>
      <c r="D65">
        <v>2023</v>
      </c>
      <c r="E65">
        <v>0.18957305278237691</v>
      </c>
      <c r="F65">
        <v>-0.81689108427086243</v>
      </c>
      <c r="G65">
        <f t="shared" si="0"/>
        <v>-1.0064641370532392</v>
      </c>
      <c r="H65">
        <v>7.6870184113631561</v>
      </c>
    </row>
    <row r="66" spans="1:8" x14ac:dyDescent="0.35">
      <c r="A66" t="s">
        <v>68</v>
      </c>
      <c r="B66" t="s">
        <v>63</v>
      </c>
      <c r="C66" t="s">
        <v>38</v>
      </c>
      <c r="D66">
        <v>2024</v>
      </c>
      <c r="E66">
        <v>0.80450584510622924</v>
      </c>
      <c r="F66">
        <v>4.0523394564314849E-2</v>
      </c>
      <c r="G66">
        <f t="shared" ref="G66:G129" si="1">IF(OR(F66="",E66=""),"",F66-E66)</f>
        <v>-0.76398245054191438</v>
      </c>
      <c r="H66">
        <v>7.109230495453148</v>
      </c>
    </row>
    <row r="67" spans="1:8" x14ac:dyDescent="0.35">
      <c r="A67" t="s">
        <v>68</v>
      </c>
      <c r="B67" t="s">
        <v>65</v>
      </c>
      <c r="C67" t="s">
        <v>38</v>
      </c>
      <c r="D67">
        <v>2024</v>
      </c>
      <c r="E67">
        <v>-0.1114510968873272</v>
      </c>
      <c r="F67">
        <v>4.0523394564314849E-2</v>
      </c>
      <c r="G67">
        <f t="shared" si="1"/>
        <v>0.15197449145164205</v>
      </c>
      <c r="H67">
        <v>7.109230495453148</v>
      </c>
    </row>
    <row r="68" spans="1:8" x14ac:dyDescent="0.35">
      <c r="A68" t="s">
        <v>68</v>
      </c>
      <c r="B68" t="s">
        <v>64</v>
      </c>
      <c r="C68" t="s">
        <v>40</v>
      </c>
      <c r="D68">
        <v>2024</v>
      </c>
      <c r="E68">
        <v>1.358688832068133</v>
      </c>
      <c r="F68">
        <v>4.0523394564314849E-2</v>
      </c>
      <c r="G68">
        <f t="shared" si="1"/>
        <v>-1.3181654375038181</v>
      </c>
      <c r="H68">
        <v>7.109230495453148</v>
      </c>
    </row>
    <row r="69" spans="1:8" x14ac:dyDescent="0.35">
      <c r="A69" t="s">
        <v>68</v>
      </c>
      <c r="B69" t="s">
        <v>66</v>
      </c>
      <c r="C69" t="s">
        <v>40</v>
      </c>
      <c r="D69">
        <v>2024</v>
      </c>
      <c r="E69">
        <v>0.12753656568900151</v>
      </c>
      <c r="F69">
        <v>4.0523394564314849E-2</v>
      </c>
      <c r="G69">
        <f t="shared" si="1"/>
        <v>-8.7013171124686664E-2</v>
      </c>
      <c r="H69">
        <v>7.109230495453148</v>
      </c>
    </row>
    <row r="70" spans="1:8" x14ac:dyDescent="0.35">
      <c r="A70" t="s">
        <v>68</v>
      </c>
      <c r="B70" t="s">
        <v>65</v>
      </c>
      <c r="C70" t="s">
        <v>38</v>
      </c>
      <c r="D70">
        <v>2025</v>
      </c>
      <c r="E70">
        <v>0.69333808233418281</v>
      </c>
      <c r="F70">
        <v>0.34025588112837718</v>
      </c>
      <c r="G70">
        <f t="shared" si="1"/>
        <v>-0.35308220120580563</v>
      </c>
      <c r="H70">
        <v>7.280321526767084</v>
      </c>
    </row>
    <row r="71" spans="1:8" x14ac:dyDescent="0.35">
      <c r="A71" t="s">
        <v>68</v>
      </c>
      <c r="B71" t="s">
        <v>71</v>
      </c>
      <c r="C71" t="s">
        <v>38</v>
      </c>
      <c r="D71">
        <v>2025</v>
      </c>
      <c r="E71">
        <v>0.17068748819852869</v>
      </c>
      <c r="F71">
        <v>0.34025588112837718</v>
      </c>
      <c r="G71">
        <f t="shared" si="1"/>
        <v>0.16956839292984849</v>
      </c>
      <c r="H71">
        <v>7.280321526767084</v>
      </c>
    </row>
    <row r="72" spans="1:8" x14ac:dyDescent="0.35">
      <c r="A72" t="s">
        <v>68</v>
      </c>
      <c r="B72" t="s">
        <v>66</v>
      </c>
      <c r="C72" t="s">
        <v>40</v>
      </c>
      <c r="D72">
        <v>2025</v>
      </c>
      <c r="E72">
        <v>1.014129227832639</v>
      </c>
      <c r="F72">
        <v>0.34025588112837718</v>
      </c>
      <c r="G72">
        <f t="shared" si="1"/>
        <v>-0.67387334670426191</v>
      </c>
      <c r="H72">
        <v>7.280321526767084</v>
      </c>
    </row>
    <row r="73" spans="1:8" x14ac:dyDescent="0.35">
      <c r="A73" t="s">
        <v>68</v>
      </c>
      <c r="B73" t="s">
        <v>72</v>
      </c>
      <c r="C73" t="s">
        <v>40</v>
      </c>
      <c r="D73">
        <v>2025</v>
      </c>
      <c r="E73">
        <v>-2.9831521216272531E-2</v>
      </c>
      <c r="F73">
        <v>0.34025588112837718</v>
      </c>
      <c r="G73">
        <f t="shared" si="1"/>
        <v>0.37008740234464971</v>
      </c>
      <c r="H73">
        <v>7.280321526767084</v>
      </c>
    </row>
    <row r="74" spans="1:8" x14ac:dyDescent="0.35">
      <c r="A74" t="s">
        <v>69</v>
      </c>
      <c r="B74" t="s">
        <v>55</v>
      </c>
      <c r="C74" t="s">
        <v>38</v>
      </c>
      <c r="D74">
        <v>2020</v>
      </c>
      <c r="E74">
        <v>1.490576223487361</v>
      </c>
      <c r="F74">
        <v>-11.58616521695834</v>
      </c>
      <c r="G74">
        <f t="shared" si="1"/>
        <v>-13.076741440445701</v>
      </c>
      <c r="H74">
        <v>0.60415892118981396</v>
      </c>
    </row>
    <row r="75" spans="1:8" x14ac:dyDescent="0.35">
      <c r="A75" t="s">
        <v>69</v>
      </c>
      <c r="B75" t="s">
        <v>57</v>
      </c>
      <c r="C75" t="s">
        <v>38</v>
      </c>
      <c r="D75">
        <v>2020</v>
      </c>
      <c r="E75">
        <v>-12.410533977614319</v>
      </c>
      <c r="F75">
        <v>-11.58616521695834</v>
      </c>
      <c r="G75">
        <f t="shared" si="1"/>
        <v>0.82436876065597886</v>
      </c>
      <c r="H75">
        <v>0.60415892118981396</v>
      </c>
    </row>
    <row r="76" spans="1:8" x14ac:dyDescent="0.35">
      <c r="A76" t="s">
        <v>69</v>
      </c>
      <c r="B76" t="s">
        <v>56</v>
      </c>
      <c r="C76" t="s">
        <v>40</v>
      </c>
      <c r="D76">
        <v>2020</v>
      </c>
      <c r="E76">
        <v>1.863359760106897</v>
      </c>
      <c r="F76">
        <v>-11.58616521695834</v>
      </c>
      <c r="G76">
        <f t="shared" si="1"/>
        <v>-13.449524977065238</v>
      </c>
      <c r="H76">
        <v>0.60415892118981396</v>
      </c>
    </row>
    <row r="77" spans="1:8" x14ac:dyDescent="0.35">
      <c r="A77" t="s">
        <v>69</v>
      </c>
      <c r="B77" t="s">
        <v>58</v>
      </c>
      <c r="C77" t="s">
        <v>40</v>
      </c>
      <c r="D77">
        <v>2020</v>
      </c>
      <c r="E77">
        <v>-9.3843459766278272</v>
      </c>
      <c r="F77">
        <v>-11.58616521695834</v>
      </c>
      <c r="G77">
        <f t="shared" si="1"/>
        <v>-2.2018192403305132</v>
      </c>
      <c r="H77">
        <v>0.60415892118981396</v>
      </c>
    </row>
    <row r="78" spans="1:8" x14ac:dyDescent="0.35">
      <c r="A78" t="s">
        <v>69</v>
      </c>
      <c r="B78" t="s">
        <v>57</v>
      </c>
      <c r="C78" t="s">
        <v>38</v>
      </c>
      <c r="D78">
        <v>2021</v>
      </c>
      <c r="E78">
        <v>5.3508536215682634</v>
      </c>
      <c r="F78">
        <v>6.4693143142877041</v>
      </c>
      <c r="G78">
        <f t="shared" si="1"/>
        <v>1.1184606927194407</v>
      </c>
      <c r="H78">
        <v>0.95674972420897775</v>
      </c>
    </row>
    <row r="79" spans="1:8" x14ac:dyDescent="0.35">
      <c r="A79" t="s">
        <v>69</v>
      </c>
      <c r="B79" t="s">
        <v>59</v>
      </c>
      <c r="C79" t="s">
        <v>38</v>
      </c>
      <c r="D79">
        <v>2021</v>
      </c>
      <c r="E79">
        <v>4.6234510847103616</v>
      </c>
      <c r="F79">
        <v>6.4693143142877041</v>
      </c>
      <c r="G79">
        <f t="shared" si="1"/>
        <v>1.8458632295773425</v>
      </c>
      <c r="H79">
        <v>0.95674972420897775</v>
      </c>
    </row>
    <row r="80" spans="1:8" x14ac:dyDescent="0.35">
      <c r="A80" t="s">
        <v>69</v>
      </c>
      <c r="B80" t="s">
        <v>58</v>
      </c>
      <c r="C80" t="s">
        <v>40</v>
      </c>
      <c r="D80">
        <v>2021</v>
      </c>
      <c r="E80">
        <v>6.9761759541974167</v>
      </c>
      <c r="F80">
        <v>6.4693143142877041</v>
      </c>
      <c r="G80">
        <f t="shared" si="1"/>
        <v>-0.50686163990971256</v>
      </c>
      <c r="H80">
        <v>0.95674972420897775</v>
      </c>
    </row>
    <row r="81" spans="1:8" x14ac:dyDescent="0.35">
      <c r="A81" t="s">
        <v>69</v>
      </c>
      <c r="B81" t="s">
        <v>60</v>
      </c>
      <c r="C81" t="s">
        <v>40</v>
      </c>
      <c r="D81">
        <v>2021</v>
      </c>
      <c r="E81">
        <v>5.8812532644924698</v>
      </c>
      <c r="F81">
        <v>6.4693143142877041</v>
      </c>
      <c r="G81">
        <f t="shared" si="1"/>
        <v>0.58806104979523433</v>
      </c>
      <c r="H81">
        <v>0.95674972420897775</v>
      </c>
    </row>
    <row r="82" spans="1:8" x14ac:dyDescent="0.35">
      <c r="A82" t="s">
        <v>69</v>
      </c>
      <c r="B82" t="s">
        <v>59</v>
      </c>
      <c r="C82" t="s">
        <v>38</v>
      </c>
      <c r="D82">
        <v>2022</v>
      </c>
      <c r="E82">
        <v>5.5278236152833893</v>
      </c>
      <c r="F82">
        <v>6.1757125573772758</v>
      </c>
      <c r="G82">
        <f t="shared" si="1"/>
        <v>0.64788894209388648</v>
      </c>
      <c r="H82">
        <v>0.7506448684246857</v>
      </c>
    </row>
    <row r="83" spans="1:8" x14ac:dyDescent="0.35">
      <c r="A83" t="s">
        <v>69</v>
      </c>
      <c r="B83" t="s">
        <v>61</v>
      </c>
      <c r="C83" t="s">
        <v>38</v>
      </c>
      <c r="D83">
        <v>2022</v>
      </c>
      <c r="E83">
        <v>4.547669246739372</v>
      </c>
      <c r="F83">
        <v>6.1757125573772758</v>
      </c>
      <c r="G83">
        <f t="shared" si="1"/>
        <v>1.6280433106379038</v>
      </c>
      <c r="H83">
        <v>0.7506448684246857</v>
      </c>
    </row>
    <row r="84" spans="1:8" x14ac:dyDescent="0.35">
      <c r="A84" t="s">
        <v>69</v>
      </c>
      <c r="B84" t="s">
        <v>60</v>
      </c>
      <c r="C84" t="s">
        <v>40</v>
      </c>
      <c r="D84">
        <v>2022</v>
      </c>
      <c r="E84">
        <v>6.7779918001151573</v>
      </c>
      <c r="F84">
        <v>6.1757125573772758</v>
      </c>
      <c r="G84">
        <f t="shared" si="1"/>
        <v>-0.60227924273788158</v>
      </c>
      <c r="H84">
        <v>0.7506448684246857</v>
      </c>
    </row>
    <row r="85" spans="1:8" x14ac:dyDescent="0.35">
      <c r="A85" t="s">
        <v>69</v>
      </c>
      <c r="B85" t="s">
        <v>62</v>
      </c>
      <c r="C85" t="s">
        <v>40</v>
      </c>
      <c r="D85">
        <v>2022</v>
      </c>
      <c r="E85">
        <v>4.0260894815609127</v>
      </c>
      <c r="F85">
        <v>6.1757125573772758</v>
      </c>
      <c r="G85">
        <f t="shared" si="1"/>
        <v>2.149623075816363</v>
      </c>
      <c r="H85">
        <v>0.7506448684246857</v>
      </c>
    </row>
    <row r="86" spans="1:8" x14ac:dyDescent="0.35">
      <c r="A86" t="s">
        <v>69</v>
      </c>
      <c r="B86" t="s">
        <v>61</v>
      </c>
      <c r="C86" t="s">
        <v>38</v>
      </c>
      <c r="D86">
        <v>2023</v>
      </c>
      <c r="E86">
        <v>0.95503996038659444</v>
      </c>
      <c r="F86">
        <v>2.4309784639696339</v>
      </c>
      <c r="G86">
        <f t="shared" si="1"/>
        <v>1.4759385035830395</v>
      </c>
      <c r="H86">
        <v>0.99080783677360684</v>
      </c>
    </row>
    <row r="87" spans="1:8" x14ac:dyDescent="0.35">
      <c r="A87" t="s">
        <v>69</v>
      </c>
      <c r="B87" t="s">
        <v>63</v>
      </c>
      <c r="C87" t="s">
        <v>38</v>
      </c>
      <c r="D87">
        <v>2023</v>
      </c>
      <c r="E87">
        <v>2.3654844972287088</v>
      </c>
      <c r="F87">
        <v>2.4309784639696339</v>
      </c>
      <c r="G87">
        <f t="shared" si="1"/>
        <v>6.5493966740925114E-2</v>
      </c>
      <c r="H87">
        <v>0.99080783677360684</v>
      </c>
    </row>
    <row r="88" spans="1:8" x14ac:dyDescent="0.35">
      <c r="A88" t="s">
        <v>69</v>
      </c>
      <c r="B88" t="s">
        <v>62</v>
      </c>
      <c r="C88" t="s">
        <v>40</v>
      </c>
      <c r="D88">
        <v>2023</v>
      </c>
      <c r="E88">
        <v>3.3729684974310499</v>
      </c>
      <c r="F88">
        <v>2.4309784639696339</v>
      </c>
      <c r="G88">
        <f t="shared" si="1"/>
        <v>-0.94199003346141597</v>
      </c>
      <c r="H88">
        <v>0.99080783677360684</v>
      </c>
    </row>
    <row r="89" spans="1:8" x14ac:dyDescent="0.35">
      <c r="A89" t="s">
        <v>69</v>
      </c>
      <c r="B89" t="s">
        <v>64</v>
      </c>
      <c r="C89" t="s">
        <v>40</v>
      </c>
      <c r="D89">
        <v>2023</v>
      </c>
      <c r="E89">
        <v>1.9366811763456671</v>
      </c>
      <c r="F89">
        <v>2.4309784639696339</v>
      </c>
      <c r="G89">
        <f t="shared" si="1"/>
        <v>0.49429728762396685</v>
      </c>
      <c r="H89">
        <v>0.99080783677360684</v>
      </c>
    </row>
    <row r="90" spans="1:8" x14ac:dyDescent="0.35">
      <c r="A90" t="s">
        <v>69</v>
      </c>
      <c r="B90" t="s">
        <v>63</v>
      </c>
      <c r="C90" t="s">
        <v>38</v>
      </c>
      <c r="D90">
        <v>2024</v>
      </c>
      <c r="E90">
        <v>1.660542743130144</v>
      </c>
      <c r="F90">
        <v>3.3969031373447791</v>
      </c>
      <c r="G90">
        <f t="shared" si="1"/>
        <v>1.7363603942146351</v>
      </c>
      <c r="H90">
        <v>0.80485602708870874</v>
      </c>
    </row>
    <row r="91" spans="1:8" x14ac:dyDescent="0.35">
      <c r="A91" t="s">
        <v>69</v>
      </c>
      <c r="B91" t="s">
        <v>65</v>
      </c>
      <c r="C91" t="s">
        <v>38</v>
      </c>
      <c r="D91">
        <v>2024</v>
      </c>
      <c r="E91">
        <v>2.966936931003072</v>
      </c>
      <c r="F91">
        <v>3.3969031373447791</v>
      </c>
      <c r="G91">
        <f t="shared" si="1"/>
        <v>0.42996620634170712</v>
      </c>
      <c r="H91">
        <v>0.80485602708870874</v>
      </c>
    </row>
    <row r="92" spans="1:8" x14ac:dyDescent="0.35">
      <c r="A92" t="s">
        <v>69</v>
      </c>
      <c r="B92" t="s">
        <v>64</v>
      </c>
      <c r="C92" t="s">
        <v>40</v>
      </c>
      <c r="D92">
        <v>2024</v>
      </c>
      <c r="E92">
        <v>1.9648768473316871</v>
      </c>
      <c r="F92">
        <v>3.3969031373447791</v>
      </c>
      <c r="G92">
        <f t="shared" si="1"/>
        <v>1.432026290013092</v>
      </c>
      <c r="H92">
        <v>0.80485602708870874</v>
      </c>
    </row>
    <row r="93" spans="1:8" x14ac:dyDescent="0.35">
      <c r="A93" t="s">
        <v>69</v>
      </c>
      <c r="B93" t="s">
        <v>66</v>
      </c>
      <c r="C93" t="s">
        <v>40</v>
      </c>
      <c r="D93">
        <v>2024</v>
      </c>
      <c r="E93">
        <v>2.1447304612078222</v>
      </c>
      <c r="F93">
        <v>3.3969031373447791</v>
      </c>
      <c r="G93">
        <f t="shared" si="1"/>
        <v>1.2521726761369569</v>
      </c>
      <c r="H93">
        <v>0.80485602708870874</v>
      </c>
    </row>
    <row r="94" spans="1:8" x14ac:dyDescent="0.35">
      <c r="A94" t="s">
        <v>69</v>
      </c>
      <c r="B94" t="s">
        <v>65</v>
      </c>
      <c r="C94" t="s">
        <v>38</v>
      </c>
      <c r="D94">
        <v>2025</v>
      </c>
      <c r="E94">
        <v>2.3460653050844331</v>
      </c>
      <c r="F94">
        <v>2.7857852243734129</v>
      </c>
      <c r="G94">
        <f t="shared" si="1"/>
        <v>0.4397199192889798</v>
      </c>
      <c r="H94">
        <v>0.90409953771843354</v>
      </c>
    </row>
    <row r="95" spans="1:8" x14ac:dyDescent="0.35">
      <c r="A95" t="s">
        <v>69</v>
      </c>
      <c r="B95" t="s">
        <v>71</v>
      </c>
      <c r="C95" t="s">
        <v>38</v>
      </c>
      <c r="D95">
        <v>2025</v>
      </c>
      <c r="E95">
        <v>2.8680409593299978</v>
      </c>
      <c r="F95">
        <v>2.7857852243734129</v>
      </c>
      <c r="G95">
        <f t="shared" si="1"/>
        <v>-8.2255734956584892E-2</v>
      </c>
      <c r="H95">
        <v>0.90409953771843354</v>
      </c>
    </row>
    <row r="96" spans="1:8" x14ac:dyDescent="0.35">
      <c r="A96" t="s">
        <v>69</v>
      </c>
      <c r="B96" t="s">
        <v>66</v>
      </c>
      <c r="C96" t="s">
        <v>40</v>
      </c>
      <c r="D96">
        <v>2025</v>
      </c>
      <c r="E96">
        <v>1.947420292593427</v>
      </c>
      <c r="F96">
        <v>2.7857852243734129</v>
      </c>
      <c r="G96">
        <f t="shared" si="1"/>
        <v>0.83836493177998594</v>
      </c>
      <c r="H96">
        <v>0.90409953771843354</v>
      </c>
    </row>
    <row r="97" spans="1:8" x14ac:dyDescent="0.35">
      <c r="A97" t="s">
        <v>69</v>
      </c>
      <c r="B97" t="s">
        <v>72</v>
      </c>
      <c r="C97" t="s">
        <v>40</v>
      </c>
      <c r="D97">
        <v>2025</v>
      </c>
      <c r="E97">
        <v>2.5510068501240162</v>
      </c>
      <c r="F97">
        <v>2.7857852243734129</v>
      </c>
      <c r="G97">
        <f t="shared" si="1"/>
        <v>0.23477837424939674</v>
      </c>
      <c r="H97">
        <v>0.90409953771843354</v>
      </c>
    </row>
    <row r="98" spans="1:8" x14ac:dyDescent="0.35">
      <c r="A98" t="s">
        <v>70</v>
      </c>
      <c r="B98" t="s">
        <v>55</v>
      </c>
      <c r="C98" t="s">
        <v>38</v>
      </c>
      <c r="D98">
        <v>2020</v>
      </c>
      <c r="E98">
        <v>1.1013866566023991</v>
      </c>
      <c r="F98">
        <v>-2.5216639551613449</v>
      </c>
      <c r="G98">
        <f t="shared" si="1"/>
        <v>-3.6230506117637438</v>
      </c>
      <c r="H98">
        <v>1.637512686458964</v>
      </c>
    </row>
    <row r="99" spans="1:8" x14ac:dyDescent="0.35">
      <c r="A99" t="s">
        <v>70</v>
      </c>
      <c r="B99" t="s">
        <v>57</v>
      </c>
      <c r="C99" t="s">
        <v>38</v>
      </c>
      <c r="D99">
        <v>2020</v>
      </c>
      <c r="E99">
        <v>-4.2712767573150012</v>
      </c>
      <c r="F99">
        <v>-2.5216639551613449</v>
      </c>
      <c r="G99">
        <f t="shared" si="1"/>
        <v>1.7496128021536563</v>
      </c>
      <c r="H99">
        <v>1.637512686458964</v>
      </c>
    </row>
    <row r="100" spans="1:8" x14ac:dyDescent="0.35">
      <c r="A100" t="s">
        <v>70</v>
      </c>
      <c r="B100" t="s">
        <v>56</v>
      </c>
      <c r="C100" t="s">
        <v>40</v>
      </c>
      <c r="D100">
        <v>2020</v>
      </c>
      <c r="E100">
        <v>1.1658655715774511</v>
      </c>
      <c r="F100">
        <v>-2.5216639551613449</v>
      </c>
      <c r="G100">
        <f t="shared" si="1"/>
        <v>-3.6875295267387962</v>
      </c>
      <c r="H100">
        <v>1.637512686458964</v>
      </c>
    </row>
    <row r="101" spans="1:8" x14ac:dyDescent="0.35">
      <c r="A101" t="s">
        <v>70</v>
      </c>
      <c r="B101" t="s">
        <v>58</v>
      </c>
      <c r="C101" t="s">
        <v>40</v>
      </c>
      <c r="D101">
        <v>2020</v>
      </c>
      <c r="E101">
        <v>-6.3340086382144829</v>
      </c>
      <c r="F101">
        <v>-2.5216639551613449</v>
      </c>
      <c r="G101">
        <f t="shared" si="1"/>
        <v>3.812344683053138</v>
      </c>
      <c r="H101">
        <v>1.637512686458964</v>
      </c>
    </row>
    <row r="102" spans="1:8" x14ac:dyDescent="0.35">
      <c r="A102" t="s">
        <v>70</v>
      </c>
      <c r="B102" t="s">
        <v>57</v>
      </c>
      <c r="C102" t="s">
        <v>38</v>
      </c>
      <c r="D102">
        <v>2021</v>
      </c>
      <c r="E102">
        <v>2.900169440971712</v>
      </c>
      <c r="F102">
        <v>2.6415720090220192</v>
      </c>
      <c r="G102">
        <f t="shared" si="1"/>
        <v>-0.25859743194969287</v>
      </c>
      <c r="H102">
        <v>1.5297339340232221</v>
      </c>
    </row>
    <row r="103" spans="1:8" x14ac:dyDescent="0.35">
      <c r="A103" t="s">
        <v>70</v>
      </c>
      <c r="B103" t="s">
        <v>59</v>
      </c>
      <c r="C103" t="s">
        <v>38</v>
      </c>
      <c r="D103">
        <v>2021</v>
      </c>
      <c r="E103">
        <v>3.4041276267937399</v>
      </c>
      <c r="F103">
        <v>2.6415720090220192</v>
      </c>
      <c r="G103">
        <f t="shared" si="1"/>
        <v>-0.76255561777172076</v>
      </c>
      <c r="H103">
        <v>1.5297339340232221</v>
      </c>
    </row>
    <row r="104" spans="1:8" x14ac:dyDescent="0.35">
      <c r="A104" t="s">
        <v>70</v>
      </c>
      <c r="B104" t="s">
        <v>58</v>
      </c>
      <c r="C104" t="s">
        <v>40</v>
      </c>
      <c r="D104">
        <v>2021</v>
      </c>
      <c r="E104">
        <v>3.6735608188213531</v>
      </c>
      <c r="F104">
        <v>2.6415720090220192</v>
      </c>
      <c r="G104">
        <f t="shared" si="1"/>
        <v>-1.0319888097993339</v>
      </c>
      <c r="H104">
        <v>1.5297339340232221</v>
      </c>
    </row>
    <row r="105" spans="1:8" x14ac:dyDescent="0.35">
      <c r="A105" t="s">
        <v>70</v>
      </c>
      <c r="B105" t="s">
        <v>60</v>
      </c>
      <c r="C105" t="s">
        <v>40</v>
      </c>
      <c r="D105">
        <v>2021</v>
      </c>
      <c r="E105">
        <v>2.739564988065335</v>
      </c>
      <c r="F105">
        <v>2.6415720090220192</v>
      </c>
      <c r="G105">
        <f t="shared" si="1"/>
        <v>-9.7992979043315831E-2</v>
      </c>
      <c r="H105">
        <v>1.5297339340232221</v>
      </c>
    </row>
    <row r="106" spans="1:8" x14ac:dyDescent="0.35">
      <c r="A106" t="s">
        <v>70</v>
      </c>
      <c r="B106" t="s">
        <v>59</v>
      </c>
      <c r="C106" t="s">
        <v>38</v>
      </c>
      <c r="D106">
        <v>2022</v>
      </c>
      <c r="E106">
        <v>2.8272245866406638</v>
      </c>
      <c r="F106">
        <v>0.76006291556467176</v>
      </c>
      <c r="G106">
        <f t="shared" si="1"/>
        <v>-2.0671616710759921</v>
      </c>
      <c r="H106">
        <v>1.409708663565979</v>
      </c>
    </row>
    <row r="107" spans="1:8" x14ac:dyDescent="0.35">
      <c r="A107" t="s">
        <v>70</v>
      </c>
      <c r="B107" t="s">
        <v>61</v>
      </c>
      <c r="C107" t="s">
        <v>38</v>
      </c>
      <c r="D107">
        <v>2022</v>
      </c>
      <c r="E107">
        <v>2.327853537647107</v>
      </c>
      <c r="F107">
        <v>0.76006291556467176</v>
      </c>
      <c r="G107">
        <f t="shared" si="1"/>
        <v>-1.5677906220824354</v>
      </c>
      <c r="H107">
        <v>1.409708663565979</v>
      </c>
    </row>
    <row r="108" spans="1:8" x14ac:dyDescent="0.35">
      <c r="A108" t="s">
        <v>70</v>
      </c>
      <c r="B108" t="s">
        <v>60</v>
      </c>
      <c r="C108" t="s">
        <v>40</v>
      </c>
      <c r="D108">
        <v>2022</v>
      </c>
      <c r="E108">
        <v>2.7517012411305108</v>
      </c>
      <c r="F108">
        <v>0.76006291556467176</v>
      </c>
      <c r="G108">
        <f t="shared" si="1"/>
        <v>-1.9916383255658392</v>
      </c>
      <c r="H108">
        <v>1.409708663565979</v>
      </c>
    </row>
    <row r="109" spans="1:8" x14ac:dyDescent="0.35">
      <c r="A109" t="s">
        <v>70</v>
      </c>
      <c r="B109" t="s">
        <v>62</v>
      </c>
      <c r="C109" t="s">
        <v>40</v>
      </c>
      <c r="D109">
        <v>2022</v>
      </c>
      <c r="E109">
        <v>1.603112304026943</v>
      </c>
      <c r="F109">
        <v>0.76006291556467176</v>
      </c>
      <c r="G109">
        <f t="shared" si="1"/>
        <v>-0.84304938846227129</v>
      </c>
      <c r="H109">
        <v>1.409708663565979</v>
      </c>
    </row>
    <row r="110" spans="1:8" x14ac:dyDescent="0.35">
      <c r="A110" t="s">
        <v>70</v>
      </c>
      <c r="B110" t="s">
        <v>61</v>
      </c>
      <c r="C110" t="s">
        <v>38</v>
      </c>
      <c r="D110">
        <v>2023</v>
      </c>
      <c r="E110">
        <v>0.23998786112824361</v>
      </c>
      <c r="F110">
        <v>-1.2980054053073831</v>
      </c>
      <c r="G110">
        <f t="shared" si="1"/>
        <v>-1.5379932664356266</v>
      </c>
      <c r="H110">
        <v>1.308722193926259</v>
      </c>
    </row>
    <row r="111" spans="1:8" x14ac:dyDescent="0.35">
      <c r="A111" t="s">
        <v>70</v>
      </c>
      <c r="B111" t="s">
        <v>63</v>
      </c>
      <c r="C111" t="s">
        <v>38</v>
      </c>
      <c r="D111">
        <v>2023</v>
      </c>
      <c r="E111">
        <v>0.13705974715647609</v>
      </c>
      <c r="F111">
        <v>-1.2980054053073831</v>
      </c>
      <c r="G111">
        <f t="shared" si="1"/>
        <v>-1.4350651524638591</v>
      </c>
      <c r="H111">
        <v>1.308722193926259</v>
      </c>
    </row>
    <row r="112" spans="1:8" x14ac:dyDescent="0.35">
      <c r="A112" t="s">
        <v>70</v>
      </c>
      <c r="B112" t="s">
        <v>62</v>
      </c>
      <c r="C112" t="s">
        <v>40</v>
      </c>
      <c r="D112">
        <v>2023</v>
      </c>
      <c r="E112">
        <v>1.664320363648697</v>
      </c>
      <c r="F112">
        <v>-1.2980054053073831</v>
      </c>
      <c r="G112">
        <f t="shared" si="1"/>
        <v>-2.96232576895608</v>
      </c>
      <c r="H112">
        <v>1.308722193926259</v>
      </c>
    </row>
    <row r="113" spans="1:8" x14ac:dyDescent="0.35">
      <c r="A113" t="s">
        <v>70</v>
      </c>
      <c r="B113" t="s">
        <v>64</v>
      </c>
      <c r="C113" t="s">
        <v>40</v>
      </c>
      <c r="D113">
        <v>2023</v>
      </c>
      <c r="E113">
        <v>0.1978909161836295</v>
      </c>
      <c r="F113">
        <v>-1.2980054053073831</v>
      </c>
      <c r="G113">
        <f t="shared" si="1"/>
        <v>-1.4958963214910126</v>
      </c>
      <c r="H113">
        <v>1.308722193926259</v>
      </c>
    </row>
    <row r="114" spans="1:8" x14ac:dyDescent="0.35">
      <c r="A114" t="s">
        <v>70</v>
      </c>
      <c r="B114" t="s">
        <v>63</v>
      </c>
      <c r="C114" t="s">
        <v>38</v>
      </c>
      <c r="D114">
        <v>2024</v>
      </c>
      <c r="E114">
        <v>0.82599219561030335</v>
      </c>
      <c r="F114">
        <v>0.8814466149882676</v>
      </c>
      <c r="G114">
        <f t="shared" si="1"/>
        <v>5.5454419377964248E-2</v>
      </c>
      <c r="H114">
        <v>2.465185230482875</v>
      </c>
    </row>
    <row r="115" spans="1:8" x14ac:dyDescent="0.35">
      <c r="A115" t="s">
        <v>70</v>
      </c>
      <c r="B115" t="s">
        <v>65</v>
      </c>
      <c r="C115" t="s">
        <v>38</v>
      </c>
      <c r="D115">
        <v>2024</v>
      </c>
      <c r="E115">
        <v>-0.27816035844419051</v>
      </c>
      <c r="F115">
        <v>0.8814466149882676</v>
      </c>
      <c r="G115">
        <f t="shared" si="1"/>
        <v>1.1596069734324581</v>
      </c>
      <c r="H115">
        <v>2.465185230482875</v>
      </c>
    </row>
    <row r="116" spans="1:8" x14ac:dyDescent="0.35">
      <c r="A116" t="s">
        <v>70</v>
      </c>
      <c r="B116" t="s">
        <v>64</v>
      </c>
      <c r="C116" t="s">
        <v>40</v>
      </c>
      <c r="D116">
        <v>2024</v>
      </c>
      <c r="E116">
        <v>1.375433393552461</v>
      </c>
      <c r="F116">
        <v>0.8814466149882676</v>
      </c>
      <c r="G116">
        <f t="shared" si="1"/>
        <v>-0.49398677856419337</v>
      </c>
      <c r="H116">
        <v>2.465185230482875</v>
      </c>
    </row>
    <row r="117" spans="1:8" x14ac:dyDescent="0.35">
      <c r="A117" t="s">
        <v>70</v>
      </c>
      <c r="B117" t="s">
        <v>66</v>
      </c>
      <c r="C117" t="s">
        <v>40</v>
      </c>
      <c r="D117">
        <v>2024</v>
      </c>
      <c r="E117">
        <v>3.9573385924840387E-2</v>
      </c>
      <c r="F117">
        <v>0.8814466149882676</v>
      </c>
      <c r="G117">
        <f t="shared" si="1"/>
        <v>0.84187322906342721</v>
      </c>
      <c r="H117">
        <v>2.465185230482875</v>
      </c>
    </row>
    <row r="118" spans="1:8" x14ac:dyDescent="0.35">
      <c r="A118" t="s">
        <v>70</v>
      </c>
      <c r="B118" t="s">
        <v>65</v>
      </c>
      <c r="C118" t="s">
        <v>38</v>
      </c>
      <c r="D118">
        <v>2025</v>
      </c>
      <c r="E118">
        <v>1.544507858030109</v>
      </c>
      <c r="F118">
        <v>0.79990149121373022</v>
      </c>
      <c r="G118">
        <f t="shared" si="1"/>
        <v>-0.74460636681637882</v>
      </c>
      <c r="H118">
        <v>1.3132536844973679</v>
      </c>
    </row>
    <row r="119" spans="1:8" x14ac:dyDescent="0.35">
      <c r="A119" t="s">
        <v>70</v>
      </c>
      <c r="B119" t="s">
        <v>71</v>
      </c>
      <c r="C119" t="s">
        <v>38</v>
      </c>
      <c r="D119">
        <v>2025</v>
      </c>
      <c r="E119">
        <v>7.5720238361931536E-2</v>
      </c>
      <c r="F119">
        <v>0.79990149121373022</v>
      </c>
      <c r="G119">
        <f t="shared" si="1"/>
        <v>0.72418125285179868</v>
      </c>
      <c r="H119">
        <v>1.3132536844973679</v>
      </c>
    </row>
    <row r="120" spans="1:8" x14ac:dyDescent="0.35">
      <c r="A120" t="s">
        <v>70</v>
      </c>
      <c r="B120" t="s">
        <v>66</v>
      </c>
      <c r="C120" t="s">
        <v>40</v>
      </c>
      <c r="D120">
        <v>2025</v>
      </c>
      <c r="E120">
        <v>1.3606562692519699</v>
      </c>
      <c r="F120">
        <v>0.79990149121373022</v>
      </c>
      <c r="G120">
        <f t="shared" si="1"/>
        <v>-0.5607547780382397</v>
      </c>
      <c r="H120">
        <v>1.3132536844973679</v>
      </c>
    </row>
    <row r="121" spans="1:8" x14ac:dyDescent="0.35">
      <c r="A121" t="s">
        <v>70</v>
      </c>
      <c r="B121" t="s">
        <v>72</v>
      </c>
      <c r="C121" t="s">
        <v>40</v>
      </c>
      <c r="D121">
        <v>2025</v>
      </c>
      <c r="E121">
        <v>0.97596362509042578</v>
      </c>
      <c r="F121">
        <v>0.79990149121373022</v>
      </c>
      <c r="G121">
        <f t="shared" si="1"/>
        <v>-0.17606213387669556</v>
      </c>
      <c r="H121">
        <v>1.3132536844973679</v>
      </c>
    </row>
    <row r="122" spans="1:8" x14ac:dyDescent="0.35">
      <c r="A122" t="s">
        <v>73</v>
      </c>
      <c r="B122" t="s">
        <v>55</v>
      </c>
      <c r="C122" t="s">
        <v>38</v>
      </c>
      <c r="D122">
        <v>2020</v>
      </c>
      <c r="E122">
        <v>1.285387661815784</v>
      </c>
      <c r="F122">
        <v>-7.9120138942178206</v>
      </c>
      <c r="G122">
        <f t="shared" si="1"/>
        <v>-9.1974015560336042</v>
      </c>
      <c r="H122">
        <v>6.3305576015426448</v>
      </c>
    </row>
    <row r="123" spans="1:8" x14ac:dyDescent="0.35">
      <c r="A123" t="s">
        <v>73</v>
      </c>
      <c r="B123" t="s">
        <v>57</v>
      </c>
      <c r="C123" t="s">
        <v>38</v>
      </c>
      <c r="D123">
        <v>2020</v>
      </c>
      <c r="E123">
        <v>-9.3511426009976422</v>
      </c>
      <c r="F123">
        <v>-7.9120138942178206</v>
      </c>
      <c r="G123">
        <f t="shared" si="1"/>
        <v>1.4391287067798215</v>
      </c>
      <c r="H123">
        <v>6.3305576015426448</v>
      </c>
    </row>
    <row r="124" spans="1:8" x14ac:dyDescent="0.35">
      <c r="A124" t="s">
        <v>73</v>
      </c>
      <c r="B124" t="s">
        <v>56</v>
      </c>
      <c r="C124" t="s">
        <v>40</v>
      </c>
      <c r="D124">
        <v>2020</v>
      </c>
      <c r="E124">
        <v>1.503749975943047</v>
      </c>
      <c r="F124">
        <v>-7.9120138942178206</v>
      </c>
      <c r="G124">
        <f t="shared" si="1"/>
        <v>-9.4157638701608679</v>
      </c>
      <c r="H124">
        <v>6.3305576015426448</v>
      </c>
    </row>
    <row r="125" spans="1:8" x14ac:dyDescent="0.35">
      <c r="A125" t="s">
        <v>73</v>
      </c>
      <c r="B125" t="s">
        <v>58</v>
      </c>
      <c r="C125" t="s">
        <v>40</v>
      </c>
      <c r="D125">
        <v>2020</v>
      </c>
      <c r="E125">
        <v>-8.2482980854368328</v>
      </c>
      <c r="F125">
        <v>-7.9120138942178206</v>
      </c>
      <c r="G125">
        <f t="shared" si="1"/>
        <v>0.33628419121901221</v>
      </c>
      <c r="H125">
        <v>6.3305576015426448</v>
      </c>
    </row>
    <row r="126" spans="1:8" x14ac:dyDescent="0.35">
      <c r="A126" t="s">
        <v>73</v>
      </c>
      <c r="B126" t="s">
        <v>57</v>
      </c>
      <c r="C126" t="s">
        <v>38</v>
      </c>
      <c r="D126">
        <v>2021</v>
      </c>
      <c r="E126">
        <v>5.7952659026178077</v>
      </c>
      <c r="F126">
        <v>6.5701884772546428</v>
      </c>
      <c r="G126">
        <f t="shared" si="1"/>
        <v>0.77492257463683512</v>
      </c>
      <c r="H126">
        <v>7.3790518114153141</v>
      </c>
    </row>
    <row r="127" spans="1:8" x14ac:dyDescent="0.35">
      <c r="A127" t="s">
        <v>73</v>
      </c>
      <c r="B127" t="s">
        <v>59</v>
      </c>
      <c r="C127" t="s">
        <v>38</v>
      </c>
      <c r="D127">
        <v>2021</v>
      </c>
      <c r="E127">
        <v>6.5425794292067074</v>
      </c>
      <c r="F127">
        <v>6.5701884772546428</v>
      </c>
      <c r="G127">
        <f t="shared" si="1"/>
        <v>2.7609048047935403E-2</v>
      </c>
      <c r="H127">
        <v>7.3790518114153141</v>
      </c>
    </row>
    <row r="128" spans="1:8" x14ac:dyDescent="0.35">
      <c r="A128" t="s">
        <v>73</v>
      </c>
      <c r="B128" t="s">
        <v>58</v>
      </c>
      <c r="C128" t="s">
        <v>40</v>
      </c>
      <c r="D128">
        <v>2021</v>
      </c>
      <c r="E128">
        <v>7.4011344913377686</v>
      </c>
      <c r="F128">
        <v>6.5701884772546428</v>
      </c>
      <c r="G128">
        <f t="shared" si="1"/>
        <v>-0.83094601408312574</v>
      </c>
      <c r="H128">
        <v>7.3790518114153141</v>
      </c>
    </row>
    <row r="129" spans="1:8" x14ac:dyDescent="0.35">
      <c r="A129" t="s">
        <v>73</v>
      </c>
      <c r="B129" t="s">
        <v>60</v>
      </c>
      <c r="C129" t="s">
        <v>40</v>
      </c>
      <c r="D129">
        <v>2021</v>
      </c>
      <c r="E129">
        <v>5.7147026734028614</v>
      </c>
      <c r="F129">
        <v>6.5701884772546428</v>
      </c>
      <c r="G129">
        <f t="shared" si="1"/>
        <v>0.85548580385178141</v>
      </c>
      <c r="H129">
        <v>7.3790518114153141</v>
      </c>
    </row>
    <row r="130" spans="1:8" x14ac:dyDescent="0.35">
      <c r="A130" t="s">
        <v>73</v>
      </c>
      <c r="B130" t="s">
        <v>59</v>
      </c>
      <c r="C130" t="s">
        <v>38</v>
      </c>
      <c r="D130">
        <v>2022</v>
      </c>
      <c r="E130">
        <v>3.7661475579403141</v>
      </c>
      <c r="F130">
        <v>2.761671160127166</v>
      </c>
      <c r="G130">
        <f t="shared" ref="G130:G193" si="2">IF(OR(F130="",E130=""),"",F130-E130)</f>
        <v>-1.0044763978131481</v>
      </c>
      <c r="H130">
        <v>9.6347394516842577</v>
      </c>
    </row>
    <row r="131" spans="1:8" x14ac:dyDescent="0.35">
      <c r="A131" t="s">
        <v>73</v>
      </c>
      <c r="B131" t="s">
        <v>61</v>
      </c>
      <c r="C131" t="s">
        <v>38</v>
      </c>
      <c r="D131">
        <v>2022</v>
      </c>
      <c r="E131">
        <v>2.6294584401195249</v>
      </c>
      <c r="F131">
        <v>2.761671160127166</v>
      </c>
      <c r="G131">
        <f t="shared" si="2"/>
        <v>0.13221272000764106</v>
      </c>
      <c r="H131">
        <v>9.6347394516842577</v>
      </c>
    </row>
    <row r="132" spans="1:8" x14ac:dyDescent="0.35">
      <c r="A132" t="s">
        <v>73</v>
      </c>
      <c r="B132" t="s">
        <v>60</v>
      </c>
      <c r="C132" t="s">
        <v>40</v>
      </c>
      <c r="D132">
        <v>2022</v>
      </c>
      <c r="E132">
        <v>4.2114770737248453</v>
      </c>
      <c r="F132">
        <v>2.761671160127166</v>
      </c>
      <c r="G132">
        <f t="shared" si="2"/>
        <v>-1.4498059135976793</v>
      </c>
      <c r="H132">
        <v>9.6347394516842577</v>
      </c>
    </row>
    <row r="133" spans="1:8" x14ac:dyDescent="0.35">
      <c r="A133" t="s">
        <v>73</v>
      </c>
      <c r="B133" t="s">
        <v>62</v>
      </c>
      <c r="C133" t="s">
        <v>40</v>
      </c>
      <c r="D133">
        <v>2022</v>
      </c>
      <c r="E133">
        <v>3.0989524183168582</v>
      </c>
      <c r="F133">
        <v>2.761671160127166</v>
      </c>
      <c r="G133">
        <f t="shared" si="2"/>
        <v>-0.33728125818969223</v>
      </c>
      <c r="H133">
        <v>9.6347394516842577</v>
      </c>
    </row>
    <row r="134" spans="1:8" x14ac:dyDescent="0.35">
      <c r="A134" t="s">
        <v>73</v>
      </c>
      <c r="B134" t="s">
        <v>61</v>
      </c>
      <c r="C134" t="s">
        <v>38</v>
      </c>
      <c r="D134">
        <v>2023</v>
      </c>
      <c r="E134">
        <v>0.43950651458626311</v>
      </c>
      <c r="F134">
        <v>1.8022470831755071</v>
      </c>
      <c r="G134">
        <f t="shared" si="2"/>
        <v>1.362740568589244</v>
      </c>
      <c r="H134">
        <v>10.29193780166767</v>
      </c>
    </row>
    <row r="135" spans="1:8" x14ac:dyDescent="0.35">
      <c r="A135" t="s">
        <v>73</v>
      </c>
      <c r="B135" t="s">
        <v>63</v>
      </c>
      <c r="C135" t="s">
        <v>38</v>
      </c>
      <c r="D135">
        <v>2023</v>
      </c>
      <c r="E135">
        <v>1.0022762950343991</v>
      </c>
      <c r="F135">
        <v>1.8022470831755071</v>
      </c>
      <c r="G135">
        <f t="shared" si="2"/>
        <v>0.799970788141108</v>
      </c>
      <c r="H135">
        <v>10.29193780166767</v>
      </c>
    </row>
    <row r="136" spans="1:8" x14ac:dyDescent="0.35">
      <c r="A136" t="s">
        <v>73</v>
      </c>
      <c r="B136" t="s">
        <v>62</v>
      </c>
      <c r="C136" t="s">
        <v>40</v>
      </c>
      <c r="D136">
        <v>2023</v>
      </c>
      <c r="E136">
        <v>1.7691091240616961</v>
      </c>
      <c r="F136">
        <v>1.8022470831755071</v>
      </c>
      <c r="G136">
        <f t="shared" si="2"/>
        <v>3.3137959113811011E-2</v>
      </c>
      <c r="H136">
        <v>10.29193780166767</v>
      </c>
    </row>
    <row r="137" spans="1:8" x14ac:dyDescent="0.35">
      <c r="A137" t="s">
        <v>73</v>
      </c>
      <c r="B137" t="s">
        <v>64</v>
      </c>
      <c r="C137" t="s">
        <v>40</v>
      </c>
      <c r="D137">
        <v>2023</v>
      </c>
      <c r="E137">
        <v>0.72426026364131868</v>
      </c>
      <c r="F137">
        <v>1.8022470831755071</v>
      </c>
      <c r="G137">
        <f t="shared" si="2"/>
        <v>1.0779868195341884</v>
      </c>
      <c r="H137">
        <v>10.29193780166767</v>
      </c>
    </row>
    <row r="138" spans="1:8" x14ac:dyDescent="0.35">
      <c r="A138" t="s">
        <v>73</v>
      </c>
      <c r="B138" t="s">
        <v>63</v>
      </c>
      <c r="C138" t="s">
        <v>38</v>
      </c>
      <c r="D138">
        <v>2024</v>
      </c>
      <c r="E138">
        <v>1.2470954330068731</v>
      </c>
      <c r="F138">
        <v>1.4144828845553741</v>
      </c>
      <c r="G138">
        <f t="shared" si="2"/>
        <v>0.16738745154850099</v>
      </c>
      <c r="H138">
        <v>11.0988927927906</v>
      </c>
    </row>
    <row r="139" spans="1:8" x14ac:dyDescent="0.35">
      <c r="A139" t="s">
        <v>73</v>
      </c>
      <c r="B139" t="s">
        <v>65</v>
      </c>
      <c r="C139" t="s">
        <v>38</v>
      </c>
      <c r="D139">
        <v>2024</v>
      </c>
      <c r="E139">
        <v>1.13903040986485</v>
      </c>
      <c r="F139">
        <v>1.4144828845553741</v>
      </c>
      <c r="G139">
        <f t="shared" si="2"/>
        <v>0.27545247469052403</v>
      </c>
      <c r="H139">
        <v>11.0988927927906</v>
      </c>
    </row>
    <row r="140" spans="1:8" x14ac:dyDescent="0.35">
      <c r="A140" t="s">
        <v>73</v>
      </c>
      <c r="B140" t="s">
        <v>64</v>
      </c>
      <c r="C140" t="s">
        <v>40</v>
      </c>
      <c r="D140">
        <v>2024</v>
      </c>
      <c r="E140">
        <v>1.41860461240253</v>
      </c>
      <c r="F140">
        <v>1.4144828845553741</v>
      </c>
      <c r="G140">
        <f t="shared" si="2"/>
        <v>-4.1217278471559204E-3</v>
      </c>
      <c r="H140">
        <v>11.0988927927906</v>
      </c>
    </row>
    <row r="141" spans="1:8" x14ac:dyDescent="0.35">
      <c r="A141" t="s">
        <v>73</v>
      </c>
      <c r="B141" t="s">
        <v>66</v>
      </c>
      <c r="C141" t="s">
        <v>40</v>
      </c>
      <c r="D141">
        <v>2024</v>
      </c>
      <c r="E141">
        <v>0.72851910514837304</v>
      </c>
      <c r="F141">
        <v>1.4144828845553741</v>
      </c>
      <c r="G141">
        <f t="shared" si="2"/>
        <v>0.68596377940700104</v>
      </c>
      <c r="H141">
        <v>11.0988927927906</v>
      </c>
    </row>
    <row r="142" spans="1:8" x14ac:dyDescent="0.35">
      <c r="A142" t="s">
        <v>73</v>
      </c>
      <c r="B142" t="s">
        <v>65</v>
      </c>
      <c r="C142" t="s">
        <v>38</v>
      </c>
      <c r="D142">
        <v>2025</v>
      </c>
      <c r="E142">
        <v>0.82258828244963222</v>
      </c>
      <c r="F142">
        <v>0.88561946045636819</v>
      </c>
      <c r="G142">
        <f t="shared" si="2"/>
        <v>6.3031178006735966E-2</v>
      </c>
      <c r="H142">
        <v>10.19774333808712</v>
      </c>
    </row>
    <row r="143" spans="1:8" x14ac:dyDescent="0.35">
      <c r="A143" t="s">
        <v>73</v>
      </c>
      <c r="B143" t="s">
        <v>71</v>
      </c>
      <c r="C143" t="s">
        <v>38</v>
      </c>
      <c r="D143">
        <v>2025</v>
      </c>
      <c r="E143">
        <v>0.69714532745484004</v>
      </c>
      <c r="F143">
        <v>0.88561946045636819</v>
      </c>
      <c r="G143">
        <f t="shared" si="2"/>
        <v>0.18847413300152815</v>
      </c>
      <c r="H143">
        <v>10.19774333808712</v>
      </c>
    </row>
    <row r="144" spans="1:8" x14ac:dyDescent="0.35">
      <c r="A144" t="s">
        <v>73</v>
      </c>
      <c r="B144" t="s">
        <v>66</v>
      </c>
      <c r="C144" t="s">
        <v>40</v>
      </c>
      <c r="D144">
        <v>2025</v>
      </c>
      <c r="E144">
        <v>1.2594069979400271</v>
      </c>
      <c r="F144">
        <v>0.88561946045636819</v>
      </c>
      <c r="G144">
        <f t="shared" si="2"/>
        <v>-0.37378753748365889</v>
      </c>
      <c r="H144">
        <v>10.19774333808712</v>
      </c>
    </row>
    <row r="145" spans="1:8" x14ac:dyDescent="0.35">
      <c r="A145" t="s">
        <v>73</v>
      </c>
      <c r="B145" t="s">
        <v>72</v>
      </c>
      <c r="C145" t="s">
        <v>40</v>
      </c>
      <c r="D145">
        <v>2025</v>
      </c>
      <c r="E145">
        <v>0.57266269658549085</v>
      </c>
      <c r="F145">
        <v>0.88561946045636819</v>
      </c>
      <c r="G145">
        <f t="shared" si="2"/>
        <v>0.31295676387087734</v>
      </c>
      <c r="H145">
        <v>10.19774333808712</v>
      </c>
    </row>
    <row r="146" spans="1:8" x14ac:dyDescent="0.35">
      <c r="A146" t="s">
        <v>74</v>
      </c>
      <c r="B146" t="s">
        <v>55</v>
      </c>
      <c r="C146" t="s">
        <v>38</v>
      </c>
      <c r="D146">
        <v>2020</v>
      </c>
      <c r="E146">
        <v>3.528571869780794</v>
      </c>
      <c r="F146">
        <v>6.9863814303713827</v>
      </c>
      <c r="G146">
        <f t="shared" si="2"/>
        <v>3.4578095605905887</v>
      </c>
      <c r="H146">
        <v>8.2963646418187362E-2</v>
      </c>
    </row>
    <row r="147" spans="1:8" x14ac:dyDescent="0.35">
      <c r="A147" t="s">
        <v>74</v>
      </c>
      <c r="B147" t="s">
        <v>57</v>
      </c>
      <c r="C147" t="s">
        <v>38</v>
      </c>
      <c r="D147">
        <v>2020</v>
      </c>
      <c r="E147">
        <v>-2.3373996171914708</v>
      </c>
      <c r="F147">
        <v>6.9863814303713827</v>
      </c>
      <c r="G147">
        <f t="shared" si="2"/>
        <v>9.3237810475628535</v>
      </c>
      <c r="H147">
        <v>8.2963646418187362E-2</v>
      </c>
    </row>
    <row r="148" spans="1:8" x14ac:dyDescent="0.35">
      <c r="A148" t="s">
        <v>74</v>
      </c>
      <c r="B148" t="s">
        <v>56</v>
      </c>
      <c r="C148" t="s">
        <v>40</v>
      </c>
      <c r="D148">
        <v>2020</v>
      </c>
      <c r="E148">
        <v>3.3676156234285992</v>
      </c>
      <c r="F148">
        <v>6.9863814303713827</v>
      </c>
      <c r="G148">
        <f t="shared" si="2"/>
        <v>3.6187658069427835</v>
      </c>
      <c r="H148">
        <v>8.2963646418187362E-2</v>
      </c>
    </row>
    <row r="149" spans="1:8" x14ac:dyDescent="0.35">
      <c r="A149" t="s">
        <v>74</v>
      </c>
      <c r="B149" t="s">
        <v>58</v>
      </c>
      <c r="C149" t="s">
        <v>40</v>
      </c>
      <c r="D149">
        <v>2020</v>
      </c>
      <c r="E149">
        <v>-7.9470480138547073</v>
      </c>
      <c r="F149">
        <v>6.9863814303713827</v>
      </c>
      <c r="G149">
        <f t="shared" si="2"/>
        <v>14.933429444226089</v>
      </c>
      <c r="H149">
        <v>8.2963646418187362E-2</v>
      </c>
    </row>
    <row r="150" spans="1:8" x14ac:dyDescent="0.35">
      <c r="A150" t="s">
        <v>74</v>
      </c>
      <c r="B150" t="s">
        <v>57</v>
      </c>
      <c r="C150" t="s">
        <v>38</v>
      </c>
      <c r="D150">
        <v>2021</v>
      </c>
      <c r="E150">
        <v>2.947813244873676</v>
      </c>
      <c r="F150">
        <v>15.1246997065809</v>
      </c>
      <c r="G150">
        <f t="shared" si="2"/>
        <v>12.176886461707223</v>
      </c>
      <c r="H150">
        <v>0.1125684434133815</v>
      </c>
    </row>
    <row r="151" spans="1:8" x14ac:dyDescent="0.35">
      <c r="A151" t="s">
        <v>74</v>
      </c>
      <c r="B151" t="s">
        <v>59</v>
      </c>
      <c r="C151" t="s">
        <v>38</v>
      </c>
      <c r="D151">
        <v>2021</v>
      </c>
      <c r="E151">
        <v>14.562981111404421</v>
      </c>
      <c r="F151">
        <v>15.1246997065809</v>
      </c>
      <c r="G151">
        <f t="shared" si="2"/>
        <v>0.5617185951764796</v>
      </c>
      <c r="H151">
        <v>0.1125684434133815</v>
      </c>
    </row>
    <row r="152" spans="1:8" x14ac:dyDescent="0.35">
      <c r="A152" t="s">
        <v>74</v>
      </c>
      <c r="B152" t="s">
        <v>58</v>
      </c>
      <c r="C152" t="s">
        <v>40</v>
      </c>
      <c r="D152">
        <v>2021</v>
      </c>
      <c r="E152">
        <v>6.0844415228506374</v>
      </c>
      <c r="F152">
        <v>15.1246997065809</v>
      </c>
      <c r="G152">
        <f t="shared" si="2"/>
        <v>9.0402581837302627</v>
      </c>
      <c r="H152">
        <v>0.1125684434133815</v>
      </c>
    </row>
    <row r="153" spans="1:8" x14ac:dyDescent="0.35">
      <c r="A153" t="s">
        <v>74</v>
      </c>
      <c r="B153" t="s">
        <v>60</v>
      </c>
      <c r="C153" t="s">
        <v>40</v>
      </c>
      <c r="D153">
        <v>2021</v>
      </c>
      <c r="E153">
        <v>4.5993257541988797</v>
      </c>
      <c r="F153">
        <v>15.1246997065809</v>
      </c>
      <c r="G153">
        <f t="shared" si="2"/>
        <v>10.52537395238202</v>
      </c>
      <c r="H153">
        <v>0.1125684434133815</v>
      </c>
    </row>
    <row r="154" spans="1:8" x14ac:dyDescent="0.35">
      <c r="A154" t="s">
        <v>74</v>
      </c>
      <c r="B154" t="s">
        <v>59</v>
      </c>
      <c r="C154" t="s">
        <v>38</v>
      </c>
      <c r="D154">
        <v>2022</v>
      </c>
      <c r="E154">
        <v>5.0918722980731523</v>
      </c>
      <c r="F154">
        <v>7.9894443369245964</v>
      </c>
      <c r="G154">
        <f t="shared" si="2"/>
        <v>2.8975720388514441</v>
      </c>
      <c r="H154">
        <v>0.12710526929016649</v>
      </c>
    </row>
    <row r="155" spans="1:8" x14ac:dyDescent="0.35">
      <c r="A155" t="s">
        <v>74</v>
      </c>
      <c r="B155" t="s">
        <v>61</v>
      </c>
      <c r="C155" t="s">
        <v>38</v>
      </c>
      <c r="D155">
        <v>2022</v>
      </c>
      <c r="E155">
        <v>7.8710837662645083</v>
      </c>
      <c r="F155">
        <v>7.9894443369245964</v>
      </c>
      <c r="G155">
        <f t="shared" si="2"/>
        <v>0.11836057066008809</v>
      </c>
      <c r="H155">
        <v>0.12710526929016649</v>
      </c>
    </row>
    <row r="156" spans="1:8" x14ac:dyDescent="0.35">
      <c r="A156" t="s">
        <v>74</v>
      </c>
      <c r="B156" t="s">
        <v>60</v>
      </c>
      <c r="C156" t="s">
        <v>40</v>
      </c>
      <c r="D156">
        <v>2022</v>
      </c>
      <c r="E156">
        <v>4.9759868399277041</v>
      </c>
      <c r="F156">
        <v>7.9894443369245964</v>
      </c>
      <c r="G156">
        <f t="shared" si="2"/>
        <v>3.0134574969968924</v>
      </c>
      <c r="H156">
        <v>0.12710526929016649</v>
      </c>
    </row>
    <row r="157" spans="1:8" x14ac:dyDescent="0.35">
      <c r="A157" t="s">
        <v>74</v>
      </c>
      <c r="B157" t="s">
        <v>62</v>
      </c>
      <c r="C157" t="s">
        <v>40</v>
      </c>
      <c r="D157">
        <v>2022</v>
      </c>
      <c r="E157">
        <v>5.3816861962496354</v>
      </c>
      <c r="F157">
        <v>7.9894443369245964</v>
      </c>
      <c r="G157">
        <f t="shared" si="2"/>
        <v>2.607758140674961</v>
      </c>
      <c r="H157">
        <v>0.12710526929016649</v>
      </c>
    </row>
    <row r="158" spans="1:8" x14ac:dyDescent="0.35">
      <c r="A158" t="s">
        <v>74</v>
      </c>
      <c r="B158" t="s">
        <v>61</v>
      </c>
      <c r="C158" t="s">
        <v>38</v>
      </c>
      <c r="D158">
        <v>2023</v>
      </c>
      <c r="E158">
        <v>3.172255506856847</v>
      </c>
      <c r="F158">
        <v>-3.5205103013764418</v>
      </c>
      <c r="G158">
        <f t="shared" si="2"/>
        <v>-6.6927658082332888</v>
      </c>
      <c r="H158">
        <v>8.2843043821704931E-2</v>
      </c>
    </row>
    <row r="159" spans="1:8" x14ac:dyDescent="0.35">
      <c r="A159" t="s">
        <v>74</v>
      </c>
      <c r="B159" t="s">
        <v>63</v>
      </c>
      <c r="C159" t="s">
        <v>38</v>
      </c>
      <c r="D159">
        <v>2023</v>
      </c>
      <c r="E159">
        <v>-0.93495600507882415</v>
      </c>
      <c r="F159">
        <v>-3.5205103013764418</v>
      </c>
      <c r="G159">
        <f t="shared" si="2"/>
        <v>-2.5855542962976177</v>
      </c>
      <c r="H159">
        <v>8.2843043821704931E-2</v>
      </c>
    </row>
    <row r="160" spans="1:8" x14ac:dyDescent="0.35">
      <c r="A160" t="s">
        <v>74</v>
      </c>
      <c r="B160" t="s">
        <v>62</v>
      </c>
      <c r="C160" t="s">
        <v>40</v>
      </c>
      <c r="D160">
        <v>2023</v>
      </c>
      <c r="E160">
        <v>4.4348314017168322</v>
      </c>
      <c r="F160">
        <v>-3.5205103013764418</v>
      </c>
      <c r="G160">
        <f t="shared" si="2"/>
        <v>-7.955341703093274</v>
      </c>
      <c r="H160">
        <v>8.2843043821704931E-2</v>
      </c>
    </row>
    <row r="161" spans="1:8" x14ac:dyDescent="0.35">
      <c r="A161" t="s">
        <v>74</v>
      </c>
      <c r="B161" t="s">
        <v>64</v>
      </c>
      <c r="C161" t="s">
        <v>40</v>
      </c>
      <c r="D161">
        <v>2023</v>
      </c>
      <c r="E161">
        <v>5.5170730455133654</v>
      </c>
      <c r="F161">
        <v>-3.5205103013764418</v>
      </c>
      <c r="G161">
        <f t="shared" si="2"/>
        <v>-9.0375833468898072</v>
      </c>
      <c r="H161">
        <v>8.2843043821704931E-2</v>
      </c>
    </row>
    <row r="162" spans="1:8" x14ac:dyDescent="0.35">
      <c r="A162" t="s">
        <v>74</v>
      </c>
      <c r="B162" t="s">
        <v>63</v>
      </c>
      <c r="C162" t="s">
        <v>38</v>
      </c>
      <c r="D162">
        <v>2024</v>
      </c>
      <c r="E162">
        <v>3.0440640134462789</v>
      </c>
      <c r="F162">
        <v>3.6203795629134459</v>
      </c>
      <c r="G162">
        <f t="shared" si="2"/>
        <v>0.57631554946716701</v>
      </c>
      <c r="H162">
        <v>0.1177447291038284</v>
      </c>
    </row>
    <row r="163" spans="1:8" x14ac:dyDescent="0.35">
      <c r="A163" t="s">
        <v>74</v>
      </c>
      <c r="B163" t="s">
        <v>65</v>
      </c>
      <c r="C163" t="s">
        <v>38</v>
      </c>
      <c r="D163">
        <v>2024</v>
      </c>
      <c r="E163">
        <v>-0.54062635287741578</v>
      </c>
      <c r="F163">
        <v>3.6203795629134459</v>
      </c>
      <c r="G163">
        <f t="shared" si="2"/>
        <v>4.1610059157908612</v>
      </c>
      <c r="H163">
        <v>0.1177447291038284</v>
      </c>
    </row>
    <row r="164" spans="1:8" x14ac:dyDescent="0.35">
      <c r="A164" t="s">
        <v>74</v>
      </c>
      <c r="B164" t="s">
        <v>64</v>
      </c>
      <c r="C164" t="s">
        <v>40</v>
      </c>
      <c r="D164">
        <v>2024</v>
      </c>
      <c r="E164">
        <v>4.9679452562146009</v>
      </c>
      <c r="F164">
        <v>3.6203795629134459</v>
      </c>
      <c r="G164">
        <f t="shared" si="2"/>
        <v>-1.3475656933011551</v>
      </c>
      <c r="H164">
        <v>0.1177447291038284</v>
      </c>
    </row>
    <row r="165" spans="1:8" x14ac:dyDescent="0.35">
      <c r="A165" t="s">
        <v>74</v>
      </c>
      <c r="B165" t="s">
        <v>66</v>
      </c>
      <c r="C165" t="s">
        <v>40</v>
      </c>
      <c r="D165">
        <v>2024</v>
      </c>
      <c r="E165">
        <v>1.2437124663212009</v>
      </c>
      <c r="F165">
        <v>3.6203795629134459</v>
      </c>
      <c r="G165">
        <f t="shared" si="2"/>
        <v>2.3766670965922447</v>
      </c>
      <c r="H165">
        <v>0.1177447291038284</v>
      </c>
    </row>
    <row r="166" spans="1:8" x14ac:dyDescent="0.35">
      <c r="A166" t="s">
        <v>74</v>
      </c>
      <c r="B166" t="s">
        <v>65</v>
      </c>
      <c r="C166" t="s">
        <v>38</v>
      </c>
      <c r="D166">
        <v>2025</v>
      </c>
      <c r="E166">
        <v>4.023669914633099</v>
      </c>
      <c r="F166">
        <v>7.7791754385506806</v>
      </c>
      <c r="G166">
        <f t="shared" si="2"/>
        <v>3.7555055239175816</v>
      </c>
      <c r="H166">
        <v>0.1147657704770987</v>
      </c>
    </row>
    <row r="167" spans="1:8" x14ac:dyDescent="0.35">
      <c r="A167" t="s">
        <v>74</v>
      </c>
      <c r="B167" t="s">
        <v>71</v>
      </c>
      <c r="C167" t="s">
        <v>38</v>
      </c>
      <c r="D167">
        <v>2025</v>
      </c>
      <c r="E167">
        <v>10.65081995793598</v>
      </c>
      <c r="F167">
        <v>7.7791754385506806</v>
      </c>
      <c r="G167">
        <f t="shared" si="2"/>
        <v>-2.8716445193852991</v>
      </c>
      <c r="H167">
        <v>0.1147657704770987</v>
      </c>
    </row>
    <row r="168" spans="1:8" x14ac:dyDescent="0.35">
      <c r="A168" t="s">
        <v>74</v>
      </c>
      <c r="B168" t="s">
        <v>66</v>
      </c>
      <c r="C168" t="s">
        <v>40</v>
      </c>
      <c r="D168">
        <v>2025</v>
      </c>
      <c r="E168">
        <v>3.5927766013469591</v>
      </c>
      <c r="F168">
        <v>7.7791754385506806</v>
      </c>
      <c r="G168">
        <f t="shared" si="2"/>
        <v>4.186398837203722</v>
      </c>
      <c r="H168">
        <v>0.1147657704770987</v>
      </c>
    </row>
    <row r="169" spans="1:8" x14ac:dyDescent="0.35">
      <c r="A169" t="s">
        <v>74</v>
      </c>
      <c r="B169" t="s">
        <v>72</v>
      </c>
      <c r="C169" t="s">
        <v>40</v>
      </c>
      <c r="D169">
        <v>2025</v>
      </c>
      <c r="E169">
        <v>3.377198218825495</v>
      </c>
      <c r="F169">
        <v>7.7791754385506806</v>
      </c>
      <c r="G169">
        <f t="shared" si="2"/>
        <v>4.4019772197251861</v>
      </c>
      <c r="H169">
        <v>0.1147657704770987</v>
      </c>
    </row>
    <row r="170" spans="1:8" x14ac:dyDescent="0.35">
      <c r="A170" t="s">
        <v>75</v>
      </c>
      <c r="B170" t="s">
        <v>55</v>
      </c>
      <c r="C170" t="s">
        <v>38</v>
      </c>
      <c r="D170">
        <v>2020</v>
      </c>
      <c r="E170">
        <v>0.43236292909316631</v>
      </c>
      <c r="F170">
        <v>-9.3783767522421471</v>
      </c>
      <c r="G170">
        <f t="shared" si="2"/>
        <v>-9.8107396813353134</v>
      </c>
      <c r="H170">
        <v>0.10567749457490171</v>
      </c>
    </row>
    <row r="171" spans="1:8" x14ac:dyDescent="0.35">
      <c r="A171" t="s">
        <v>75</v>
      </c>
      <c r="B171" t="s">
        <v>57</v>
      </c>
      <c r="C171" t="s">
        <v>38</v>
      </c>
      <c r="D171">
        <v>2020</v>
      </c>
      <c r="E171">
        <v>-9.8515454699187543</v>
      </c>
      <c r="F171">
        <v>-9.3783767522421471</v>
      </c>
      <c r="G171">
        <f t="shared" si="2"/>
        <v>0.47316871767660729</v>
      </c>
      <c r="H171">
        <v>0.10567749457490171</v>
      </c>
    </row>
    <row r="172" spans="1:8" x14ac:dyDescent="0.35">
      <c r="A172" t="s">
        <v>75</v>
      </c>
      <c r="B172" t="s">
        <v>56</v>
      </c>
      <c r="C172" t="s">
        <v>40</v>
      </c>
      <c r="D172">
        <v>2020</v>
      </c>
      <c r="E172">
        <v>0.71178912334750599</v>
      </c>
      <c r="F172">
        <v>-9.3783767522421471</v>
      </c>
      <c r="G172">
        <f t="shared" si="2"/>
        <v>-10.090165875589653</v>
      </c>
      <c r="H172">
        <v>0.10567749457490171</v>
      </c>
    </row>
    <row r="173" spans="1:8" x14ac:dyDescent="0.35">
      <c r="A173" t="s">
        <v>75</v>
      </c>
      <c r="B173" t="s">
        <v>58</v>
      </c>
      <c r="C173" t="s">
        <v>40</v>
      </c>
      <c r="D173">
        <v>2020</v>
      </c>
      <c r="E173">
        <v>-9.517990850094149</v>
      </c>
      <c r="F173">
        <v>-9.3783767522421471</v>
      </c>
      <c r="G173">
        <f t="shared" si="2"/>
        <v>0.13961409785200196</v>
      </c>
      <c r="H173">
        <v>0.10567749457490171</v>
      </c>
    </row>
    <row r="174" spans="1:8" x14ac:dyDescent="0.35">
      <c r="A174" t="s">
        <v>75</v>
      </c>
      <c r="B174" t="s">
        <v>57</v>
      </c>
      <c r="C174" t="s">
        <v>38</v>
      </c>
      <c r="D174">
        <v>2021</v>
      </c>
      <c r="E174">
        <v>4.051033813756133</v>
      </c>
      <c r="F174">
        <v>8.4370671759064813</v>
      </c>
      <c r="G174">
        <f t="shared" si="2"/>
        <v>4.3860333621503482</v>
      </c>
      <c r="H174">
        <v>0.19431646820822901</v>
      </c>
    </row>
    <row r="175" spans="1:8" x14ac:dyDescent="0.35">
      <c r="A175" t="s">
        <v>75</v>
      </c>
      <c r="B175" t="s">
        <v>59</v>
      </c>
      <c r="C175" t="s">
        <v>38</v>
      </c>
      <c r="D175">
        <v>2021</v>
      </c>
      <c r="E175">
        <v>6.2292733128945343</v>
      </c>
      <c r="F175">
        <v>8.4370671759064813</v>
      </c>
      <c r="G175">
        <f t="shared" si="2"/>
        <v>2.2077938630119469</v>
      </c>
      <c r="H175">
        <v>0.19431646820822901</v>
      </c>
    </row>
    <row r="176" spans="1:8" x14ac:dyDescent="0.35">
      <c r="A176" t="s">
        <v>75</v>
      </c>
      <c r="B176" t="s">
        <v>58</v>
      </c>
      <c r="C176" t="s">
        <v>40</v>
      </c>
      <c r="D176">
        <v>2021</v>
      </c>
      <c r="E176">
        <v>6.5496569028856699</v>
      </c>
      <c r="F176">
        <v>8.4370671759064813</v>
      </c>
      <c r="G176">
        <f t="shared" si="2"/>
        <v>1.8874102730208113</v>
      </c>
      <c r="H176">
        <v>0.19431646820822901</v>
      </c>
    </row>
    <row r="177" spans="1:8" x14ac:dyDescent="0.35">
      <c r="A177" t="s">
        <v>75</v>
      </c>
      <c r="B177" t="s">
        <v>60</v>
      </c>
      <c r="C177" t="s">
        <v>40</v>
      </c>
      <c r="D177">
        <v>2021</v>
      </c>
      <c r="E177">
        <v>4.2068723885489323</v>
      </c>
      <c r="F177">
        <v>8.4370671759064813</v>
      </c>
      <c r="G177">
        <f t="shared" si="2"/>
        <v>4.2301947873575489</v>
      </c>
      <c r="H177">
        <v>0.19431646820822901</v>
      </c>
    </row>
    <row r="178" spans="1:8" x14ac:dyDescent="0.35">
      <c r="A178" t="s">
        <v>75</v>
      </c>
      <c r="B178" t="s">
        <v>59</v>
      </c>
      <c r="C178" t="s">
        <v>38</v>
      </c>
      <c r="D178">
        <v>2022</v>
      </c>
      <c r="E178">
        <v>4.2689191687874661</v>
      </c>
      <c r="F178">
        <v>4.8546134866977511</v>
      </c>
      <c r="G178">
        <f t="shared" si="2"/>
        <v>0.58569431791028492</v>
      </c>
      <c r="H178">
        <v>0.18202263906573379</v>
      </c>
    </row>
    <row r="179" spans="1:8" x14ac:dyDescent="0.35">
      <c r="A179" t="s">
        <v>75</v>
      </c>
      <c r="B179" t="s">
        <v>61</v>
      </c>
      <c r="C179" t="s">
        <v>38</v>
      </c>
      <c r="D179">
        <v>2022</v>
      </c>
      <c r="E179">
        <v>3.8268920279536989</v>
      </c>
      <c r="F179">
        <v>4.8546134866977511</v>
      </c>
      <c r="G179">
        <f t="shared" si="2"/>
        <v>1.0277214587440522</v>
      </c>
      <c r="H179">
        <v>0.18202263906573379</v>
      </c>
    </row>
    <row r="180" spans="1:8" x14ac:dyDescent="0.35">
      <c r="A180" t="s">
        <v>75</v>
      </c>
      <c r="B180" t="s">
        <v>60</v>
      </c>
      <c r="C180" t="s">
        <v>40</v>
      </c>
      <c r="D180">
        <v>2022</v>
      </c>
      <c r="E180">
        <v>4.3934586282645904</v>
      </c>
      <c r="F180">
        <v>4.8546134866977511</v>
      </c>
      <c r="G180">
        <f t="shared" si="2"/>
        <v>0.46115485843316062</v>
      </c>
      <c r="H180">
        <v>0.18202263906573379</v>
      </c>
    </row>
    <row r="181" spans="1:8" x14ac:dyDescent="0.35">
      <c r="A181" t="s">
        <v>75</v>
      </c>
      <c r="B181" t="s">
        <v>62</v>
      </c>
      <c r="C181" t="s">
        <v>40</v>
      </c>
      <c r="D181">
        <v>2022</v>
      </c>
      <c r="E181">
        <v>2.4256542804822261</v>
      </c>
      <c r="F181">
        <v>4.8546134866977511</v>
      </c>
      <c r="G181">
        <f t="shared" si="2"/>
        <v>2.428959206215525</v>
      </c>
      <c r="H181">
        <v>0.18202263906573379</v>
      </c>
    </row>
    <row r="182" spans="1:8" x14ac:dyDescent="0.35">
      <c r="A182" t="s">
        <v>75</v>
      </c>
      <c r="B182" t="s">
        <v>61</v>
      </c>
      <c r="C182" t="s">
        <v>38</v>
      </c>
      <c r="D182">
        <v>2023</v>
      </c>
      <c r="E182">
        <v>0.31473715860916851</v>
      </c>
      <c r="F182">
        <v>1.014274087639002</v>
      </c>
      <c r="G182">
        <f t="shared" si="2"/>
        <v>0.69953692902983344</v>
      </c>
      <c r="H182">
        <v>0.177052568927489</v>
      </c>
    </row>
    <row r="183" spans="1:8" x14ac:dyDescent="0.35">
      <c r="A183" t="s">
        <v>75</v>
      </c>
      <c r="B183" t="s">
        <v>63</v>
      </c>
      <c r="C183" t="s">
        <v>38</v>
      </c>
      <c r="D183">
        <v>2023</v>
      </c>
      <c r="E183">
        <v>0.69157318051265015</v>
      </c>
      <c r="F183">
        <v>1.014274087639002</v>
      </c>
      <c r="G183">
        <f t="shared" si="2"/>
        <v>0.3227009071263518</v>
      </c>
      <c r="H183">
        <v>0.177052568927489</v>
      </c>
    </row>
    <row r="184" spans="1:8" x14ac:dyDescent="0.35">
      <c r="A184" t="s">
        <v>75</v>
      </c>
      <c r="B184" t="s">
        <v>62</v>
      </c>
      <c r="C184" t="s">
        <v>40</v>
      </c>
      <c r="D184">
        <v>2023</v>
      </c>
      <c r="E184">
        <v>1.851291422718337</v>
      </c>
      <c r="F184">
        <v>1.014274087639002</v>
      </c>
      <c r="G184">
        <f t="shared" si="2"/>
        <v>-0.83701733507933507</v>
      </c>
      <c r="H184">
        <v>0.177052568927489</v>
      </c>
    </row>
    <row r="185" spans="1:8" x14ac:dyDescent="0.35">
      <c r="A185" t="s">
        <v>75</v>
      </c>
      <c r="B185" t="s">
        <v>64</v>
      </c>
      <c r="C185" t="s">
        <v>40</v>
      </c>
      <c r="D185">
        <v>2023</v>
      </c>
      <c r="E185">
        <v>1.206598132351089</v>
      </c>
      <c r="F185">
        <v>1.014274087639002</v>
      </c>
      <c r="G185">
        <f t="shared" si="2"/>
        <v>-0.19232404471208708</v>
      </c>
      <c r="H185">
        <v>0.177052568927489</v>
      </c>
    </row>
    <row r="186" spans="1:8" x14ac:dyDescent="0.35">
      <c r="A186" t="s">
        <v>75</v>
      </c>
      <c r="B186" t="s">
        <v>63</v>
      </c>
      <c r="C186" t="s">
        <v>38</v>
      </c>
      <c r="D186">
        <v>2024</v>
      </c>
      <c r="E186">
        <v>0.85219564942633497</v>
      </c>
      <c r="F186">
        <v>0.58463257989526929</v>
      </c>
      <c r="G186">
        <f t="shared" si="2"/>
        <v>-0.26756306953106568</v>
      </c>
      <c r="H186">
        <v>0.27455983249816451</v>
      </c>
    </row>
    <row r="187" spans="1:8" x14ac:dyDescent="0.35">
      <c r="A187" t="s">
        <v>75</v>
      </c>
      <c r="B187" t="s">
        <v>65</v>
      </c>
      <c r="C187" t="s">
        <v>38</v>
      </c>
      <c r="D187">
        <v>2024</v>
      </c>
      <c r="E187">
        <v>0.66875073104093463</v>
      </c>
      <c r="F187">
        <v>0.58463257989526929</v>
      </c>
      <c r="G187">
        <f t="shared" si="2"/>
        <v>-8.4118151145665343E-2</v>
      </c>
      <c r="H187">
        <v>0.27455983249816451</v>
      </c>
    </row>
    <row r="188" spans="1:8" x14ac:dyDescent="0.35">
      <c r="A188" t="s">
        <v>75</v>
      </c>
      <c r="B188" t="s">
        <v>64</v>
      </c>
      <c r="C188" t="s">
        <v>40</v>
      </c>
      <c r="D188">
        <v>2024</v>
      </c>
      <c r="E188">
        <v>1.088219792885559</v>
      </c>
      <c r="F188">
        <v>0.58463257989526929</v>
      </c>
      <c r="G188">
        <f t="shared" si="2"/>
        <v>-0.50358721299028975</v>
      </c>
      <c r="H188">
        <v>0.27455983249816451</v>
      </c>
    </row>
    <row r="189" spans="1:8" x14ac:dyDescent="0.35">
      <c r="A189" t="s">
        <v>75</v>
      </c>
      <c r="B189" t="s">
        <v>66</v>
      </c>
      <c r="C189" t="s">
        <v>40</v>
      </c>
      <c r="D189">
        <v>2024</v>
      </c>
      <c r="E189">
        <v>0.93648338218597083</v>
      </c>
      <c r="F189">
        <v>0.58463257989526929</v>
      </c>
      <c r="G189">
        <f t="shared" si="2"/>
        <v>-0.35185080229070154</v>
      </c>
      <c r="H189">
        <v>0.27455983249816451</v>
      </c>
    </row>
    <row r="190" spans="1:8" x14ac:dyDescent="0.35">
      <c r="A190" t="s">
        <v>75</v>
      </c>
      <c r="B190" t="s">
        <v>65</v>
      </c>
      <c r="C190" t="s">
        <v>38</v>
      </c>
      <c r="D190">
        <v>2025</v>
      </c>
      <c r="E190">
        <v>1.0376492446310339</v>
      </c>
      <c r="F190">
        <v>0.66135842759176278</v>
      </c>
      <c r="G190">
        <f t="shared" si="2"/>
        <v>-0.37629081703927114</v>
      </c>
      <c r="H190">
        <v>0.40820851895901789</v>
      </c>
    </row>
    <row r="191" spans="1:8" x14ac:dyDescent="0.35">
      <c r="A191" t="s">
        <v>75</v>
      </c>
      <c r="B191" t="s">
        <v>71</v>
      </c>
      <c r="C191" t="s">
        <v>38</v>
      </c>
      <c r="D191">
        <v>2025</v>
      </c>
      <c r="E191">
        <v>0.35981622121454843</v>
      </c>
      <c r="F191">
        <v>0.66135842759176278</v>
      </c>
      <c r="G191">
        <f t="shared" si="2"/>
        <v>0.30154220637721435</v>
      </c>
      <c r="H191">
        <v>0.40820851895901789</v>
      </c>
    </row>
    <row r="192" spans="1:8" x14ac:dyDescent="0.35">
      <c r="A192" t="s">
        <v>75</v>
      </c>
      <c r="B192" t="s">
        <v>66</v>
      </c>
      <c r="C192" t="s">
        <v>40</v>
      </c>
      <c r="D192">
        <v>2025</v>
      </c>
      <c r="E192">
        <v>1.0979449050216421</v>
      </c>
      <c r="F192">
        <v>0.66135842759176278</v>
      </c>
      <c r="G192">
        <f t="shared" si="2"/>
        <v>-0.43658647742987933</v>
      </c>
      <c r="H192">
        <v>0.40820851895901789</v>
      </c>
    </row>
    <row r="193" spans="1:8" x14ac:dyDescent="0.35">
      <c r="A193" t="s">
        <v>75</v>
      </c>
      <c r="B193" t="s">
        <v>72</v>
      </c>
      <c r="C193" t="s">
        <v>40</v>
      </c>
      <c r="D193">
        <v>2025</v>
      </c>
      <c r="E193">
        <v>0.66447930597219873</v>
      </c>
      <c r="F193">
        <v>0.66135842759176278</v>
      </c>
      <c r="G193">
        <f t="shared" si="2"/>
        <v>-3.1208783804359541E-3</v>
      </c>
      <c r="H193">
        <v>0.40820851895901789</v>
      </c>
    </row>
    <row r="194" spans="1:8" x14ac:dyDescent="0.35">
      <c r="A194" t="s">
        <v>76</v>
      </c>
      <c r="B194" t="s">
        <v>55</v>
      </c>
      <c r="C194" t="s">
        <v>38</v>
      </c>
      <c r="D194">
        <v>2020</v>
      </c>
      <c r="E194">
        <v>1.2831214058191649</v>
      </c>
      <c r="F194">
        <v>-3.9039509434828492</v>
      </c>
      <c r="G194">
        <f t="shared" ref="G194:G241" si="3">IF(OR(F194="",E194=""),"",F194-E194)</f>
        <v>-5.1870723493020137</v>
      </c>
      <c r="H194">
        <v>1.670735682705939</v>
      </c>
    </row>
    <row r="195" spans="1:8" x14ac:dyDescent="0.35">
      <c r="A195" t="s">
        <v>76</v>
      </c>
      <c r="B195" t="s">
        <v>57</v>
      </c>
      <c r="C195" t="s">
        <v>38</v>
      </c>
      <c r="D195">
        <v>2020</v>
      </c>
      <c r="E195">
        <v>-5.3222217587985954</v>
      </c>
      <c r="F195">
        <v>-3.9039509434828492</v>
      </c>
      <c r="G195">
        <f t="shared" si="3"/>
        <v>1.4182708153157462</v>
      </c>
      <c r="H195">
        <v>1.670735682705939</v>
      </c>
    </row>
    <row r="196" spans="1:8" x14ac:dyDescent="0.35">
      <c r="A196" t="s">
        <v>76</v>
      </c>
      <c r="B196" t="s">
        <v>56</v>
      </c>
      <c r="C196" t="s">
        <v>40</v>
      </c>
      <c r="D196">
        <v>2020</v>
      </c>
      <c r="E196">
        <v>1.619436814413677</v>
      </c>
      <c r="F196">
        <v>-3.9039509434828492</v>
      </c>
      <c r="G196">
        <f t="shared" si="3"/>
        <v>-5.5233877578965265</v>
      </c>
      <c r="H196">
        <v>1.670735682705939</v>
      </c>
    </row>
    <row r="197" spans="1:8" x14ac:dyDescent="0.35">
      <c r="A197" t="s">
        <v>76</v>
      </c>
      <c r="B197" t="s">
        <v>58</v>
      </c>
      <c r="C197" t="s">
        <v>40</v>
      </c>
      <c r="D197">
        <v>2020</v>
      </c>
      <c r="E197">
        <v>-6.8478963820636896</v>
      </c>
      <c r="F197">
        <v>-3.9039509434828492</v>
      </c>
      <c r="G197">
        <f t="shared" si="3"/>
        <v>2.9439454385808403</v>
      </c>
      <c r="H197">
        <v>1.670735682705939</v>
      </c>
    </row>
    <row r="198" spans="1:8" x14ac:dyDescent="0.35">
      <c r="A198" t="s">
        <v>76</v>
      </c>
      <c r="B198" t="s">
        <v>57</v>
      </c>
      <c r="C198" t="s">
        <v>38</v>
      </c>
      <c r="D198">
        <v>2021</v>
      </c>
      <c r="E198">
        <v>2.161323818880434</v>
      </c>
      <c r="F198">
        <v>6.0197643563294596</v>
      </c>
      <c r="G198">
        <f t="shared" si="3"/>
        <v>3.8584405374490256</v>
      </c>
      <c r="H198">
        <v>1.619800877878083</v>
      </c>
    </row>
    <row r="199" spans="1:8" x14ac:dyDescent="0.35">
      <c r="A199" t="s">
        <v>76</v>
      </c>
      <c r="B199" t="s">
        <v>59</v>
      </c>
      <c r="C199" t="s">
        <v>38</v>
      </c>
      <c r="D199">
        <v>2021</v>
      </c>
      <c r="E199">
        <v>3.9728248180522558</v>
      </c>
      <c r="F199">
        <v>6.0197643563294596</v>
      </c>
      <c r="G199">
        <f t="shared" si="3"/>
        <v>2.0469395382772038</v>
      </c>
      <c r="H199">
        <v>1.619800877878083</v>
      </c>
    </row>
    <row r="200" spans="1:8" x14ac:dyDescent="0.35">
      <c r="A200" t="s">
        <v>76</v>
      </c>
      <c r="B200" t="s">
        <v>58</v>
      </c>
      <c r="C200" t="s">
        <v>40</v>
      </c>
      <c r="D200">
        <v>2021</v>
      </c>
      <c r="E200">
        <v>4.963640025345617</v>
      </c>
      <c r="F200">
        <v>6.0197643563294596</v>
      </c>
      <c r="G200">
        <f t="shared" si="3"/>
        <v>1.0561243309838426</v>
      </c>
      <c r="H200">
        <v>1.619800877878083</v>
      </c>
    </row>
    <row r="201" spans="1:8" x14ac:dyDescent="0.35">
      <c r="A201" t="s">
        <v>76</v>
      </c>
      <c r="B201" t="s">
        <v>60</v>
      </c>
      <c r="C201" t="s">
        <v>40</v>
      </c>
      <c r="D201">
        <v>2021</v>
      </c>
      <c r="E201">
        <v>2.3382369164345769</v>
      </c>
      <c r="F201">
        <v>6.0197643563294596</v>
      </c>
      <c r="G201">
        <f t="shared" si="3"/>
        <v>3.6815274398948827</v>
      </c>
      <c r="H201">
        <v>1.619800877878083</v>
      </c>
    </row>
    <row r="202" spans="1:8" x14ac:dyDescent="0.35">
      <c r="A202" t="s">
        <v>76</v>
      </c>
      <c r="B202" t="s">
        <v>59</v>
      </c>
      <c r="C202" t="s">
        <v>38</v>
      </c>
      <c r="D202">
        <v>2022</v>
      </c>
      <c r="E202">
        <v>3.3489770835561039</v>
      </c>
      <c r="F202">
        <v>4.8892912104023152</v>
      </c>
      <c r="G202">
        <f t="shared" si="3"/>
        <v>1.5403141268462113</v>
      </c>
      <c r="H202">
        <v>1.8443544310864439</v>
      </c>
    </row>
    <row r="203" spans="1:8" x14ac:dyDescent="0.35">
      <c r="A203" t="s">
        <v>76</v>
      </c>
      <c r="B203" t="s">
        <v>61</v>
      </c>
      <c r="C203" t="s">
        <v>38</v>
      </c>
      <c r="D203">
        <v>2022</v>
      </c>
      <c r="E203">
        <v>4.6490196630740721</v>
      </c>
      <c r="F203">
        <v>4.8892912104023152</v>
      </c>
      <c r="G203">
        <f t="shared" si="3"/>
        <v>0.24027154732824307</v>
      </c>
      <c r="H203">
        <v>1.8443544310864439</v>
      </c>
    </row>
    <row r="204" spans="1:8" x14ac:dyDescent="0.35">
      <c r="A204" t="s">
        <v>76</v>
      </c>
      <c r="B204" t="s">
        <v>60</v>
      </c>
      <c r="C204" t="s">
        <v>40</v>
      </c>
      <c r="D204">
        <v>2022</v>
      </c>
      <c r="E204">
        <v>3.5790486712876879</v>
      </c>
      <c r="F204">
        <v>4.8892912104023152</v>
      </c>
      <c r="G204">
        <f t="shared" si="3"/>
        <v>1.3102425391146273</v>
      </c>
      <c r="H204">
        <v>1.8443544310864439</v>
      </c>
    </row>
    <row r="205" spans="1:8" x14ac:dyDescent="0.35">
      <c r="A205" t="s">
        <v>76</v>
      </c>
      <c r="B205" t="s">
        <v>62</v>
      </c>
      <c r="C205" t="s">
        <v>40</v>
      </c>
      <c r="D205">
        <v>2022</v>
      </c>
      <c r="E205">
        <v>3.271330674458595</v>
      </c>
      <c r="F205">
        <v>4.8892912104023152</v>
      </c>
      <c r="G205">
        <f t="shared" si="3"/>
        <v>1.6179605359437201</v>
      </c>
      <c r="H205">
        <v>1.8443544310864439</v>
      </c>
    </row>
    <row r="206" spans="1:8" x14ac:dyDescent="0.35">
      <c r="A206" t="s">
        <v>76</v>
      </c>
      <c r="B206" t="s">
        <v>61</v>
      </c>
      <c r="C206" t="s">
        <v>38</v>
      </c>
      <c r="D206">
        <v>2023</v>
      </c>
      <c r="E206">
        <v>0.64857323528075828</v>
      </c>
      <c r="F206">
        <v>-0.58469355622177965</v>
      </c>
      <c r="G206">
        <f t="shared" si="3"/>
        <v>-1.2332667915025379</v>
      </c>
      <c r="H206">
        <v>1.8588080393447699</v>
      </c>
    </row>
    <row r="207" spans="1:8" x14ac:dyDescent="0.35">
      <c r="A207" t="s">
        <v>76</v>
      </c>
      <c r="B207" t="s">
        <v>63</v>
      </c>
      <c r="C207" t="s">
        <v>38</v>
      </c>
      <c r="D207">
        <v>2023</v>
      </c>
      <c r="E207">
        <v>0.5799247285826814</v>
      </c>
      <c r="F207">
        <v>-0.58469355622177965</v>
      </c>
      <c r="G207">
        <f t="shared" si="3"/>
        <v>-1.1646182848044611</v>
      </c>
      <c r="H207">
        <v>1.8588080393447699</v>
      </c>
    </row>
    <row r="208" spans="1:8" x14ac:dyDescent="0.35">
      <c r="A208" t="s">
        <v>76</v>
      </c>
      <c r="B208" t="s">
        <v>62</v>
      </c>
      <c r="C208" t="s">
        <v>40</v>
      </c>
      <c r="D208">
        <v>2023</v>
      </c>
      <c r="E208">
        <v>1.5682500170195011</v>
      </c>
      <c r="F208">
        <v>-0.58469355622177965</v>
      </c>
      <c r="G208">
        <f t="shared" si="3"/>
        <v>-2.1529435732412807</v>
      </c>
      <c r="H208">
        <v>1.8588080393447699</v>
      </c>
    </row>
    <row r="209" spans="1:8" x14ac:dyDescent="0.35">
      <c r="A209" t="s">
        <v>76</v>
      </c>
      <c r="B209" t="s">
        <v>64</v>
      </c>
      <c r="C209" t="s">
        <v>40</v>
      </c>
      <c r="D209">
        <v>2023</v>
      </c>
      <c r="E209">
        <v>1.8009941751683021</v>
      </c>
      <c r="F209">
        <v>-0.58469355622177965</v>
      </c>
      <c r="G209">
        <f t="shared" si="3"/>
        <v>-2.3856877313900817</v>
      </c>
      <c r="H209">
        <v>1.8588080393447699</v>
      </c>
    </row>
    <row r="210" spans="1:8" x14ac:dyDescent="0.35">
      <c r="A210" t="s">
        <v>76</v>
      </c>
      <c r="B210" t="s">
        <v>63</v>
      </c>
      <c r="C210" t="s">
        <v>38</v>
      </c>
      <c r="D210">
        <v>2024</v>
      </c>
      <c r="E210">
        <v>1.090974188365412</v>
      </c>
      <c r="F210">
        <v>1.058640812818894</v>
      </c>
      <c r="G210">
        <f t="shared" si="3"/>
        <v>-3.2333375546518051E-2</v>
      </c>
      <c r="H210">
        <v>1.8225943435336369</v>
      </c>
    </row>
    <row r="211" spans="1:8" x14ac:dyDescent="0.35">
      <c r="A211" t="s">
        <v>76</v>
      </c>
      <c r="B211" t="s">
        <v>65</v>
      </c>
      <c r="C211" t="s">
        <v>38</v>
      </c>
      <c r="D211">
        <v>2024</v>
      </c>
      <c r="E211">
        <v>0.84134331866276835</v>
      </c>
      <c r="F211">
        <v>1.058640812818894</v>
      </c>
      <c r="G211">
        <f t="shared" si="3"/>
        <v>0.21729749415612565</v>
      </c>
      <c r="H211">
        <v>1.8225943435336369</v>
      </c>
    </row>
    <row r="212" spans="1:8" x14ac:dyDescent="0.35">
      <c r="A212" t="s">
        <v>76</v>
      </c>
      <c r="B212" t="s">
        <v>64</v>
      </c>
      <c r="C212" t="s">
        <v>40</v>
      </c>
      <c r="D212">
        <v>2024</v>
      </c>
      <c r="E212">
        <v>1.181076174566176</v>
      </c>
      <c r="F212">
        <v>1.058640812818894</v>
      </c>
      <c r="G212">
        <f t="shared" si="3"/>
        <v>-0.12243536174728198</v>
      </c>
      <c r="H212">
        <v>1.8225943435336369</v>
      </c>
    </row>
    <row r="213" spans="1:8" x14ac:dyDescent="0.35">
      <c r="A213" t="s">
        <v>76</v>
      </c>
      <c r="B213" t="s">
        <v>66</v>
      </c>
      <c r="C213" t="s">
        <v>40</v>
      </c>
      <c r="D213">
        <v>2024</v>
      </c>
      <c r="E213">
        <v>0.76042118074215459</v>
      </c>
      <c r="F213">
        <v>1.058640812818894</v>
      </c>
      <c r="G213">
        <f t="shared" si="3"/>
        <v>0.2982196320767394</v>
      </c>
      <c r="H213">
        <v>1.8225943435336369</v>
      </c>
    </row>
    <row r="214" spans="1:8" x14ac:dyDescent="0.35">
      <c r="A214" t="s">
        <v>76</v>
      </c>
      <c r="B214" t="s">
        <v>65</v>
      </c>
      <c r="C214" t="s">
        <v>38</v>
      </c>
      <c r="D214">
        <v>2025</v>
      </c>
      <c r="E214">
        <v>1.551316113361789</v>
      </c>
      <c r="F214">
        <v>1.5629801711020599</v>
      </c>
      <c r="G214">
        <f t="shared" si="3"/>
        <v>1.1664057740270906E-2</v>
      </c>
      <c r="H214">
        <v>2.036323027173855</v>
      </c>
    </row>
    <row r="215" spans="1:8" x14ac:dyDescent="0.35">
      <c r="A215" t="s">
        <v>76</v>
      </c>
      <c r="B215" t="s">
        <v>71</v>
      </c>
      <c r="C215" t="s">
        <v>38</v>
      </c>
      <c r="D215">
        <v>2025</v>
      </c>
      <c r="E215">
        <v>1.6966708374271939</v>
      </c>
      <c r="F215">
        <v>1.5629801711020599</v>
      </c>
      <c r="G215">
        <f t="shared" si="3"/>
        <v>-0.13369066632513404</v>
      </c>
      <c r="H215">
        <v>2.036323027173855</v>
      </c>
    </row>
    <row r="216" spans="1:8" x14ac:dyDescent="0.35">
      <c r="A216" t="s">
        <v>76</v>
      </c>
      <c r="B216" t="s">
        <v>66</v>
      </c>
      <c r="C216" t="s">
        <v>40</v>
      </c>
      <c r="D216">
        <v>2025</v>
      </c>
      <c r="E216">
        <v>1.4664182247055459</v>
      </c>
      <c r="F216">
        <v>1.5629801711020599</v>
      </c>
      <c r="G216">
        <f t="shared" si="3"/>
        <v>9.6561946396513942E-2</v>
      </c>
      <c r="H216">
        <v>2.036323027173855</v>
      </c>
    </row>
    <row r="217" spans="1:8" x14ac:dyDescent="0.35">
      <c r="A217" t="s">
        <v>76</v>
      </c>
      <c r="B217" t="s">
        <v>72</v>
      </c>
      <c r="C217" t="s">
        <v>40</v>
      </c>
      <c r="D217">
        <v>2025</v>
      </c>
      <c r="E217">
        <v>1.282511180567347</v>
      </c>
      <c r="F217">
        <v>1.5629801711020599</v>
      </c>
      <c r="G217">
        <f t="shared" si="3"/>
        <v>0.28046899053471286</v>
      </c>
      <c r="H217">
        <v>2.036323027173855</v>
      </c>
    </row>
    <row r="218" spans="1:8" x14ac:dyDescent="0.35">
      <c r="A218" t="s">
        <v>77</v>
      </c>
      <c r="B218" t="s">
        <v>55</v>
      </c>
      <c r="C218" t="s">
        <v>38</v>
      </c>
      <c r="D218">
        <v>2020</v>
      </c>
      <c r="E218">
        <v>1.699885517193356</v>
      </c>
      <c r="F218">
        <v>-8.5609032033360464</v>
      </c>
      <c r="G218">
        <f t="shared" si="3"/>
        <v>-10.260788720529403</v>
      </c>
      <c r="H218">
        <v>0.25858418693050872</v>
      </c>
    </row>
    <row r="219" spans="1:8" x14ac:dyDescent="0.35">
      <c r="A219" t="s">
        <v>77</v>
      </c>
      <c r="B219" t="s">
        <v>57</v>
      </c>
      <c r="C219" t="s">
        <v>38</v>
      </c>
      <c r="D219">
        <v>2020</v>
      </c>
      <c r="E219">
        <v>-9.2905567939445373</v>
      </c>
      <c r="F219">
        <v>-8.5609032033360464</v>
      </c>
      <c r="G219">
        <f t="shared" si="3"/>
        <v>0.72965359060849089</v>
      </c>
      <c r="H219">
        <v>0.25858418693050872</v>
      </c>
    </row>
    <row r="220" spans="1:8" x14ac:dyDescent="0.35">
      <c r="A220" t="s">
        <v>77</v>
      </c>
      <c r="B220" t="s">
        <v>56</v>
      </c>
      <c r="C220" t="s">
        <v>40</v>
      </c>
      <c r="D220">
        <v>2020</v>
      </c>
      <c r="E220">
        <v>1.7153996309464681</v>
      </c>
      <c r="F220">
        <v>-8.5609032033360464</v>
      </c>
      <c r="G220">
        <f t="shared" si="3"/>
        <v>-10.276302834282514</v>
      </c>
      <c r="H220">
        <v>0.25858418693050872</v>
      </c>
    </row>
    <row r="221" spans="1:8" x14ac:dyDescent="0.35">
      <c r="A221" t="s">
        <v>77</v>
      </c>
      <c r="B221" t="s">
        <v>58</v>
      </c>
      <c r="C221" t="s">
        <v>40</v>
      </c>
      <c r="D221">
        <v>2020</v>
      </c>
      <c r="E221">
        <v>-6.7651809613411107</v>
      </c>
      <c r="F221">
        <v>-8.5609032033360464</v>
      </c>
      <c r="G221">
        <f t="shared" si="3"/>
        <v>-1.7957222419949357</v>
      </c>
      <c r="H221">
        <v>0.25858418693050872</v>
      </c>
    </row>
    <row r="222" spans="1:8" x14ac:dyDescent="0.35">
      <c r="A222" t="s">
        <v>77</v>
      </c>
      <c r="B222" t="s">
        <v>57</v>
      </c>
      <c r="C222" t="s">
        <v>38</v>
      </c>
      <c r="D222">
        <v>2021</v>
      </c>
      <c r="E222">
        <v>5.3606609364002189</v>
      </c>
      <c r="F222">
        <v>5.4098373027499997</v>
      </c>
      <c r="G222">
        <f t="shared" si="3"/>
        <v>4.9176366349780842E-2</v>
      </c>
      <c r="H222">
        <v>0.42343876473384962</v>
      </c>
    </row>
    <row r="223" spans="1:8" x14ac:dyDescent="0.35">
      <c r="A223" t="s">
        <v>77</v>
      </c>
      <c r="B223" t="s">
        <v>59</v>
      </c>
      <c r="C223" t="s">
        <v>38</v>
      </c>
      <c r="D223">
        <v>2021</v>
      </c>
      <c r="E223">
        <v>4.5428064601391371</v>
      </c>
      <c r="F223">
        <v>5.4098373027499997</v>
      </c>
      <c r="G223">
        <f t="shared" si="3"/>
        <v>0.86703084261086261</v>
      </c>
      <c r="H223">
        <v>0.42343876473384962</v>
      </c>
    </row>
    <row r="224" spans="1:8" x14ac:dyDescent="0.35">
      <c r="A224" t="s">
        <v>77</v>
      </c>
      <c r="B224" t="s">
        <v>58</v>
      </c>
      <c r="C224" t="s">
        <v>40</v>
      </c>
      <c r="D224">
        <v>2021</v>
      </c>
      <c r="E224">
        <v>5.8179091621113344</v>
      </c>
      <c r="F224">
        <v>5.4098373027499997</v>
      </c>
      <c r="G224">
        <f t="shared" si="3"/>
        <v>-0.40807185936133461</v>
      </c>
      <c r="H224">
        <v>0.42343876473384962</v>
      </c>
    </row>
    <row r="225" spans="1:8" x14ac:dyDescent="0.35">
      <c r="A225" t="s">
        <v>77</v>
      </c>
      <c r="B225" t="s">
        <v>60</v>
      </c>
      <c r="C225" t="s">
        <v>40</v>
      </c>
      <c r="D225">
        <v>2021</v>
      </c>
      <c r="E225">
        <v>3.9441078773994498</v>
      </c>
      <c r="F225">
        <v>5.4098373027499997</v>
      </c>
      <c r="G225">
        <f t="shared" si="3"/>
        <v>1.46572942535055</v>
      </c>
      <c r="H225">
        <v>0.42343876473384962</v>
      </c>
    </row>
    <row r="226" spans="1:8" x14ac:dyDescent="0.35">
      <c r="A226" t="s">
        <v>77</v>
      </c>
      <c r="B226" t="s">
        <v>59</v>
      </c>
      <c r="C226" t="s">
        <v>38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0.42339525951042151</v>
      </c>
    </row>
    <row r="227" spans="1:8" x14ac:dyDescent="0.35">
      <c r="A227" t="s">
        <v>77</v>
      </c>
      <c r="B227" t="s">
        <v>61</v>
      </c>
      <c r="C227" t="s">
        <v>38</v>
      </c>
      <c r="D227">
        <v>2022</v>
      </c>
      <c r="E227">
        <v>6.5861251608809734</v>
      </c>
      <c r="F227">
        <v>6.7526124502433778</v>
      </c>
      <c r="G227">
        <f t="shared" si="3"/>
        <v>0.16648728936240431</v>
      </c>
      <c r="H227">
        <v>0.42339525951042151</v>
      </c>
    </row>
    <row r="228" spans="1:8" x14ac:dyDescent="0.35">
      <c r="A228" t="s">
        <v>77</v>
      </c>
      <c r="B228" t="s">
        <v>60</v>
      </c>
      <c r="C228" t="s">
        <v>40</v>
      </c>
      <c r="D228">
        <v>2022</v>
      </c>
      <c r="E228">
        <v>5.0988792351265078</v>
      </c>
      <c r="F228">
        <v>6.7526124502433778</v>
      </c>
      <c r="G228">
        <f t="shared" si="3"/>
        <v>1.65373321511687</v>
      </c>
      <c r="H228">
        <v>0.42339525951042151</v>
      </c>
    </row>
    <row r="229" spans="1:8" x14ac:dyDescent="0.35">
      <c r="A229" t="s">
        <v>77</v>
      </c>
      <c r="B229" t="s">
        <v>62</v>
      </c>
      <c r="C229" t="s">
        <v>40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0.42339525951042151</v>
      </c>
    </row>
    <row r="230" spans="1:8" x14ac:dyDescent="0.35">
      <c r="A230" t="s">
        <v>77</v>
      </c>
      <c r="B230" t="s">
        <v>61</v>
      </c>
      <c r="C230" t="s">
        <v>38</v>
      </c>
      <c r="D230">
        <v>2023</v>
      </c>
      <c r="E230">
        <v>0.71696140778811923</v>
      </c>
      <c r="F230">
        <v>3.0529202104847739</v>
      </c>
      <c r="G230">
        <f t="shared" si="3"/>
        <v>2.3359588026966547</v>
      </c>
      <c r="H230">
        <v>0.2332189462001916</v>
      </c>
    </row>
    <row r="231" spans="1:8" x14ac:dyDescent="0.35">
      <c r="A231" t="s">
        <v>77</v>
      </c>
      <c r="B231" t="s">
        <v>63</v>
      </c>
      <c r="C231" t="s">
        <v>38</v>
      </c>
      <c r="D231">
        <v>2023</v>
      </c>
      <c r="E231">
        <v>2.226883105497079</v>
      </c>
      <c r="F231">
        <v>3.0529202104847739</v>
      </c>
      <c r="G231">
        <f t="shared" si="3"/>
        <v>0.82603710498769489</v>
      </c>
      <c r="H231">
        <v>0.2332189462001916</v>
      </c>
    </row>
    <row r="232" spans="1:8" x14ac:dyDescent="0.35">
      <c r="A232" t="s">
        <v>77</v>
      </c>
      <c r="B232" t="s">
        <v>62</v>
      </c>
      <c r="C232" t="s">
        <v>40</v>
      </c>
      <c r="D232">
        <v>2023</v>
      </c>
      <c r="E232">
        <v>2.6604918870074319</v>
      </c>
      <c r="F232">
        <v>3.0529202104847739</v>
      </c>
      <c r="G232">
        <f t="shared" si="3"/>
        <v>0.39242832347734202</v>
      </c>
      <c r="H232">
        <v>0.2332189462001916</v>
      </c>
    </row>
    <row r="233" spans="1:8" x14ac:dyDescent="0.35">
      <c r="A233" t="s">
        <v>77</v>
      </c>
      <c r="B233" t="s">
        <v>64</v>
      </c>
      <c r="C233" t="s">
        <v>40</v>
      </c>
      <c r="D233">
        <v>2023</v>
      </c>
      <c r="E233">
        <v>2.4387614512581202</v>
      </c>
      <c r="F233">
        <v>3.0529202104847739</v>
      </c>
      <c r="G233">
        <f t="shared" si="3"/>
        <v>0.61415875922665375</v>
      </c>
      <c r="H233">
        <v>0.2332189462001916</v>
      </c>
    </row>
    <row r="234" spans="1:8" x14ac:dyDescent="0.35">
      <c r="A234" t="s">
        <v>77</v>
      </c>
      <c r="B234" t="s">
        <v>63</v>
      </c>
      <c r="C234" t="s">
        <v>38</v>
      </c>
      <c r="D234">
        <v>2024</v>
      </c>
      <c r="E234">
        <v>1.3133477904788251</v>
      </c>
      <c r="F234">
        <v>2.1904072780361381</v>
      </c>
      <c r="G234">
        <f t="shared" si="3"/>
        <v>0.877059487557313</v>
      </c>
      <c r="H234">
        <v>0.30099524076358469</v>
      </c>
    </row>
    <row r="235" spans="1:8" x14ac:dyDescent="0.35">
      <c r="A235" t="s">
        <v>77</v>
      </c>
      <c r="B235" t="s">
        <v>65</v>
      </c>
      <c r="C235" t="s">
        <v>38</v>
      </c>
      <c r="D235">
        <v>2024</v>
      </c>
      <c r="E235">
        <v>1.6514732694230541</v>
      </c>
      <c r="F235">
        <v>2.1904072780361381</v>
      </c>
      <c r="G235">
        <f t="shared" si="3"/>
        <v>0.53893400861308405</v>
      </c>
      <c r="H235">
        <v>0.30099524076358469</v>
      </c>
    </row>
    <row r="236" spans="1:8" x14ac:dyDescent="0.35">
      <c r="A236" t="s">
        <v>77</v>
      </c>
      <c r="B236" t="s">
        <v>64</v>
      </c>
      <c r="C236" t="s">
        <v>40</v>
      </c>
      <c r="D236">
        <v>2024</v>
      </c>
      <c r="E236">
        <v>1.7569161258840891</v>
      </c>
      <c r="F236">
        <v>2.1904072780361381</v>
      </c>
      <c r="G236">
        <f t="shared" si="3"/>
        <v>0.43349115215204903</v>
      </c>
      <c r="H236">
        <v>0.30099524076358469</v>
      </c>
    </row>
    <row r="237" spans="1:8" x14ac:dyDescent="0.35">
      <c r="A237" t="s">
        <v>77</v>
      </c>
      <c r="B237" t="s">
        <v>66</v>
      </c>
      <c r="C237" t="s">
        <v>40</v>
      </c>
      <c r="D237">
        <v>2024</v>
      </c>
      <c r="E237">
        <v>1.734179743438991</v>
      </c>
      <c r="F237">
        <v>2.1904072780361381</v>
      </c>
      <c r="G237">
        <f t="shared" si="3"/>
        <v>0.45622753459714716</v>
      </c>
      <c r="H237">
        <v>0.30099524076358469</v>
      </c>
    </row>
    <row r="238" spans="1:8" x14ac:dyDescent="0.35">
      <c r="A238" t="s">
        <v>77</v>
      </c>
      <c r="B238" t="s">
        <v>65</v>
      </c>
      <c r="C238" t="s">
        <v>38</v>
      </c>
      <c r="D238">
        <v>2025</v>
      </c>
      <c r="E238">
        <v>1.851074416505627</v>
      </c>
      <c r="F238">
        <v>1.8442000090405599</v>
      </c>
      <c r="G238">
        <f t="shared" si="3"/>
        <v>-6.8744074650670672E-3</v>
      </c>
      <c r="H238">
        <v>0.1926127574837464</v>
      </c>
    </row>
    <row r="239" spans="1:8" x14ac:dyDescent="0.35">
      <c r="A239" t="s">
        <v>77</v>
      </c>
      <c r="B239" t="s">
        <v>71</v>
      </c>
      <c r="C239" t="s">
        <v>38</v>
      </c>
      <c r="D239">
        <v>2025</v>
      </c>
      <c r="E239">
        <v>1.898720252436026</v>
      </c>
      <c r="F239">
        <v>1.8442000090405599</v>
      </c>
      <c r="G239">
        <f t="shared" si="3"/>
        <v>-5.4520243395466128E-2</v>
      </c>
      <c r="H239">
        <v>0.1926127574837464</v>
      </c>
    </row>
    <row r="240" spans="1:8" x14ac:dyDescent="0.35">
      <c r="A240" t="s">
        <v>77</v>
      </c>
      <c r="B240" t="s">
        <v>66</v>
      </c>
      <c r="C240" t="s">
        <v>40</v>
      </c>
      <c r="D240">
        <v>2025</v>
      </c>
      <c r="E240">
        <v>1.87529344869708</v>
      </c>
      <c r="F240">
        <v>1.8442000090405599</v>
      </c>
      <c r="G240">
        <f t="shared" si="3"/>
        <v>-3.1093439656520117E-2</v>
      </c>
      <c r="H240">
        <v>0.1926127574837464</v>
      </c>
    </row>
    <row r="241" spans="1:8" x14ac:dyDescent="0.35">
      <c r="A241" t="s">
        <v>77</v>
      </c>
      <c r="B241" t="s">
        <v>72</v>
      </c>
      <c r="C241" t="s">
        <v>40</v>
      </c>
      <c r="D241">
        <v>2025</v>
      </c>
      <c r="E241">
        <v>1.7505876843593839</v>
      </c>
      <c r="F241">
        <v>1.8442000090405599</v>
      </c>
      <c r="G241">
        <f t="shared" si="3"/>
        <v>9.3612324681175973E-2</v>
      </c>
      <c r="H241">
        <v>0.1926127574837464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H201"/>
  <sheetViews>
    <sheetView workbookViewId="0"/>
  </sheetViews>
  <sheetFormatPr defaultRowHeight="14.5" x14ac:dyDescent="0.35"/>
  <cols>
    <col min="1" max="8" width="18" customWidth="1"/>
  </cols>
  <sheetData>
    <row r="1" spans="1:8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8</v>
      </c>
    </row>
    <row r="2" spans="1:8" x14ac:dyDescent="0.35">
      <c r="A2" t="s">
        <v>36</v>
      </c>
      <c r="B2" t="s">
        <v>45</v>
      </c>
      <c r="C2" t="s">
        <v>38</v>
      </c>
      <c r="D2">
        <v>2015</v>
      </c>
      <c r="E2">
        <v>1.23399360343428</v>
      </c>
      <c r="F2">
        <v>1.2553290281528069</v>
      </c>
      <c r="G2">
        <f t="shared" ref="G2:G33" si="0">IF(OR(F2="",E2=""),"",F2-E2)</f>
        <v>2.1335424718526896E-2</v>
      </c>
      <c r="H2">
        <v>7.6773113441487876E-3</v>
      </c>
    </row>
    <row r="3" spans="1:8" x14ac:dyDescent="0.35">
      <c r="A3" t="s">
        <v>36</v>
      </c>
      <c r="B3" t="s">
        <v>47</v>
      </c>
      <c r="C3" t="s">
        <v>38</v>
      </c>
      <c r="D3">
        <v>2015</v>
      </c>
      <c r="E3">
        <v>0.59754498836805947</v>
      </c>
      <c r="F3">
        <v>1.2553290281528069</v>
      </c>
      <c r="G3">
        <f t="shared" si="0"/>
        <v>0.65778403978474742</v>
      </c>
      <c r="H3">
        <v>7.6773113441487876E-3</v>
      </c>
    </row>
    <row r="4" spans="1:8" x14ac:dyDescent="0.35">
      <c r="A4" t="s">
        <v>36</v>
      </c>
      <c r="B4" t="s">
        <v>46</v>
      </c>
      <c r="C4" t="s">
        <v>40</v>
      </c>
      <c r="D4">
        <v>2015</v>
      </c>
      <c r="E4">
        <v>1.8494694742448909</v>
      </c>
      <c r="F4">
        <v>1.2553290281528069</v>
      </c>
      <c r="G4">
        <f t="shared" si="0"/>
        <v>-0.59414044609208405</v>
      </c>
      <c r="H4">
        <v>7.6773113441487876E-3</v>
      </c>
    </row>
    <row r="5" spans="1:8" x14ac:dyDescent="0.35">
      <c r="A5" t="s">
        <v>36</v>
      </c>
      <c r="B5" t="s">
        <v>48</v>
      </c>
      <c r="C5" t="s">
        <v>40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7.6773113441487876E-3</v>
      </c>
    </row>
    <row r="6" spans="1:8" x14ac:dyDescent="0.35">
      <c r="A6" t="s">
        <v>36</v>
      </c>
      <c r="B6" t="s">
        <v>47</v>
      </c>
      <c r="C6" t="s">
        <v>38</v>
      </c>
      <c r="D6">
        <v>2016</v>
      </c>
      <c r="E6">
        <v>1.4571009650163671</v>
      </c>
      <c r="F6">
        <v>2.1495386728737769</v>
      </c>
      <c r="G6">
        <f t="shared" si="0"/>
        <v>0.69243770785740977</v>
      </c>
      <c r="H6">
        <v>5.3022968855759911E-2</v>
      </c>
    </row>
    <row r="7" spans="1:8" x14ac:dyDescent="0.35">
      <c r="A7" t="s">
        <v>36</v>
      </c>
      <c r="B7" t="s">
        <v>49</v>
      </c>
      <c r="C7" t="s">
        <v>38</v>
      </c>
      <c r="D7">
        <v>2016</v>
      </c>
      <c r="E7">
        <v>1.493056987075114</v>
      </c>
      <c r="F7">
        <v>2.1495386728737769</v>
      </c>
      <c r="G7">
        <f t="shared" si="0"/>
        <v>0.65648168579866284</v>
      </c>
      <c r="H7">
        <v>5.3022968855759911E-2</v>
      </c>
    </row>
    <row r="8" spans="1:8" x14ac:dyDescent="0.35">
      <c r="A8" t="s">
        <v>36</v>
      </c>
      <c r="B8" t="s">
        <v>48</v>
      </c>
      <c r="C8" t="s">
        <v>40</v>
      </c>
      <c r="D8">
        <v>2016</v>
      </c>
      <c r="E8">
        <v>1.4528661212303451</v>
      </c>
      <c r="F8">
        <v>2.1495386728737769</v>
      </c>
      <c r="G8">
        <f t="shared" si="0"/>
        <v>0.69667255164343178</v>
      </c>
      <c r="H8">
        <v>5.3022968855759911E-2</v>
      </c>
    </row>
    <row r="9" spans="1:8" x14ac:dyDescent="0.35">
      <c r="A9" t="s">
        <v>36</v>
      </c>
      <c r="B9" t="s">
        <v>50</v>
      </c>
      <c r="C9" t="s">
        <v>40</v>
      </c>
      <c r="D9">
        <v>2016</v>
      </c>
      <c r="E9">
        <v>1.4756673621598939</v>
      </c>
      <c r="F9">
        <v>2.1495386728737769</v>
      </c>
      <c r="G9">
        <f t="shared" si="0"/>
        <v>0.67387131071388295</v>
      </c>
      <c r="H9">
        <v>5.3022968855759911E-2</v>
      </c>
    </row>
    <row r="10" spans="1:8" x14ac:dyDescent="0.35">
      <c r="A10" t="s">
        <v>36</v>
      </c>
      <c r="B10" t="s">
        <v>49</v>
      </c>
      <c r="C10" t="s">
        <v>38</v>
      </c>
      <c r="D10">
        <v>2017</v>
      </c>
      <c r="E10">
        <v>1.5818491497620271</v>
      </c>
      <c r="F10">
        <v>2.3680132788277781</v>
      </c>
      <c r="G10">
        <f t="shared" si="0"/>
        <v>0.78616412906575106</v>
      </c>
      <c r="H10">
        <v>5.9589469522748573E-2</v>
      </c>
    </row>
    <row r="11" spans="1:8" x14ac:dyDescent="0.35">
      <c r="A11" t="s">
        <v>36</v>
      </c>
      <c r="B11" t="s">
        <v>51</v>
      </c>
      <c r="C11" t="s">
        <v>38</v>
      </c>
      <c r="D11">
        <v>2017</v>
      </c>
      <c r="E11">
        <v>2.5716586567718469</v>
      </c>
      <c r="F11">
        <v>2.3680132788277781</v>
      </c>
      <c r="G11">
        <f t="shared" si="0"/>
        <v>-0.20364537794406878</v>
      </c>
      <c r="H11">
        <v>5.9589469522748573E-2</v>
      </c>
    </row>
    <row r="12" spans="1:8" x14ac:dyDescent="0.35">
      <c r="A12" t="s">
        <v>36</v>
      </c>
      <c r="B12" t="s">
        <v>50</v>
      </c>
      <c r="C12" t="s">
        <v>40</v>
      </c>
      <c r="D12">
        <v>2017</v>
      </c>
      <c r="E12">
        <v>1.626978361111475</v>
      </c>
      <c r="F12">
        <v>2.3680132788277781</v>
      </c>
      <c r="G12">
        <f t="shared" si="0"/>
        <v>0.74103491771630314</v>
      </c>
      <c r="H12">
        <v>5.9589469522748573E-2</v>
      </c>
    </row>
    <row r="13" spans="1:8" x14ac:dyDescent="0.35">
      <c r="A13" t="s">
        <v>36</v>
      </c>
      <c r="B13" t="s">
        <v>52</v>
      </c>
      <c r="C13" t="s">
        <v>40</v>
      </c>
      <c r="D13">
        <v>2017</v>
      </c>
      <c r="E13">
        <v>1.728692467241477</v>
      </c>
      <c r="F13">
        <v>2.3680132788277781</v>
      </c>
      <c r="G13">
        <f t="shared" si="0"/>
        <v>0.63932081158630116</v>
      </c>
      <c r="H13">
        <v>5.9589469522748573E-2</v>
      </c>
    </row>
    <row r="14" spans="1:8" x14ac:dyDescent="0.35">
      <c r="A14" t="s">
        <v>36</v>
      </c>
      <c r="B14" t="s">
        <v>51</v>
      </c>
      <c r="C14" t="s">
        <v>38</v>
      </c>
      <c r="D14">
        <v>2018</v>
      </c>
      <c r="E14">
        <v>2.3931358040782502</v>
      </c>
      <c r="F14">
        <v>2.3622453086648898</v>
      </c>
      <c r="G14">
        <f t="shared" si="0"/>
        <v>-3.0890495413360419E-2</v>
      </c>
      <c r="H14">
        <v>9.6177469626261142E-2</v>
      </c>
    </row>
    <row r="15" spans="1:8" x14ac:dyDescent="0.35">
      <c r="A15" t="s">
        <v>36</v>
      </c>
      <c r="B15" t="s">
        <v>53</v>
      </c>
      <c r="C15" t="s">
        <v>38</v>
      </c>
      <c r="D15">
        <v>2018</v>
      </c>
      <c r="E15">
        <v>2.740700342709967</v>
      </c>
      <c r="F15">
        <v>2.3622453086648898</v>
      </c>
      <c r="G15">
        <f t="shared" si="0"/>
        <v>-0.37845503404507719</v>
      </c>
      <c r="H15">
        <v>9.6177469626261142E-2</v>
      </c>
    </row>
    <row r="16" spans="1:8" x14ac:dyDescent="0.35">
      <c r="A16" t="s">
        <v>36</v>
      </c>
      <c r="B16" t="s">
        <v>52</v>
      </c>
      <c r="C16" t="s">
        <v>40</v>
      </c>
      <c r="D16">
        <v>2018</v>
      </c>
      <c r="E16">
        <v>1.65788346393998</v>
      </c>
      <c r="F16">
        <v>2.3622453086648898</v>
      </c>
      <c r="G16">
        <f t="shared" si="0"/>
        <v>0.70436184472490981</v>
      </c>
      <c r="H16">
        <v>9.6177469626261142E-2</v>
      </c>
    </row>
    <row r="17" spans="1:8" x14ac:dyDescent="0.35">
      <c r="A17" t="s">
        <v>36</v>
      </c>
      <c r="B17" t="s">
        <v>54</v>
      </c>
      <c r="C17" t="s">
        <v>40</v>
      </c>
      <c r="D17">
        <v>2018</v>
      </c>
      <c r="E17">
        <v>2.8029630500962628</v>
      </c>
      <c r="F17">
        <v>2.3622453086648898</v>
      </c>
      <c r="G17">
        <f t="shared" si="0"/>
        <v>-0.44071774143137299</v>
      </c>
      <c r="H17">
        <v>9.6177469626261142E-2</v>
      </c>
    </row>
    <row r="18" spans="1:8" x14ac:dyDescent="0.35">
      <c r="A18" t="s">
        <v>36</v>
      </c>
      <c r="B18" t="s">
        <v>53</v>
      </c>
      <c r="C18" t="s">
        <v>38</v>
      </c>
      <c r="D18">
        <v>2019</v>
      </c>
      <c r="E18">
        <v>1.956993039697497</v>
      </c>
      <c r="F18">
        <v>1.6857084827373969</v>
      </c>
      <c r="G18">
        <f t="shared" si="0"/>
        <v>-0.27128455696010012</v>
      </c>
      <c r="H18">
        <v>0.1056000115914431</v>
      </c>
    </row>
    <row r="19" spans="1:8" x14ac:dyDescent="0.35">
      <c r="A19" t="s">
        <v>36</v>
      </c>
      <c r="B19" t="s">
        <v>55</v>
      </c>
      <c r="C19" t="s">
        <v>38</v>
      </c>
      <c r="D19">
        <v>2019</v>
      </c>
      <c r="E19">
        <v>1.548243112232184</v>
      </c>
      <c r="F19">
        <v>1.6857084827373969</v>
      </c>
      <c r="G19">
        <f t="shared" si="0"/>
        <v>0.1374653705052129</v>
      </c>
      <c r="H19">
        <v>0.1056000115914431</v>
      </c>
    </row>
    <row r="20" spans="1:8" x14ac:dyDescent="0.35">
      <c r="A20" t="s">
        <v>36</v>
      </c>
      <c r="B20" t="s">
        <v>54</v>
      </c>
      <c r="C20" t="s">
        <v>40</v>
      </c>
      <c r="D20">
        <v>2019</v>
      </c>
      <c r="E20">
        <v>2.158686474515914</v>
      </c>
      <c r="F20">
        <v>1.6857084827373969</v>
      </c>
      <c r="G20">
        <f t="shared" si="0"/>
        <v>-0.47297799177851707</v>
      </c>
      <c r="H20">
        <v>0.1056000115914431</v>
      </c>
    </row>
    <row r="21" spans="1:8" x14ac:dyDescent="0.35">
      <c r="A21" t="s">
        <v>36</v>
      </c>
      <c r="B21" t="s">
        <v>56</v>
      </c>
      <c r="C21" t="s">
        <v>40</v>
      </c>
      <c r="D21">
        <v>2019</v>
      </c>
      <c r="E21">
        <v>1.5232710630633359</v>
      </c>
      <c r="F21">
        <v>1.6857084827373969</v>
      </c>
      <c r="G21">
        <f t="shared" si="0"/>
        <v>0.162437419674061</v>
      </c>
      <c r="H21">
        <v>0.1056000115914431</v>
      </c>
    </row>
    <row r="22" spans="1:8" x14ac:dyDescent="0.35">
      <c r="A22" t="s">
        <v>67</v>
      </c>
      <c r="B22" t="s">
        <v>45</v>
      </c>
      <c r="C22" t="s">
        <v>38</v>
      </c>
      <c r="D22">
        <v>2015</v>
      </c>
      <c r="E22">
        <v>0.86159735965183337</v>
      </c>
      <c r="F22">
        <v>1.4634410714791239</v>
      </c>
      <c r="G22">
        <f t="shared" si="0"/>
        <v>0.60184371182729057</v>
      </c>
      <c r="H22">
        <v>0.48977750567916351</v>
      </c>
    </row>
    <row r="23" spans="1:8" x14ac:dyDescent="0.35">
      <c r="A23" t="s">
        <v>67</v>
      </c>
      <c r="B23" t="s">
        <v>47</v>
      </c>
      <c r="C23" t="s">
        <v>38</v>
      </c>
      <c r="D23">
        <v>2015</v>
      </c>
      <c r="E23">
        <v>1.262482967982592</v>
      </c>
      <c r="F23">
        <v>1.4634410714791239</v>
      </c>
      <c r="G23">
        <f t="shared" si="0"/>
        <v>0.20095810349653198</v>
      </c>
      <c r="H23">
        <v>0.48977750567916351</v>
      </c>
    </row>
    <row r="24" spans="1:8" x14ac:dyDescent="0.35">
      <c r="A24" t="s">
        <v>67</v>
      </c>
      <c r="B24" t="s">
        <v>46</v>
      </c>
      <c r="C24" t="s">
        <v>40</v>
      </c>
      <c r="D24">
        <v>2015</v>
      </c>
      <c r="E24">
        <v>1.5593135161243941</v>
      </c>
      <c r="F24">
        <v>1.4634410714791239</v>
      </c>
      <c r="G24">
        <f t="shared" si="0"/>
        <v>-9.5872444645270116E-2</v>
      </c>
      <c r="H24">
        <v>0.48977750567916351</v>
      </c>
    </row>
    <row r="25" spans="1:8" x14ac:dyDescent="0.35">
      <c r="A25" t="s">
        <v>67</v>
      </c>
      <c r="B25" t="s">
        <v>48</v>
      </c>
      <c r="C25" t="s">
        <v>40</v>
      </c>
      <c r="D25">
        <v>2015</v>
      </c>
      <c r="E25">
        <v>1.08741840250608</v>
      </c>
      <c r="F25">
        <v>1.4634410714791239</v>
      </c>
      <c r="G25">
        <f t="shared" si="0"/>
        <v>0.37602266897304393</v>
      </c>
      <c r="H25">
        <v>0.48977750567916351</v>
      </c>
    </row>
    <row r="26" spans="1:8" x14ac:dyDescent="0.35">
      <c r="A26" t="s">
        <v>67</v>
      </c>
      <c r="B26" t="s">
        <v>47</v>
      </c>
      <c r="C26" t="s">
        <v>38</v>
      </c>
      <c r="D26">
        <v>2016</v>
      </c>
      <c r="E26">
        <v>1.305005005659998</v>
      </c>
      <c r="F26">
        <v>1.1863946679844091</v>
      </c>
      <c r="G26">
        <f t="shared" si="0"/>
        <v>-0.11861033767558893</v>
      </c>
      <c r="H26">
        <v>0.1513774400939549</v>
      </c>
    </row>
    <row r="27" spans="1:8" x14ac:dyDescent="0.35">
      <c r="A27" t="s">
        <v>67</v>
      </c>
      <c r="B27" t="s">
        <v>49</v>
      </c>
      <c r="C27" t="s">
        <v>38</v>
      </c>
      <c r="D27">
        <v>2016</v>
      </c>
      <c r="E27">
        <v>1.233699257987553</v>
      </c>
      <c r="F27">
        <v>1.1863946679844091</v>
      </c>
      <c r="G27">
        <f t="shared" si="0"/>
        <v>-4.7304590003143909E-2</v>
      </c>
      <c r="H27">
        <v>0.1513774400939549</v>
      </c>
    </row>
    <row r="28" spans="1:8" x14ac:dyDescent="0.35">
      <c r="A28" t="s">
        <v>67</v>
      </c>
      <c r="B28" t="s">
        <v>48</v>
      </c>
      <c r="C28" t="s">
        <v>40</v>
      </c>
      <c r="D28">
        <v>2016</v>
      </c>
      <c r="E28">
        <v>1.466822845081617</v>
      </c>
      <c r="F28">
        <v>1.1863946679844091</v>
      </c>
      <c r="G28">
        <f t="shared" si="0"/>
        <v>-0.28042817709720791</v>
      </c>
      <c r="H28">
        <v>0.1513774400939549</v>
      </c>
    </row>
    <row r="29" spans="1:8" x14ac:dyDescent="0.35">
      <c r="A29" t="s">
        <v>67</v>
      </c>
      <c r="B29" t="s">
        <v>50</v>
      </c>
      <c r="C29" t="s">
        <v>40</v>
      </c>
      <c r="D29">
        <v>2016</v>
      </c>
      <c r="E29">
        <v>1.197250966203911</v>
      </c>
      <c r="F29">
        <v>1.1863946679844091</v>
      </c>
      <c r="G29">
        <f t="shared" si="0"/>
        <v>-1.0856298219501959E-2</v>
      </c>
      <c r="H29">
        <v>0.1513774400939549</v>
      </c>
    </row>
    <row r="30" spans="1:8" x14ac:dyDescent="0.35">
      <c r="A30" t="s">
        <v>67</v>
      </c>
      <c r="B30" t="s">
        <v>49</v>
      </c>
      <c r="C30" t="s">
        <v>38</v>
      </c>
      <c r="D30">
        <v>2017</v>
      </c>
      <c r="E30">
        <v>1.3129307877172809</v>
      </c>
      <c r="F30">
        <v>1.4637105039357461</v>
      </c>
      <c r="G30">
        <f t="shared" si="0"/>
        <v>0.1507797162184652</v>
      </c>
      <c r="H30">
        <v>0.66525710185055431</v>
      </c>
    </row>
    <row r="31" spans="1:8" x14ac:dyDescent="0.35">
      <c r="A31" t="s">
        <v>67</v>
      </c>
      <c r="B31" t="s">
        <v>51</v>
      </c>
      <c r="C31" t="s">
        <v>38</v>
      </c>
      <c r="D31">
        <v>2017</v>
      </c>
      <c r="E31">
        <v>1.732555567629479</v>
      </c>
      <c r="F31">
        <v>1.4637105039357461</v>
      </c>
      <c r="G31">
        <f t="shared" si="0"/>
        <v>-0.26884506369373296</v>
      </c>
      <c r="H31">
        <v>0.66525710185055431</v>
      </c>
    </row>
    <row r="32" spans="1:8" x14ac:dyDescent="0.35">
      <c r="A32" t="s">
        <v>67</v>
      </c>
      <c r="B32" t="s">
        <v>50</v>
      </c>
      <c r="C32" t="s">
        <v>40</v>
      </c>
      <c r="D32">
        <v>2017</v>
      </c>
      <c r="E32">
        <v>1.566209901734994</v>
      </c>
      <c r="F32">
        <v>1.4637105039357461</v>
      </c>
      <c r="G32">
        <f t="shared" si="0"/>
        <v>-0.10249939779924788</v>
      </c>
      <c r="H32">
        <v>0.66525710185055431</v>
      </c>
    </row>
    <row r="33" spans="1:8" x14ac:dyDescent="0.35">
      <c r="A33" t="s">
        <v>67</v>
      </c>
      <c r="B33" t="s">
        <v>52</v>
      </c>
      <c r="C33" t="s">
        <v>40</v>
      </c>
      <c r="D33">
        <v>2017</v>
      </c>
      <c r="E33">
        <v>1.543494370971477</v>
      </c>
      <c r="F33">
        <v>1.4637105039357461</v>
      </c>
      <c r="G33">
        <f t="shared" si="0"/>
        <v>-7.9783867035730927E-2</v>
      </c>
      <c r="H33">
        <v>0.66525710185055431</v>
      </c>
    </row>
    <row r="34" spans="1:8" x14ac:dyDescent="0.35">
      <c r="A34" t="s">
        <v>67</v>
      </c>
      <c r="B34" t="s">
        <v>51</v>
      </c>
      <c r="C34" t="s">
        <v>38</v>
      </c>
      <c r="D34">
        <v>2018</v>
      </c>
      <c r="E34">
        <v>1.802338911935264</v>
      </c>
      <c r="F34">
        <v>1.8605501927054691</v>
      </c>
      <c r="G34">
        <f t="shared" ref="G34:G65" si="1">IF(OR(F34="",E34=""),"",F34-E34)</f>
        <v>5.8211280770205098E-2</v>
      </c>
      <c r="H34">
        <v>0.31283116111195841</v>
      </c>
    </row>
    <row r="35" spans="1:8" x14ac:dyDescent="0.35">
      <c r="A35" t="s">
        <v>67</v>
      </c>
      <c r="B35" t="s">
        <v>53</v>
      </c>
      <c r="C35" t="s">
        <v>38</v>
      </c>
      <c r="D35">
        <v>2018</v>
      </c>
      <c r="E35">
        <v>1.5323838734635939</v>
      </c>
      <c r="F35">
        <v>1.8605501927054691</v>
      </c>
      <c r="G35">
        <f t="shared" si="1"/>
        <v>0.32816631924187512</v>
      </c>
      <c r="H35">
        <v>0.31283116111195841</v>
      </c>
    </row>
    <row r="36" spans="1:8" x14ac:dyDescent="0.35">
      <c r="A36" t="s">
        <v>67</v>
      </c>
      <c r="B36" t="s">
        <v>52</v>
      </c>
      <c r="C36" t="s">
        <v>40</v>
      </c>
      <c r="D36">
        <v>2018</v>
      </c>
      <c r="E36">
        <v>1.6830527400463651</v>
      </c>
      <c r="F36">
        <v>1.8605501927054691</v>
      </c>
      <c r="G36">
        <f t="shared" si="1"/>
        <v>0.17749745265910399</v>
      </c>
      <c r="H36">
        <v>0.31283116111195841</v>
      </c>
    </row>
    <row r="37" spans="1:8" x14ac:dyDescent="0.35">
      <c r="A37" t="s">
        <v>67</v>
      </c>
      <c r="B37" t="s">
        <v>54</v>
      </c>
      <c r="C37" t="s">
        <v>40</v>
      </c>
      <c r="D37">
        <v>2018</v>
      </c>
      <c r="E37">
        <v>1.8083342533319999</v>
      </c>
      <c r="F37">
        <v>1.8605501927054691</v>
      </c>
      <c r="G37">
        <f t="shared" si="1"/>
        <v>5.2215939373469133E-2</v>
      </c>
      <c r="H37">
        <v>0.31283116111195841</v>
      </c>
    </row>
    <row r="38" spans="1:8" x14ac:dyDescent="0.35">
      <c r="A38" t="s">
        <v>67</v>
      </c>
      <c r="B38" t="s">
        <v>53</v>
      </c>
      <c r="C38" t="s">
        <v>38</v>
      </c>
      <c r="D38">
        <v>2019</v>
      </c>
      <c r="E38">
        <v>1.5152383923937141</v>
      </c>
      <c r="F38">
        <v>2.4135230125478802</v>
      </c>
      <c r="G38">
        <f t="shared" si="1"/>
        <v>0.8982846201541661</v>
      </c>
      <c r="H38">
        <v>0.35492531336208027</v>
      </c>
    </row>
    <row r="39" spans="1:8" x14ac:dyDescent="0.35">
      <c r="A39" t="s">
        <v>67</v>
      </c>
      <c r="B39" t="s">
        <v>55</v>
      </c>
      <c r="C39" t="s">
        <v>38</v>
      </c>
      <c r="D39">
        <v>2019</v>
      </c>
      <c r="E39">
        <v>1.136502566631536</v>
      </c>
      <c r="F39">
        <v>2.4135230125478802</v>
      </c>
      <c r="G39">
        <f t="shared" si="1"/>
        <v>1.2770204459163441</v>
      </c>
      <c r="H39">
        <v>0.35492531336208027</v>
      </c>
    </row>
    <row r="40" spans="1:8" x14ac:dyDescent="0.35">
      <c r="A40" t="s">
        <v>67</v>
      </c>
      <c r="B40" t="s">
        <v>54</v>
      </c>
      <c r="C40" t="s">
        <v>40</v>
      </c>
      <c r="D40">
        <v>2019</v>
      </c>
      <c r="E40">
        <v>1.7329380565713759</v>
      </c>
      <c r="F40">
        <v>2.4135230125478802</v>
      </c>
      <c r="G40">
        <f t="shared" si="1"/>
        <v>0.68058495597650426</v>
      </c>
      <c r="H40">
        <v>0.35492531336208027</v>
      </c>
    </row>
    <row r="41" spans="1:8" x14ac:dyDescent="0.35">
      <c r="A41" t="s">
        <v>67</v>
      </c>
      <c r="B41" t="s">
        <v>56</v>
      </c>
      <c r="C41" t="s">
        <v>40</v>
      </c>
      <c r="D41">
        <v>2019</v>
      </c>
      <c r="E41">
        <v>1.2263795589823929</v>
      </c>
      <c r="F41">
        <v>2.4135230125478802</v>
      </c>
      <c r="G41">
        <f t="shared" si="1"/>
        <v>1.1871434535654872</v>
      </c>
      <c r="H41">
        <v>0.35492531336208027</v>
      </c>
    </row>
    <row r="42" spans="1:8" x14ac:dyDescent="0.35">
      <c r="A42" t="s">
        <v>68</v>
      </c>
      <c r="B42" t="s">
        <v>45</v>
      </c>
      <c r="C42" t="s">
        <v>38</v>
      </c>
      <c r="D42">
        <v>2015</v>
      </c>
      <c r="E42">
        <v>1.095015499462715</v>
      </c>
      <c r="F42">
        <v>1.511701771928704</v>
      </c>
      <c r="G42">
        <f t="shared" si="1"/>
        <v>0.41668627246598899</v>
      </c>
      <c r="H42">
        <v>1.1031766805101459</v>
      </c>
    </row>
    <row r="43" spans="1:8" x14ac:dyDescent="0.35">
      <c r="A43" t="s">
        <v>68</v>
      </c>
      <c r="B43" t="s">
        <v>47</v>
      </c>
      <c r="C43" t="s">
        <v>38</v>
      </c>
      <c r="D43">
        <v>2015</v>
      </c>
      <c r="E43">
        <v>1.7105611289528031</v>
      </c>
      <c r="F43">
        <v>1.511701771928704</v>
      </c>
      <c r="G43">
        <f t="shared" si="1"/>
        <v>-0.19885935702409907</v>
      </c>
      <c r="H43">
        <v>1.1031766805101459</v>
      </c>
    </row>
    <row r="44" spans="1:8" x14ac:dyDescent="0.35">
      <c r="A44" t="s">
        <v>68</v>
      </c>
      <c r="B44" t="s">
        <v>46</v>
      </c>
      <c r="C44" t="s">
        <v>40</v>
      </c>
      <c r="D44">
        <v>2015</v>
      </c>
      <c r="E44">
        <v>1.9840546273578901</v>
      </c>
      <c r="F44">
        <v>1.511701771928704</v>
      </c>
      <c r="G44">
        <f t="shared" si="1"/>
        <v>-0.47235285542918604</v>
      </c>
      <c r="H44">
        <v>1.1031766805101459</v>
      </c>
    </row>
    <row r="45" spans="1:8" x14ac:dyDescent="0.35">
      <c r="A45" t="s">
        <v>68</v>
      </c>
      <c r="B45" t="s">
        <v>48</v>
      </c>
      <c r="C45" t="s">
        <v>40</v>
      </c>
      <c r="D45">
        <v>2015</v>
      </c>
      <c r="E45">
        <v>1.8717908251089099</v>
      </c>
      <c r="F45">
        <v>1.511701771928704</v>
      </c>
      <c r="G45">
        <f t="shared" si="1"/>
        <v>-0.3600890531802059</v>
      </c>
      <c r="H45">
        <v>1.1031766805101459</v>
      </c>
    </row>
    <row r="46" spans="1:8" x14ac:dyDescent="0.35">
      <c r="A46" t="s">
        <v>68</v>
      </c>
      <c r="B46" t="s">
        <v>47</v>
      </c>
      <c r="C46" t="s">
        <v>38</v>
      </c>
      <c r="D46">
        <v>2016</v>
      </c>
      <c r="E46">
        <v>1.9064608618794221</v>
      </c>
      <c r="F46">
        <v>2.1850659941992001</v>
      </c>
      <c r="G46">
        <f t="shared" si="1"/>
        <v>0.27860513231977801</v>
      </c>
      <c r="H46">
        <v>1.7278102370699631</v>
      </c>
    </row>
    <row r="47" spans="1:8" x14ac:dyDescent="0.35">
      <c r="A47" t="s">
        <v>68</v>
      </c>
      <c r="B47" t="s">
        <v>49</v>
      </c>
      <c r="C47" t="s">
        <v>38</v>
      </c>
      <c r="D47">
        <v>2016</v>
      </c>
      <c r="E47">
        <v>1.9388708932542631</v>
      </c>
      <c r="F47">
        <v>2.1850659941992001</v>
      </c>
      <c r="G47">
        <f t="shared" si="1"/>
        <v>0.24619510094493702</v>
      </c>
      <c r="H47">
        <v>1.7278102370699631</v>
      </c>
    </row>
    <row r="48" spans="1:8" x14ac:dyDescent="0.35">
      <c r="A48" t="s">
        <v>68</v>
      </c>
      <c r="B48" t="s">
        <v>48</v>
      </c>
      <c r="C48" t="s">
        <v>40</v>
      </c>
      <c r="D48">
        <v>2016</v>
      </c>
      <c r="E48">
        <v>2.0247448397811012</v>
      </c>
      <c r="F48">
        <v>2.1850659941992001</v>
      </c>
      <c r="G48">
        <f t="shared" si="1"/>
        <v>0.16032115441809891</v>
      </c>
      <c r="H48">
        <v>1.7278102370699631</v>
      </c>
    </row>
    <row r="49" spans="1:8" x14ac:dyDescent="0.35">
      <c r="A49" t="s">
        <v>68</v>
      </c>
      <c r="B49" t="s">
        <v>50</v>
      </c>
      <c r="C49" t="s">
        <v>40</v>
      </c>
      <c r="D49">
        <v>2016</v>
      </c>
      <c r="E49">
        <v>1.624850184809512</v>
      </c>
      <c r="F49">
        <v>2.1850659941992001</v>
      </c>
      <c r="G49">
        <f t="shared" si="1"/>
        <v>0.56021580938968807</v>
      </c>
      <c r="H49">
        <v>1.7278102370699631</v>
      </c>
    </row>
    <row r="50" spans="1:8" x14ac:dyDescent="0.35">
      <c r="A50" t="s">
        <v>68</v>
      </c>
      <c r="B50" t="s">
        <v>49</v>
      </c>
      <c r="C50" t="s">
        <v>38</v>
      </c>
      <c r="D50">
        <v>2017</v>
      </c>
      <c r="E50">
        <v>1.4744000913811779</v>
      </c>
      <c r="F50">
        <v>3.139119319610074</v>
      </c>
      <c r="G50">
        <f t="shared" si="1"/>
        <v>1.6647192282288961</v>
      </c>
      <c r="H50">
        <v>2.4831104150519061</v>
      </c>
    </row>
    <row r="51" spans="1:8" x14ac:dyDescent="0.35">
      <c r="A51" t="s">
        <v>68</v>
      </c>
      <c r="B51" t="s">
        <v>51</v>
      </c>
      <c r="C51" t="s">
        <v>38</v>
      </c>
      <c r="D51">
        <v>2017</v>
      </c>
      <c r="E51">
        <v>2.1518537819505301</v>
      </c>
      <c r="F51">
        <v>3.139119319610074</v>
      </c>
      <c r="G51">
        <f t="shared" si="1"/>
        <v>0.98726553765954383</v>
      </c>
      <c r="H51">
        <v>2.4831104150519061</v>
      </c>
    </row>
    <row r="52" spans="1:8" x14ac:dyDescent="0.35">
      <c r="A52" t="s">
        <v>68</v>
      </c>
      <c r="B52" t="s">
        <v>50</v>
      </c>
      <c r="C52" t="s">
        <v>40</v>
      </c>
      <c r="D52">
        <v>2017</v>
      </c>
      <c r="E52">
        <v>1.5665137095587811</v>
      </c>
      <c r="F52">
        <v>3.139119319610074</v>
      </c>
      <c r="G52">
        <f t="shared" si="1"/>
        <v>1.5726056100512928</v>
      </c>
      <c r="H52">
        <v>2.4831104150519061</v>
      </c>
    </row>
    <row r="53" spans="1:8" x14ac:dyDescent="0.35">
      <c r="A53" t="s">
        <v>68</v>
      </c>
      <c r="B53" t="s">
        <v>52</v>
      </c>
      <c r="C53" t="s">
        <v>40</v>
      </c>
      <c r="D53">
        <v>2017</v>
      </c>
      <c r="E53">
        <v>1.6411721834364681</v>
      </c>
      <c r="F53">
        <v>3.139119319610074</v>
      </c>
      <c r="G53">
        <f t="shared" si="1"/>
        <v>1.4979471361736059</v>
      </c>
      <c r="H53">
        <v>2.4831104150519061</v>
      </c>
    </row>
    <row r="54" spans="1:8" x14ac:dyDescent="0.35">
      <c r="A54" t="s">
        <v>68</v>
      </c>
      <c r="B54" t="s">
        <v>51</v>
      </c>
      <c r="C54" t="s">
        <v>38</v>
      </c>
      <c r="D54">
        <v>2018</v>
      </c>
      <c r="E54">
        <v>2.1207866853858448</v>
      </c>
      <c r="F54">
        <v>1.2673227814059229</v>
      </c>
      <c r="G54">
        <f t="shared" si="1"/>
        <v>-0.85346390397992189</v>
      </c>
      <c r="H54">
        <v>2.6363043986490182</v>
      </c>
    </row>
    <row r="55" spans="1:8" x14ac:dyDescent="0.35">
      <c r="A55" t="s">
        <v>68</v>
      </c>
      <c r="B55" t="s">
        <v>53</v>
      </c>
      <c r="C55" t="s">
        <v>38</v>
      </c>
      <c r="D55">
        <v>2018</v>
      </c>
      <c r="E55">
        <v>1.7181609113874341</v>
      </c>
      <c r="F55">
        <v>1.2673227814059229</v>
      </c>
      <c r="G55">
        <f t="shared" si="1"/>
        <v>-0.45083812998151118</v>
      </c>
      <c r="H55">
        <v>2.6363043986490182</v>
      </c>
    </row>
    <row r="56" spans="1:8" x14ac:dyDescent="0.35">
      <c r="A56" t="s">
        <v>68</v>
      </c>
      <c r="B56" t="s">
        <v>52</v>
      </c>
      <c r="C56" t="s">
        <v>40</v>
      </c>
      <c r="D56">
        <v>2018</v>
      </c>
      <c r="E56">
        <v>1.853976950650349</v>
      </c>
      <c r="F56">
        <v>1.2673227814059229</v>
      </c>
      <c r="G56">
        <f t="shared" si="1"/>
        <v>-0.58665416924442604</v>
      </c>
      <c r="H56">
        <v>2.6363043986490182</v>
      </c>
    </row>
    <row r="57" spans="1:8" x14ac:dyDescent="0.35">
      <c r="A57" t="s">
        <v>68</v>
      </c>
      <c r="B57" t="s">
        <v>54</v>
      </c>
      <c r="C57" t="s">
        <v>40</v>
      </c>
      <c r="D57">
        <v>2018</v>
      </c>
      <c r="E57">
        <v>2.3062043523037761</v>
      </c>
      <c r="F57">
        <v>1.2673227814059229</v>
      </c>
      <c r="G57">
        <f t="shared" si="1"/>
        <v>-1.0388815708978532</v>
      </c>
      <c r="H57">
        <v>2.6363043986490182</v>
      </c>
    </row>
    <row r="58" spans="1:8" x14ac:dyDescent="0.35">
      <c r="A58" t="s">
        <v>68</v>
      </c>
      <c r="B58" t="s">
        <v>53</v>
      </c>
      <c r="C58" t="s">
        <v>38</v>
      </c>
      <c r="D58">
        <v>2019</v>
      </c>
      <c r="E58">
        <v>1.837083008004692</v>
      </c>
      <c r="F58">
        <v>1.110244719033926</v>
      </c>
      <c r="G58">
        <f t="shared" si="1"/>
        <v>-0.72683828897076608</v>
      </c>
      <c r="H58">
        <v>3.7776131748386681</v>
      </c>
    </row>
    <row r="59" spans="1:8" x14ac:dyDescent="0.35">
      <c r="A59" t="s">
        <v>68</v>
      </c>
      <c r="B59" t="s">
        <v>55</v>
      </c>
      <c r="C59" t="s">
        <v>38</v>
      </c>
      <c r="D59">
        <v>2019</v>
      </c>
      <c r="E59">
        <v>0.43652728225691551</v>
      </c>
      <c r="F59">
        <v>1.110244719033926</v>
      </c>
      <c r="G59">
        <f t="shared" si="1"/>
        <v>0.67371743677701046</v>
      </c>
      <c r="H59">
        <v>3.7776131748386681</v>
      </c>
    </row>
    <row r="60" spans="1:8" x14ac:dyDescent="0.35">
      <c r="A60" t="s">
        <v>68</v>
      </c>
      <c r="B60" t="s">
        <v>54</v>
      </c>
      <c r="C60" t="s">
        <v>40</v>
      </c>
      <c r="D60">
        <v>2019</v>
      </c>
      <c r="E60">
        <v>2.050241516126516</v>
      </c>
      <c r="F60">
        <v>1.110244719033926</v>
      </c>
      <c r="G60">
        <f t="shared" si="1"/>
        <v>-0.93999679709258999</v>
      </c>
      <c r="H60">
        <v>3.7776131748386681</v>
      </c>
    </row>
    <row r="61" spans="1:8" x14ac:dyDescent="0.35">
      <c r="A61" t="s">
        <v>68</v>
      </c>
      <c r="B61" t="s">
        <v>56</v>
      </c>
      <c r="C61" t="s">
        <v>40</v>
      </c>
      <c r="D61">
        <v>2019</v>
      </c>
      <c r="E61">
        <v>0.54362498919910962</v>
      </c>
      <c r="F61">
        <v>1.110244719033926</v>
      </c>
      <c r="G61">
        <f t="shared" si="1"/>
        <v>0.56661972983481634</v>
      </c>
      <c r="H61">
        <v>3.7776131748386681</v>
      </c>
    </row>
    <row r="62" spans="1:8" x14ac:dyDescent="0.35">
      <c r="A62" t="s">
        <v>69</v>
      </c>
      <c r="B62" t="s">
        <v>45</v>
      </c>
      <c r="C62" t="s">
        <v>38</v>
      </c>
      <c r="D62">
        <v>2015</v>
      </c>
      <c r="E62">
        <v>1.7298208953237191</v>
      </c>
      <c r="F62">
        <v>3.980574024380553</v>
      </c>
      <c r="G62">
        <f t="shared" si="1"/>
        <v>2.2507531290568341</v>
      </c>
      <c r="H62">
        <v>0.2475573113650236</v>
      </c>
    </row>
    <row r="63" spans="1:8" x14ac:dyDescent="0.35">
      <c r="A63" t="s">
        <v>69</v>
      </c>
      <c r="B63" t="s">
        <v>47</v>
      </c>
      <c r="C63" t="s">
        <v>38</v>
      </c>
      <c r="D63">
        <v>2015</v>
      </c>
      <c r="E63">
        <v>3.1330217546616361</v>
      </c>
      <c r="F63">
        <v>3.980574024380553</v>
      </c>
      <c r="G63">
        <f t="shared" si="1"/>
        <v>0.84755226971891684</v>
      </c>
      <c r="H63">
        <v>0.2475573113650236</v>
      </c>
    </row>
    <row r="64" spans="1:8" x14ac:dyDescent="0.35">
      <c r="A64" t="s">
        <v>69</v>
      </c>
      <c r="B64" t="s">
        <v>46</v>
      </c>
      <c r="C64" t="s">
        <v>40</v>
      </c>
      <c r="D64">
        <v>2015</v>
      </c>
      <c r="E64">
        <v>2.0578550096999941</v>
      </c>
      <c r="F64">
        <v>3.980574024380553</v>
      </c>
      <c r="G64">
        <f t="shared" si="1"/>
        <v>1.9227190146805588</v>
      </c>
      <c r="H64">
        <v>0.2475573113650236</v>
      </c>
    </row>
    <row r="65" spans="1:8" x14ac:dyDescent="0.35">
      <c r="A65" t="s">
        <v>69</v>
      </c>
      <c r="B65" t="s">
        <v>48</v>
      </c>
      <c r="C65" t="s">
        <v>40</v>
      </c>
      <c r="D65">
        <v>2015</v>
      </c>
      <c r="E65">
        <v>2.8163023499567119</v>
      </c>
      <c r="F65">
        <v>3.980574024380553</v>
      </c>
      <c r="G65">
        <f t="shared" si="1"/>
        <v>1.1642716744238411</v>
      </c>
      <c r="H65">
        <v>0.2475573113650236</v>
      </c>
    </row>
    <row r="66" spans="1:8" x14ac:dyDescent="0.35">
      <c r="A66" t="s">
        <v>69</v>
      </c>
      <c r="B66" t="s">
        <v>47</v>
      </c>
      <c r="C66" t="s">
        <v>38</v>
      </c>
      <c r="D66">
        <v>2016</v>
      </c>
      <c r="E66">
        <v>2.6664587847684769</v>
      </c>
      <c r="F66">
        <v>2.8733724111720398</v>
      </c>
      <c r="G66">
        <f t="shared" ref="G66:G97" si="2">IF(OR(F66="",E66=""),"",F66-E66)</f>
        <v>0.20691362640356292</v>
      </c>
      <c r="H66">
        <v>0.32671076843180541</v>
      </c>
    </row>
    <row r="67" spans="1:8" x14ac:dyDescent="0.35">
      <c r="A67" t="s">
        <v>69</v>
      </c>
      <c r="B67" t="s">
        <v>49</v>
      </c>
      <c r="C67" t="s">
        <v>38</v>
      </c>
      <c r="D67">
        <v>2016</v>
      </c>
      <c r="E67">
        <v>3.1977481622379229</v>
      </c>
      <c r="F67">
        <v>2.8733724111720398</v>
      </c>
      <c r="G67">
        <f t="shared" si="2"/>
        <v>-0.32437575106588312</v>
      </c>
      <c r="H67">
        <v>0.32671076843180541</v>
      </c>
    </row>
    <row r="68" spans="1:8" x14ac:dyDescent="0.35">
      <c r="A68" t="s">
        <v>69</v>
      </c>
      <c r="B68" t="s">
        <v>48</v>
      </c>
      <c r="C68" t="s">
        <v>40</v>
      </c>
      <c r="D68">
        <v>2016</v>
      </c>
      <c r="E68">
        <v>2.5804277166284968</v>
      </c>
      <c r="F68">
        <v>2.8733724111720398</v>
      </c>
      <c r="G68">
        <f t="shared" si="2"/>
        <v>0.29294469454354299</v>
      </c>
      <c r="H68">
        <v>0.32671076843180541</v>
      </c>
    </row>
    <row r="69" spans="1:8" x14ac:dyDescent="0.35">
      <c r="A69" t="s">
        <v>69</v>
      </c>
      <c r="B69" t="s">
        <v>50</v>
      </c>
      <c r="C69" t="s">
        <v>40</v>
      </c>
      <c r="D69">
        <v>2016</v>
      </c>
      <c r="E69">
        <v>2.5934687983342641</v>
      </c>
      <c r="F69">
        <v>2.8733724111720398</v>
      </c>
      <c r="G69">
        <f t="shared" si="2"/>
        <v>0.27990361283777565</v>
      </c>
      <c r="H69">
        <v>0.32671076843180541</v>
      </c>
    </row>
    <row r="70" spans="1:8" x14ac:dyDescent="0.35">
      <c r="A70" t="s">
        <v>69</v>
      </c>
      <c r="B70" t="s">
        <v>49</v>
      </c>
      <c r="C70" t="s">
        <v>38</v>
      </c>
      <c r="D70">
        <v>2017</v>
      </c>
      <c r="E70">
        <v>2.255443360388365</v>
      </c>
      <c r="F70">
        <v>2.855001546118654</v>
      </c>
      <c r="G70">
        <f t="shared" si="2"/>
        <v>0.59955818573028896</v>
      </c>
      <c r="H70">
        <v>0.31053671124002452</v>
      </c>
    </row>
    <row r="71" spans="1:8" x14ac:dyDescent="0.35">
      <c r="A71" t="s">
        <v>69</v>
      </c>
      <c r="B71" t="s">
        <v>51</v>
      </c>
      <c r="C71" t="s">
        <v>38</v>
      </c>
      <c r="D71">
        <v>2017</v>
      </c>
      <c r="E71">
        <v>3.068359604619419</v>
      </c>
      <c r="F71">
        <v>2.855001546118654</v>
      </c>
      <c r="G71">
        <f t="shared" si="2"/>
        <v>-0.21335805850076506</v>
      </c>
      <c r="H71">
        <v>0.31053671124002452</v>
      </c>
    </row>
    <row r="72" spans="1:8" x14ac:dyDescent="0.35">
      <c r="A72" t="s">
        <v>69</v>
      </c>
      <c r="B72" t="s">
        <v>50</v>
      </c>
      <c r="C72" t="s">
        <v>40</v>
      </c>
      <c r="D72">
        <v>2017</v>
      </c>
      <c r="E72">
        <v>2.5049942578537321</v>
      </c>
      <c r="F72">
        <v>2.855001546118654</v>
      </c>
      <c r="G72">
        <f t="shared" si="2"/>
        <v>0.35000728826492189</v>
      </c>
      <c r="H72">
        <v>0.31053671124002452</v>
      </c>
    </row>
    <row r="73" spans="1:8" x14ac:dyDescent="0.35">
      <c r="A73" t="s">
        <v>69</v>
      </c>
      <c r="B73" t="s">
        <v>52</v>
      </c>
      <c r="C73" t="s">
        <v>40</v>
      </c>
      <c r="D73">
        <v>2017</v>
      </c>
      <c r="E73">
        <v>2.763295099061525</v>
      </c>
      <c r="F73">
        <v>2.855001546118654</v>
      </c>
      <c r="G73">
        <f t="shared" si="2"/>
        <v>9.1706447057128937E-2</v>
      </c>
      <c r="H73">
        <v>0.31053671124002452</v>
      </c>
    </row>
    <row r="74" spans="1:8" x14ac:dyDescent="0.35">
      <c r="A74" t="s">
        <v>69</v>
      </c>
      <c r="B74" t="s">
        <v>51</v>
      </c>
      <c r="C74" t="s">
        <v>38</v>
      </c>
      <c r="D74">
        <v>2018</v>
      </c>
      <c r="E74">
        <v>2.5372488700963869</v>
      </c>
      <c r="F74">
        <v>2.367158610415725</v>
      </c>
      <c r="G74">
        <f t="shared" si="2"/>
        <v>-0.17009025968066194</v>
      </c>
      <c r="H74">
        <v>0.37142317776040679</v>
      </c>
    </row>
    <row r="75" spans="1:8" x14ac:dyDescent="0.35">
      <c r="A75" t="s">
        <v>69</v>
      </c>
      <c r="B75" t="s">
        <v>53</v>
      </c>
      <c r="C75" t="s">
        <v>38</v>
      </c>
      <c r="D75">
        <v>2018</v>
      </c>
      <c r="E75">
        <v>2.5579730614092582</v>
      </c>
      <c r="F75">
        <v>2.367158610415725</v>
      </c>
      <c r="G75">
        <f t="shared" si="2"/>
        <v>-0.19081445099353322</v>
      </c>
      <c r="H75">
        <v>0.37142317776040679</v>
      </c>
    </row>
    <row r="76" spans="1:8" x14ac:dyDescent="0.35">
      <c r="A76" t="s">
        <v>69</v>
      </c>
      <c r="B76" t="s">
        <v>52</v>
      </c>
      <c r="C76" t="s">
        <v>40</v>
      </c>
      <c r="D76">
        <v>2018</v>
      </c>
      <c r="E76">
        <v>2.3641938543665701</v>
      </c>
      <c r="F76">
        <v>2.367158610415725</v>
      </c>
      <c r="G76">
        <f t="shared" si="2"/>
        <v>2.9647560491548042E-3</v>
      </c>
      <c r="H76">
        <v>0.37142317776040679</v>
      </c>
    </row>
    <row r="77" spans="1:8" x14ac:dyDescent="0.35">
      <c r="A77" t="s">
        <v>69</v>
      </c>
      <c r="B77" t="s">
        <v>54</v>
      </c>
      <c r="C77" t="s">
        <v>40</v>
      </c>
      <c r="D77">
        <v>2018</v>
      </c>
      <c r="E77">
        <v>2.8513007726971522</v>
      </c>
      <c r="F77">
        <v>2.367158610415725</v>
      </c>
      <c r="G77">
        <f t="shared" si="2"/>
        <v>-0.48414216228142726</v>
      </c>
      <c r="H77">
        <v>0.37142317776040679</v>
      </c>
    </row>
    <row r="78" spans="1:8" x14ac:dyDescent="0.35">
      <c r="A78" t="s">
        <v>69</v>
      </c>
      <c r="B78" t="s">
        <v>53</v>
      </c>
      <c r="C78" t="s">
        <v>38</v>
      </c>
      <c r="D78">
        <v>2019</v>
      </c>
      <c r="E78">
        <v>2.1553608163649152</v>
      </c>
      <c r="F78">
        <v>1.9422910480512949</v>
      </c>
      <c r="G78">
        <f t="shared" si="2"/>
        <v>-0.21306976831362023</v>
      </c>
      <c r="H78">
        <v>0.4611968442438833</v>
      </c>
    </row>
    <row r="79" spans="1:8" x14ac:dyDescent="0.35">
      <c r="A79" t="s">
        <v>69</v>
      </c>
      <c r="B79" t="s">
        <v>55</v>
      </c>
      <c r="C79" t="s">
        <v>38</v>
      </c>
      <c r="D79">
        <v>2019</v>
      </c>
      <c r="E79">
        <v>1.870053317687548</v>
      </c>
      <c r="F79">
        <v>1.9422910480512949</v>
      </c>
      <c r="G79">
        <f t="shared" si="2"/>
        <v>7.2237730363746921E-2</v>
      </c>
      <c r="H79">
        <v>0.4611968442438833</v>
      </c>
    </row>
    <row r="80" spans="1:8" x14ac:dyDescent="0.35">
      <c r="A80" t="s">
        <v>69</v>
      </c>
      <c r="B80" t="s">
        <v>54</v>
      </c>
      <c r="C80" t="s">
        <v>40</v>
      </c>
      <c r="D80">
        <v>2019</v>
      </c>
      <c r="E80">
        <v>2.355960635013798</v>
      </c>
      <c r="F80">
        <v>1.9422910480512949</v>
      </c>
      <c r="G80">
        <f t="shared" si="2"/>
        <v>-0.41366958696250311</v>
      </c>
      <c r="H80">
        <v>0.4611968442438833</v>
      </c>
    </row>
    <row r="81" spans="1:8" x14ac:dyDescent="0.35">
      <c r="A81" t="s">
        <v>69</v>
      </c>
      <c r="B81" t="s">
        <v>56</v>
      </c>
      <c r="C81" t="s">
        <v>40</v>
      </c>
      <c r="D81">
        <v>2019</v>
      </c>
      <c r="E81">
        <v>2.0959399874803002</v>
      </c>
      <c r="F81">
        <v>1.9422910480512949</v>
      </c>
      <c r="G81">
        <f t="shared" si="2"/>
        <v>-0.15364893942900526</v>
      </c>
      <c r="H81">
        <v>0.4611968442438833</v>
      </c>
    </row>
    <row r="82" spans="1:8" x14ac:dyDescent="0.35">
      <c r="A82" t="s">
        <v>70</v>
      </c>
      <c r="B82" t="s">
        <v>45</v>
      </c>
      <c r="C82" t="s">
        <v>38</v>
      </c>
      <c r="D82">
        <v>2015</v>
      </c>
      <c r="E82">
        <v>0.6115453306968277</v>
      </c>
      <c r="F82">
        <v>0.46533578746174248</v>
      </c>
      <c r="G82">
        <f t="shared" si="2"/>
        <v>-0.14620954323508523</v>
      </c>
      <c r="H82">
        <v>0.60506274617036004</v>
      </c>
    </row>
    <row r="83" spans="1:8" x14ac:dyDescent="0.35">
      <c r="A83" t="s">
        <v>70</v>
      </c>
      <c r="B83" t="s">
        <v>47</v>
      </c>
      <c r="C83" t="s">
        <v>38</v>
      </c>
      <c r="D83">
        <v>2015</v>
      </c>
      <c r="E83">
        <v>0.33999838965084178</v>
      </c>
      <c r="F83">
        <v>0.46533578746174248</v>
      </c>
      <c r="G83">
        <f t="shared" si="2"/>
        <v>0.1253373978109007</v>
      </c>
      <c r="H83">
        <v>0.60506274617036004</v>
      </c>
    </row>
    <row r="84" spans="1:8" x14ac:dyDescent="0.35">
      <c r="A84" t="s">
        <v>70</v>
      </c>
      <c r="B84" t="s">
        <v>46</v>
      </c>
      <c r="C84" t="s">
        <v>40</v>
      </c>
      <c r="D84">
        <v>2015</v>
      </c>
      <c r="E84">
        <v>1.03813878882193</v>
      </c>
      <c r="F84">
        <v>0.46533578746174248</v>
      </c>
      <c r="G84">
        <f t="shared" si="2"/>
        <v>-0.57280300136018747</v>
      </c>
      <c r="H84">
        <v>0.60506274617036004</v>
      </c>
    </row>
    <row r="85" spans="1:8" x14ac:dyDescent="0.35">
      <c r="A85" t="s">
        <v>70</v>
      </c>
      <c r="B85" t="s">
        <v>48</v>
      </c>
      <c r="C85" t="s">
        <v>40</v>
      </c>
      <c r="D85">
        <v>2015</v>
      </c>
      <c r="E85">
        <v>0.34221817011690359</v>
      </c>
      <c r="F85">
        <v>0.46533578746174248</v>
      </c>
      <c r="G85">
        <f t="shared" si="2"/>
        <v>0.12311761734483889</v>
      </c>
      <c r="H85">
        <v>0.60506274617036004</v>
      </c>
    </row>
    <row r="86" spans="1:8" x14ac:dyDescent="0.35">
      <c r="A86" t="s">
        <v>70</v>
      </c>
      <c r="B86" t="s">
        <v>47</v>
      </c>
      <c r="C86" t="s">
        <v>38</v>
      </c>
      <c r="D86">
        <v>2016</v>
      </c>
      <c r="E86">
        <v>0.66078776686688823</v>
      </c>
      <c r="F86">
        <v>2.5394630680659041</v>
      </c>
      <c r="G86">
        <f t="shared" si="2"/>
        <v>1.8786753011990158</v>
      </c>
      <c r="H86">
        <v>0.52473108957558956</v>
      </c>
    </row>
    <row r="87" spans="1:8" x14ac:dyDescent="0.35">
      <c r="A87" t="s">
        <v>70</v>
      </c>
      <c r="B87" t="s">
        <v>49</v>
      </c>
      <c r="C87" t="s">
        <v>38</v>
      </c>
      <c r="D87">
        <v>2016</v>
      </c>
      <c r="E87">
        <v>0.8211412144474739</v>
      </c>
      <c r="F87">
        <v>2.5394630680659041</v>
      </c>
      <c r="G87">
        <f t="shared" si="2"/>
        <v>1.7183218536184302</v>
      </c>
      <c r="H87">
        <v>0.52473108957558956</v>
      </c>
    </row>
    <row r="88" spans="1:8" x14ac:dyDescent="0.35">
      <c r="A88" t="s">
        <v>70</v>
      </c>
      <c r="B88" t="s">
        <v>48</v>
      </c>
      <c r="C88" t="s">
        <v>40</v>
      </c>
      <c r="D88">
        <v>2016</v>
      </c>
      <c r="E88">
        <v>1.029139259030432</v>
      </c>
      <c r="F88">
        <v>2.5394630680659041</v>
      </c>
      <c r="G88">
        <f t="shared" si="2"/>
        <v>1.510323809035472</v>
      </c>
      <c r="H88">
        <v>0.52473108957558956</v>
      </c>
    </row>
    <row r="89" spans="1:8" x14ac:dyDescent="0.35">
      <c r="A89" t="s">
        <v>70</v>
      </c>
      <c r="B89" t="s">
        <v>50</v>
      </c>
      <c r="C89" t="s">
        <v>40</v>
      </c>
      <c r="D89">
        <v>2016</v>
      </c>
      <c r="E89">
        <v>0.68041183214515577</v>
      </c>
      <c r="F89">
        <v>2.5394630680659041</v>
      </c>
      <c r="G89">
        <f t="shared" si="2"/>
        <v>1.8590512359207483</v>
      </c>
      <c r="H89">
        <v>0.52473108957558956</v>
      </c>
    </row>
    <row r="90" spans="1:8" x14ac:dyDescent="0.35">
      <c r="A90" t="s">
        <v>70</v>
      </c>
      <c r="B90" t="s">
        <v>49</v>
      </c>
      <c r="C90" t="s">
        <v>38</v>
      </c>
      <c r="D90">
        <v>2017</v>
      </c>
      <c r="E90">
        <v>0.7788253796826794</v>
      </c>
      <c r="F90">
        <v>3.2509193804219478</v>
      </c>
      <c r="G90">
        <f t="shared" si="2"/>
        <v>2.4720940007392684</v>
      </c>
      <c r="H90">
        <v>1.0157922572339311</v>
      </c>
    </row>
    <row r="91" spans="1:8" x14ac:dyDescent="0.35">
      <c r="A91" t="s">
        <v>70</v>
      </c>
      <c r="B91" t="s">
        <v>51</v>
      </c>
      <c r="C91" t="s">
        <v>38</v>
      </c>
      <c r="D91">
        <v>2017</v>
      </c>
      <c r="E91">
        <v>3.2999705467780189</v>
      </c>
      <c r="F91">
        <v>3.2509193804219478</v>
      </c>
      <c r="G91">
        <f t="shared" si="2"/>
        <v>-4.9051166356071096E-2</v>
      </c>
      <c r="H91">
        <v>1.0157922572339311</v>
      </c>
    </row>
    <row r="92" spans="1:8" x14ac:dyDescent="0.35">
      <c r="A92" t="s">
        <v>70</v>
      </c>
      <c r="B92" t="s">
        <v>50</v>
      </c>
      <c r="C92" t="s">
        <v>40</v>
      </c>
      <c r="D92">
        <v>2017</v>
      </c>
      <c r="E92">
        <v>0.72652337554917068</v>
      </c>
      <c r="F92">
        <v>3.2509193804219478</v>
      </c>
      <c r="G92">
        <f t="shared" si="2"/>
        <v>2.5243960048727772</v>
      </c>
      <c r="H92">
        <v>1.0157922572339311</v>
      </c>
    </row>
    <row r="93" spans="1:8" x14ac:dyDescent="0.35">
      <c r="A93" t="s">
        <v>70</v>
      </c>
      <c r="B93" t="s">
        <v>52</v>
      </c>
      <c r="C93" t="s">
        <v>40</v>
      </c>
      <c r="D93">
        <v>2017</v>
      </c>
      <c r="E93">
        <v>1.2981877046543739</v>
      </c>
      <c r="F93">
        <v>3.2509193804219478</v>
      </c>
      <c r="G93">
        <f t="shared" si="2"/>
        <v>1.9527316757675739</v>
      </c>
      <c r="H93">
        <v>1.0157922572339311</v>
      </c>
    </row>
    <row r="94" spans="1:8" x14ac:dyDescent="0.35">
      <c r="A94" t="s">
        <v>70</v>
      </c>
      <c r="B94" t="s">
        <v>51</v>
      </c>
      <c r="C94" t="s">
        <v>38</v>
      </c>
      <c r="D94">
        <v>2018</v>
      </c>
      <c r="E94">
        <v>2.6543445907794232</v>
      </c>
      <c r="F94">
        <v>1.1858569030435471</v>
      </c>
      <c r="G94">
        <f t="shared" si="2"/>
        <v>-1.4684876877358761</v>
      </c>
      <c r="H94">
        <v>1.179774587977132</v>
      </c>
    </row>
    <row r="95" spans="1:8" x14ac:dyDescent="0.35">
      <c r="A95" t="s">
        <v>70</v>
      </c>
      <c r="B95" t="s">
        <v>53</v>
      </c>
      <c r="C95" t="s">
        <v>38</v>
      </c>
      <c r="D95">
        <v>2018</v>
      </c>
      <c r="E95">
        <v>2.8893530093298199</v>
      </c>
      <c r="F95">
        <v>1.1858569030435471</v>
      </c>
      <c r="G95">
        <f t="shared" si="2"/>
        <v>-1.7034961062862728</v>
      </c>
      <c r="H95">
        <v>1.179774587977132</v>
      </c>
    </row>
    <row r="96" spans="1:8" x14ac:dyDescent="0.35">
      <c r="A96" t="s">
        <v>70</v>
      </c>
      <c r="B96" t="s">
        <v>52</v>
      </c>
      <c r="C96" t="s">
        <v>40</v>
      </c>
      <c r="D96">
        <v>2018</v>
      </c>
      <c r="E96">
        <v>1.745345139008192</v>
      </c>
      <c r="F96">
        <v>1.1858569030435471</v>
      </c>
      <c r="G96">
        <f t="shared" si="2"/>
        <v>-0.55948823596464492</v>
      </c>
      <c r="H96">
        <v>1.179774587977132</v>
      </c>
    </row>
    <row r="97" spans="1:8" x14ac:dyDescent="0.35">
      <c r="A97" t="s">
        <v>70</v>
      </c>
      <c r="B97" t="s">
        <v>54</v>
      </c>
      <c r="C97" t="s">
        <v>40</v>
      </c>
      <c r="D97">
        <v>2018</v>
      </c>
      <c r="E97">
        <v>2.519865182310288</v>
      </c>
      <c r="F97">
        <v>1.1858569030435471</v>
      </c>
      <c r="G97">
        <f t="shared" si="2"/>
        <v>-1.3340082792667409</v>
      </c>
      <c r="H97">
        <v>1.179774587977132</v>
      </c>
    </row>
    <row r="98" spans="1:8" x14ac:dyDescent="0.35">
      <c r="A98" t="s">
        <v>70</v>
      </c>
      <c r="B98" t="s">
        <v>53</v>
      </c>
      <c r="C98" t="s">
        <v>38</v>
      </c>
      <c r="D98">
        <v>2019</v>
      </c>
      <c r="E98">
        <v>2.1742555460234851</v>
      </c>
      <c r="F98">
        <v>1.3406806953806429</v>
      </c>
      <c r="G98">
        <f t="shared" ref="G98:G129" si="3">IF(OR(F98="",E98=""),"",F98-E98)</f>
        <v>-0.8335748506428422</v>
      </c>
      <c r="H98">
        <v>1.607545862030811</v>
      </c>
    </row>
    <row r="99" spans="1:8" x14ac:dyDescent="0.35">
      <c r="A99" t="s">
        <v>70</v>
      </c>
      <c r="B99" t="s">
        <v>55</v>
      </c>
      <c r="C99" t="s">
        <v>38</v>
      </c>
      <c r="D99">
        <v>2019</v>
      </c>
      <c r="E99">
        <v>1.354791564440649</v>
      </c>
      <c r="F99">
        <v>1.3406806953806429</v>
      </c>
      <c r="G99">
        <f t="shared" si="3"/>
        <v>-1.4110869060006026E-2</v>
      </c>
      <c r="H99">
        <v>1.607545862030811</v>
      </c>
    </row>
    <row r="100" spans="1:8" x14ac:dyDescent="0.35">
      <c r="A100" t="s">
        <v>70</v>
      </c>
      <c r="B100" t="s">
        <v>54</v>
      </c>
      <c r="C100" t="s">
        <v>40</v>
      </c>
      <c r="D100">
        <v>2019</v>
      </c>
      <c r="E100">
        <v>2.2702366672909808</v>
      </c>
      <c r="F100">
        <v>1.3406806953806429</v>
      </c>
      <c r="G100">
        <f t="shared" si="3"/>
        <v>-0.9295559719103379</v>
      </c>
      <c r="H100">
        <v>1.607545862030811</v>
      </c>
    </row>
    <row r="101" spans="1:8" x14ac:dyDescent="0.35">
      <c r="A101" t="s">
        <v>70</v>
      </c>
      <c r="B101" t="s">
        <v>56</v>
      </c>
      <c r="C101" t="s">
        <v>40</v>
      </c>
      <c r="D101">
        <v>2019</v>
      </c>
      <c r="E101">
        <v>1.638521358484613</v>
      </c>
      <c r="F101">
        <v>1.3406806953806429</v>
      </c>
      <c r="G101">
        <f t="shared" si="3"/>
        <v>-0.29784066310397006</v>
      </c>
      <c r="H101">
        <v>1.607545862030811</v>
      </c>
    </row>
    <row r="102" spans="1:8" x14ac:dyDescent="0.35">
      <c r="A102" t="s">
        <v>73</v>
      </c>
      <c r="B102" t="s">
        <v>45</v>
      </c>
      <c r="C102" t="s">
        <v>38</v>
      </c>
      <c r="D102">
        <v>2015</v>
      </c>
      <c r="E102">
        <v>0.69497120757255892</v>
      </c>
      <c r="F102">
        <v>0.99352475042418931</v>
      </c>
      <c r="G102">
        <f t="shared" si="3"/>
        <v>0.29855354285163038</v>
      </c>
      <c r="H102">
        <v>1.7249833491190609</v>
      </c>
    </row>
    <row r="103" spans="1:8" x14ac:dyDescent="0.35">
      <c r="A103" t="s">
        <v>73</v>
      </c>
      <c r="B103" t="s">
        <v>47</v>
      </c>
      <c r="C103" t="s">
        <v>38</v>
      </c>
      <c r="D103">
        <v>2015</v>
      </c>
      <c r="E103">
        <v>1.0829396488476919</v>
      </c>
      <c r="F103">
        <v>0.99352475042418931</v>
      </c>
      <c r="G103">
        <f t="shared" si="3"/>
        <v>-8.9414898423502587E-2</v>
      </c>
      <c r="H103">
        <v>1.7249833491190609</v>
      </c>
    </row>
    <row r="104" spans="1:8" x14ac:dyDescent="0.35">
      <c r="A104" t="s">
        <v>73</v>
      </c>
      <c r="B104" t="s">
        <v>46</v>
      </c>
      <c r="C104" t="s">
        <v>40</v>
      </c>
      <c r="D104">
        <v>2015</v>
      </c>
      <c r="E104">
        <v>1.4732524317461191</v>
      </c>
      <c r="F104">
        <v>0.99352475042418931</v>
      </c>
      <c r="G104">
        <f t="shared" si="3"/>
        <v>-0.47972768132192978</v>
      </c>
      <c r="H104">
        <v>1.7249833491190609</v>
      </c>
    </row>
    <row r="105" spans="1:8" x14ac:dyDescent="0.35">
      <c r="A105" t="s">
        <v>73</v>
      </c>
      <c r="B105" t="s">
        <v>48</v>
      </c>
      <c r="C105" t="s">
        <v>40</v>
      </c>
      <c r="D105">
        <v>2015</v>
      </c>
      <c r="E105">
        <v>1.081963871443703</v>
      </c>
      <c r="F105">
        <v>0.99352475042418931</v>
      </c>
      <c r="G105">
        <f t="shared" si="3"/>
        <v>-8.8439121019513678E-2</v>
      </c>
      <c r="H105">
        <v>1.7249833491190609</v>
      </c>
    </row>
    <row r="106" spans="1:8" x14ac:dyDescent="0.35">
      <c r="A106" t="s">
        <v>73</v>
      </c>
      <c r="B106" t="s">
        <v>47</v>
      </c>
      <c r="C106" t="s">
        <v>38</v>
      </c>
      <c r="D106">
        <v>2016</v>
      </c>
      <c r="E106">
        <v>1.4293943423307589</v>
      </c>
      <c r="F106">
        <v>0.7341997048160207</v>
      </c>
      <c r="G106">
        <f t="shared" si="3"/>
        <v>-0.6951946375147382</v>
      </c>
      <c r="H106">
        <v>3.5710800648607801</v>
      </c>
    </row>
    <row r="107" spans="1:8" x14ac:dyDescent="0.35">
      <c r="A107" t="s">
        <v>73</v>
      </c>
      <c r="B107" t="s">
        <v>49</v>
      </c>
      <c r="C107" t="s">
        <v>38</v>
      </c>
      <c r="D107">
        <v>2016</v>
      </c>
      <c r="E107">
        <v>1.254473785454957</v>
      </c>
      <c r="F107">
        <v>0.7341997048160207</v>
      </c>
      <c r="G107">
        <f t="shared" si="3"/>
        <v>-0.52027408063893632</v>
      </c>
      <c r="H107">
        <v>3.5710800648607801</v>
      </c>
    </row>
    <row r="108" spans="1:8" x14ac:dyDescent="0.35">
      <c r="A108" t="s">
        <v>73</v>
      </c>
      <c r="B108" t="s">
        <v>48</v>
      </c>
      <c r="C108" t="s">
        <v>40</v>
      </c>
      <c r="D108">
        <v>2016</v>
      </c>
      <c r="E108">
        <v>1.6816047146198001</v>
      </c>
      <c r="F108">
        <v>0.7341997048160207</v>
      </c>
      <c r="G108">
        <f t="shared" si="3"/>
        <v>-0.9474050098037794</v>
      </c>
      <c r="H108">
        <v>3.5710800648607801</v>
      </c>
    </row>
    <row r="109" spans="1:8" x14ac:dyDescent="0.35">
      <c r="A109" t="s">
        <v>73</v>
      </c>
      <c r="B109" t="s">
        <v>50</v>
      </c>
      <c r="C109" t="s">
        <v>40</v>
      </c>
      <c r="D109">
        <v>2016</v>
      </c>
      <c r="E109">
        <v>1.331417785335498</v>
      </c>
      <c r="F109">
        <v>0.7341997048160207</v>
      </c>
      <c r="G109">
        <f t="shared" si="3"/>
        <v>-0.59721808051947733</v>
      </c>
      <c r="H109">
        <v>3.5710800648607801</v>
      </c>
    </row>
    <row r="110" spans="1:8" x14ac:dyDescent="0.35">
      <c r="A110" t="s">
        <v>73</v>
      </c>
      <c r="B110" t="s">
        <v>49</v>
      </c>
      <c r="C110" t="s">
        <v>38</v>
      </c>
      <c r="D110">
        <v>2017</v>
      </c>
      <c r="E110">
        <v>1.3568331696729889</v>
      </c>
      <c r="F110">
        <v>2.2441414587468929</v>
      </c>
      <c r="G110">
        <f t="shared" si="3"/>
        <v>0.88730828907390391</v>
      </c>
      <c r="H110">
        <v>5.2254768121978712</v>
      </c>
    </row>
    <row r="111" spans="1:8" x14ac:dyDescent="0.35">
      <c r="A111" t="s">
        <v>73</v>
      </c>
      <c r="B111" t="s">
        <v>51</v>
      </c>
      <c r="C111" t="s">
        <v>38</v>
      </c>
      <c r="D111">
        <v>2017</v>
      </c>
      <c r="E111">
        <v>1.6108305416448809</v>
      </c>
      <c r="F111">
        <v>2.2441414587468929</v>
      </c>
      <c r="G111">
        <f t="shared" si="3"/>
        <v>0.63331091710201193</v>
      </c>
      <c r="H111">
        <v>5.2254768121978712</v>
      </c>
    </row>
    <row r="112" spans="1:8" x14ac:dyDescent="0.35">
      <c r="A112" t="s">
        <v>73</v>
      </c>
      <c r="B112" t="s">
        <v>50</v>
      </c>
      <c r="C112" t="s">
        <v>40</v>
      </c>
      <c r="D112">
        <v>2017</v>
      </c>
      <c r="E112">
        <v>1.686145619472357</v>
      </c>
      <c r="F112">
        <v>2.2441414587468929</v>
      </c>
      <c r="G112">
        <f t="shared" si="3"/>
        <v>0.55799583927453589</v>
      </c>
      <c r="H112">
        <v>5.2254768121978712</v>
      </c>
    </row>
    <row r="113" spans="1:8" x14ac:dyDescent="0.35">
      <c r="A113" t="s">
        <v>73</v>
      </c>
      <c r="B113" t="s">
        <v>52</v>
      </c>
      <c r="C113" t="s">
        <v>40</v>
      </c>
      <c r="D113">
        <v>2017</v>
      </c>
      <c r="E113">
        <v>1.353609964652547</v>
      </c>
      <c r="F113">
        <v>2.2441414587468929</v>
      </c>
      <c r="G113">
        <f t="shared" si="3"/>
        <v>0.89053149409434584</v>
      </c>
      <c r="H113">
        <v>5.2254768121978712</v>
      </c>
    </row>
    <row r="114" spans="1:8" x14ac:dyDescent="0.35">
      <c r="A114" t="s">
        <v>73</v>
      </c>
      <c r="B114" t="s">
        <v>51</v>
      </c>
      <c r="C114" t="s">
        <v>38</v>
      </c>
      <c r="D114">
        <v>2018</v>
      </c>
      <c r="E114">
        <v>1.745757461080699</v>
      </c>
      <c r="F114">
        <v>1.5720137685547519</v>
      </c>
      <c r="G114">
        <f t="shared" si="3"/>
        <v>-0.17374369252594701</v>
      </c>
      <c r="H114">
        <v>5.4419309718861699</v>
      </c>
    </row>
    <row r="115" spans="1:8" x14ac:dyDescent="0.35">
      <c r="A115" t="s">
        <v>73</v>
      </c>
      <c r="B115" t="s">
        <v>53</v>
      </c>
      <c r="C115" t="s">
        <v>38</v>
      </c>
      <c r="D115">
        <v>2018</v>
      </c>
      <c r="E115">
        <v>1.6664324661772369</v>
      </c>
      <c r="F115">
        <v>1.5720137685547519</v>
      </c>
      <c r="G115">
        <f t="shared" si="3"/>
        <v>-9.4418697622485004E-2</v>
      </c>
      <c r="H115">
        <v>5.4419309718861699</v>
      </c>
    </row>
    <row r="116" spans="1:8" x14ac:dyDescent="0.35">
      <c r="A116" t="s">
        <v>73</v>
      </c>
      <c r="B116" t="s">
        <v>52</v>
      </c>
      <c r="C116" t="s">
        <v>40</v>
      </c>
      <c r="D116">
        <v>2018</v>
      </c>
      <c r="E116">
        <v>1.72584962487905</v>
      </c>
      <c r="F116">
        <v>1.5720137685547519</v>
      </c>
      <c r="G116">
        <f t="shared" si="3"/>
        <v>-0.15383585632429808</v>
      </c>
      <c r="H116">
        <v>5.4419309718861699</v>
      </c>
    </row>
    <row r="117" spans="1:8" x14ac:dyDescent="0.35">
      <c r="A117" t="s">
        <v>73</v>
      </c>
      <c r="B117" t="s">
        <v>54</v>
      </c>
      <c r="C117" t="s">
        <v>40</v>
      </c>
      <c r="D117">
        <v>2018</v>
      </c>
      <c r="E117">
        <v>1.989603282667241</v>
      </c>
      <c r="F117">
        <v>1.5720137685547519</v>
      </c>
      <c r="G117">
        <f t="shared" si="3"/>
        <v>-0.41758951411248901</v>
      </c>
      <c r="H117">
        <v>5.4419309718861699</v>
      </c>
    </row>
    <row r="118" spans="1:8" x14ac:dyDescent="0.35">
      <c r="A118" t="s">
        <v>73</v>
      </c>
      <c r="B118" t="s">
        <v>53</v>
      </c>
      <c r="C118" t="s">
        <v>38</v>
      </c>
      <c r="D118">
        <v>2019</v>
      </c>
      <c r="E118">
        <v>1.641202261320762</v>
      </c>
      <c r="F118">
        <v>2.0796189403330492</v>
      </c>
      <c r="G118">
        <f t="shared" si="3"/>
        <v>0.4384166790122872</v>
      </c>
      <c r="H118">
        <v>5.1734932935653699</v>
      </c>
    </row>
    <row r="119" spans="1:8" x14ac:dyDescent="0.35">
      <c r="A119" t="s">
        <v>73</v>
      </c>
      <c r="B119" t="s">
        <v>55</v>
      </c>
      <c r="C119" t="s">
        <v>38</v>
      </c>
      <c r="D119">
        <v>2019</v>
      </c>
      <c r="E119">
        <v>1.2870082454169649</v>
      </c>
      <c r="F119">
        <v>2.0796189403330492</v>
      </c>
      <c r="G119">
        <f t="shared" si="3"/>
        <v>0.79261069491608427</v>
      </c>
      <c r="H119">
        <v>5.1734932935653699</v>
      </c>
    </row>
    <row r="120" spans="1:8" x14ac:dyDescent="0.35">
      <c r="A120" t="s">
        <v>73</v>
      </c>
      <c r="B120" t="s">
        <v>54</v>
      </c>
      <c r="C120" t="s">
        <v>40</v>
      </c>
      <c r="D120">
        <v>2019</v>
      </c>
      <c r="E120">
        <v>1.837933157898797</v>
      </c>
      <c r="F120">
        <v>2.0796189403330492</v>
      </c>
      <c r="G120">
        <f t="shared" si="3"/>
        <v>0.24168578243425221</v>
      </c>
      <c r="H120">
        <v>5.1734932935653699</v>
      </c>
    </row>
    <row r="121" spans="1:8" x14ac:dyDescent="0.35">
      <c r="A121" t="s">
        <v>73</v>
      </c>
      <c r="B121" t="s">
        <v>56</v>
      </c>
      <c r="C121" t="s">
        <v>40</v>
      </c>
      <c r="D121">
        <v>2019</v>
      </c>
      <c r="E121">
        <v>1.333589129915191</v>
      </c>
      <c r="F121">
        <v>2.0796189403330492</v>
      </c>
      <c r="G121">
        <f t="shared" si="3"/>
        <v>0.74602981041785821</v>
      </c>
      <c r="H121">
        <v>5.1734932935653699</v>
      </c>
    </row>
    <row r="122" spans="1:8" x14ac:dyDescent="0.35">
      <c r="A122" t="s">
        <v>74</v>
      </c>
      <c r="B122" t="s">
        <v>45</v>
      </c>
      <c r="C122" t="s">
        <v>38</v>
      </c>
      <c r="D122">
        <v>2015</v>
      </c>
      <c r="E122">
        <v>3.6221665910883831</v>
      </c>
      <c r="F122">
        <v>21.950744654507421</v>
      </c>
      <c r="G122">
        <f t="shared" si="3"/>
        <v>18.328578063419037</v>
      </c>
      <c r="H122">
        <v>4.0724219866131062E-2</v>
      </c>
    </row>
    <row r="123" spans="1:8" x14ac:dyDescent="0.35">
      <c r="A123" t="s">
        <v>74</v>
      </c>
      <c r="B123" t="s">
        <v>47</v>
      </c>
      <c r="C123" t="s">
        <v>38</v>
      </c>
      <c r="D123">
        <v>2015</v>
      </c>
      <c r="E123">
        <v>6.0449344943167782</v>
      </c>
      <c r="F123">
        <v>21.950744654507421</v>
      </c>
      <c r="G123">
        <f t="shared" si="3"/>
        <v>15.905810160190644</v>
      </c>
      <c r="H123">
        <v>4.0724219866131062E-2</v>
      </c>
    </row>
    <row r="124" spans="1:8" x14ac:dyDescent="0.35">
      <c r="A124" t="s">
        <v>74</v>
      </c>
      <c r="B124" t="s">
        <v>46</v>
      </c>
      <c r="C124" t="s">
        <v>40</v>
      </c>
      <c r="D124">
        <v>2015</v>
      </c>
      <c r="E124">
        <v>2.99572233370986</v>
      </c>
      <c r="F124">
        <v>21.950744654507421</v>
      </c>
      <c r="G124">
        <f t="shared" si="3"/>
        <v>18.955022320797561</v>
      </c>
      <c r="H124">
        <v>4.0724219866131062E-2</v>
      </c>
    </row>
    <row r="125" spans="1:8" x14ac:dyDescent="0.35">
      <c r="A125" t="s">
        <v>74</v>
      </c>
      <c r="B125" t="s">
        <v>48</v>
      </c>
      <c r="C125" t="s">
        <v>40</v>
      </c>
      <c r="D125">
        <v>2015</v>
      </c>
      <c r="E125">
        <v>3.6070418929936339</v>
      </c>
      <c r="F125">
        <v>21.950744654507421</v>
      </c>
      <c r="G125">
        <f t="shared" si="3"/>
        <v>18.343702761513786</v>
      </c>
      <c r="H125">
        <v>4.0724219866131062E-2</v>
      </c>
    </row>
    <row r="126" spans="1:8" x14ac:dyDescent="0.35">
      <c r="A126" t="s">
        <v>74</v>
      </c>
      <c r="B126" t="s">
        <v>47</v>
      </c>
      <c r="C126" t="s">
        <v>38</v>
      </c>
      <c r="D126">
        <v>2016</v>
      </c>
      <c r="E126">
        <v>4.4841243342324866</v>
      </c>
      <c r="F126">
        <v>1.1725462785856491</v>
      </c>
      <c r="G126">
        <f t="shared" si="3"/>
        <v>-3.3115780556468373</v>
      </c>
      <c r="H126">
        <v>4.946154241423438E-2</v>
      </c>
    </row>
    <row r="127" spans="1:8" x14ac:dyDescent="0.35">
      <c r="A127" t="s">
        <v>74</v>
      </c>
      <c r="B127" t="s">
        <v>49</v>
      </c>
      <c r="C127" t="s">
        <v>38</v>
      </c>
      <c r="D127">
        <v>2016</v>
      </c>
      <c r="E127">
        <v>4.0884411162628984</v>
      </c>
      <c r="F127">
        <v>1.1725462785856491</v>
      </c>
      <c r="G127">
        <f t="shared" si="3"/>
        <v>-2.9158948376772491</v>
      </c>
      <c r="H127">
        <v>4.946154241423438E-2</v>
      </c>
    </row>
    <row r="128" spans="1:8" x14ac:dyDescent="0.35">
      <c r="A128" t="s">
        <v>74</v>
      </c>
      <c r="B128" t="s">
        <v>48</v>
      </c>
      <c r="C128" t="s">
        <v>40</v>
      </c>
      <c r="D128">
        <v>2016</v>
      </c>
      <c r="E128">
        <v>3.4764574668220138</v>
      </c>
      <c r="F128">
        <v>1.1725462785856491</v>
      </c>
      <c r="G128">
        <f t="shared" si="3"/>
        <v>-2.3039111882363645</v>
      </c>
      <c r="H128">
        <v>4.946154241423438E-2</v>
      </c>
    </row>
    <row r="129" spans="1:8" x14ac:dyDescent="0.35">
      <c r="A129" t="s">
        <v>74</v>
      </c>
      <c r="B129" t="s">
        <v>50</v>
      </c>
      <c r="C129" t="s">
        <v>40</v>
      </c>
      <c r="D129">
        <v>2016</v>
      </c>
      <c r="E129">
        <v>4.8687098071762858</v>
      </c>
      <c r="F129">
        <v>1.1725462785856491</v>
      </c>
      <c r="G129">
        <f t="shared" si="3"/>
        <v>-3.6961635285906365</v>
      </c>
      <c r="H129">
        <v>4.946154241423438E-2</v>
      </c>
    </row>
    <row r="130" spans="1:8" x14ac:dyDescent="0.35">
      <c r="A130" t="s">
        <v>74</v>
      </c>
      <c r="B130" t="s">
        <v>49</v>
      </c>
      <c r="C130" t="s">
        <v>38</v>
      </c>
      <c r="D130">
        <v>2017</v>
      </c>
      <c r="E130">
        <v>3.6014209648164601</v>
      </c>
      <c r="F130">
        <v>9.6242949957613337</v>
      </c>
      <c r="G130">
        <f t="shared" ref="G130:G161" si="4">IF(OR(F130="",E130=""),"",F130-E130)</f>
        <v>6.0228740309448732</v>
      </c>
      <c r="H130">
        <v>7.3230975957205416E-2</v>
      </c>
    </row>
    <row r="131" spans="1:8" x14ac:dyDescent="0.35">
      <c r="A131" t="s">
        <v>74</v>
      </c>
      <c r="B131" t="s">
        <v>51</v>
      </c>
      <c r="C131" t="s">
        <v>38</v>
      </c>
      <c r="D131">
        <v>2017</v>
      </c>
      <c r="E131">
        <v>4.8263025218790556</v>
      </c>
      <c r="F131">
        <v>9.6242949957613337</v>
      </c>
      <c r="G131">
        <f t="shared" si="4"/>
        <v>4.7979924738822781</v>
      </c>
      <c r="H131">
        <v>7.3230975957205416E-2</v>
      </c>
    </row>
    <row r="132" spans="1:8" x14ac:dyDescent="0.35">
      <c r="A132" t="s">
        <v>74</v>
      </c>
      <c r="B132" t="s">
        <v>50</v>
      </c>
      <c r="C132" t="s">
        <v>40</v>
      </c>
      <c r="D132">
        <v>2017</v>
      </c>
      <c r="E132">
        <v>3.6717987560630938</v>
      </c>
      <c r="F132">
        <v>9.6242949957613337</v>
      </c>
      <c r="G132">
        <f t="shared" si="4"/>
        <v>5.9524962396982399</v>
      </c>
      <c r="H132">
        <v>7.3230975957205416E-2</v>
      </c>
    </row>
    <row r="133" spans="1:8" x14ac:dyDescent="0.35">
      <c r="A133" t="s">
        <v>74</v>
      </c>
      <c r="B133" t="s">
        <v>52</v>
      </c>
      <c r="C133" t="s">
        <v>40</v>
      </c>
      <c r="D133">
        <v>2017</v>
      </c>
      <c r="E133">
        <v>3.9509452446526701</v>
      </c>
      <c r="F133">
        <v>9.6242949957613337</v>
      </c>
      <c r="G133">
        <f t="shared" si="4"/>
        <v>5.6733497511086632</v>
      </c>
      <c r="H133">
        <v>7.3230975957205416E-2</v>
      </c>
    </row>
    <row r="134" spans="1:8" x14ac:dyDescent="0.35">
      <c r="A134" t="s">
        <v>74</v>
      </c>
      <c r="B134" t="s">
        <v>51</v>
      </c>
      <c r="C134" t="s">
        <v>38</v>
      </c>
      <c r="D134">
        <v>2018</v>
      </c>
      <c r="E134">
        <v>3.9055452515839528</v>
      </c>
      <c r="F134">
        <v>7.4446874521163222</v>
      </c>
      <c r="G134">
        <f t="shared" si="4"/>
        <v>3.5391422005323694</v>
      </c>
      <c r="H134">
        <v>6.4420530915232005E-2</v>
      </c>
    </row>
    <row r="135" spans="1:8" x14ac:dyDescent="0.35">
      <c r="A135" t="s">
        <v>74</v>
      </c>
      <c r="B135" t="s">
        <v>53</v>
      </c>
      <c r="C135" t="s">
        <v>38</v>
      </c>
      <c r="D135">
        <v>2018</v>
      </c>
      <c r="E135">
        <v>7.8117760082768486</v>
      </c>
      <c r="F135">
        <v>7.4446874521163222</v>
      </c>
      <c r="G135">
        <f t="shared" si="4"/>
        <v>-0.36708855616052638</v>
      </c>
      <c r="H135">
        <v>6.4420530915232005E-2</v>
      </c>
    </row>
    <row r="136" spans="1:8" x14ac:dyDescent="0.35">
      <c r="A136" t="s">
        <v>74</v>
      </c>
      <c r="B136" t="s">
        <v>52</v>
      </c>
      <c r="C136" t="s">
        <v>40</v>
      </c>
      <c r="D136">
        <v>2018</v>
      </c>
      <c r="E136">
        <v>3.6432271266646499</v>
      </c>
      <c r="F136">
        <v>7.4446874521163222</v>
      </c>
      <c r="G136">
        <f t="shared" si="4"/>
        <v>3.8014603254516723</v>
      </c>
      <c r="H136">
        <v>6.4420530915232005E-2</v>
      </c>
    </row>
    <row r="137" spans="1:8" x14ac:dyDescent="0.35">
      <c r="A137" t="s">
        <v>74</v>
      </c>
      <c r="B137" t="s">
        <v>54</v>
      </c>
      <c r="C137" t="s">
        <v>40</v>
      </c>
      <c r="D137">
        <v>2018</v>
      </c>
      <c r="E137">
        <v>5.6808928025538163</v>
      </c>
      <c r="F137">
        <v>7.4446874521163222</v>
      </c>
      <c r="G137">
        <f t="shared" si="4"/>
        <v>1.7637946495625059</v>
      </c>
      <c r="H137">
        <v>6.4420530915232005E-2</v>
      </c>
    </row>
    <row r="138" spans="1:8" x14ac:dyDescent="0.35">
      <c r="A138" t="s">
        <v>74</v>
      </c>
      <c r="B138" t="s">
        <v>53</v>
      </c>
      <c r="C138" t="s">
        <v>38</v>
      </c>
      <c r="D138">
        <v>2019</v>
      </c>
      <c r="E138">
        <v>4.5299756937161373</v>
      </c>
      <c r="F138">
        <v>4.8237638263446936</v>
      </c>
      <c r="G138">
        <f t="shared" si="4"/>
        <v>0.2937881326285563</v>
      </c>
      <c r="H138">
        <v>8.451228512832766E-2</v>
      </c>
    </row>
    <row r="139" spans="1:8" x14ac:dyDescent="0.35">
      <c r="A139" t="s">
        <v>74</v>
      </c>
      <c r="B139" t="s">
        <v>55</v>
      </c>
      <c r="C139" t="s">
        <v>38</v>
      </c>
      <c r="D139">
        <v>2019</v>
      </c>
      <c r="E139">
        <v>5.6355935792373302</v>
      </c>
      <c r="F139">
        <v>4.8237638263446936</v>
      </c>
      <c r="G139">
        <f t="shared" si="4"/>
        <v>-0.81182975289263659</v>
      </c>
      <c r="H139">
        <v>8.451228512832766E-2</v>
      </c>
    </row>
    <row r="140" spans="1:8" x14ac:dyDescent="0.35">
      <c r="A140" t="s">
        <v>74</v>
      </c>
      <c r="B140" t="s">
        <v>54</v>
      </c>
      <c r="C140" t="s">
        <v>40</v>
      </c>
      <c r="D140">
        <v>2019</v>
      </c>
      <c r="E140">
        <v>4.058674421459818</v>
      </c>
      <c r="F140">
        <v>4.8237638263446936</v>
      </c>
      <c r="G140">
        <f t="shared" si="4"/>
        <v>0.76508940488487553</v>
      </c>
      <c r="H140">
        <v>8.451228512832766E-2</v>
      </c>
    </row>
    <row r="141" spans="1:8" x14ac:dyDescent="0.35">
      <c r="A141" t="s">
        <v>74</v>
      </c>
      <c r="B141" t="s">
        <v>56</v>
      </c>
      <c r="C141" t="s">
        <v>40</v>
      </c>
      <c r="D141">
        <v>2019</v>
      </c>
      <c r="E141">
        <v>3.759569376747196</v>
      </c>
      <c r="F141">
        <v>4.8237638263446936</v>
      </c>
      <c r="G141">
        <f t="shared" si="4"/>
        <v>1.0641944495974975</v>
      </c>
      <c r="H141">
        <v>8.451228512832766E-2</v>
      </c>
    </row>
    <row r="142" spans="1:8" x14ac:dyDescent="0.35">
      <c r="A142" t="s">
        <v>75</v>
      </c>
      <c r="B142" t="s">
        <v>45</v>
      </c>
      <c r="C142" t="s">
        <v>38</v>
      </c>
      <c r="D142">
        <v>2015</v>
      </c>
      <c r="E142">
        <v>0.62872973894907425</v>
      </c>
      <c r="F142">
        <v>0.74285153390220071</v>
      </c>
      <c r="G142">
        <f t="shared" si="4"/>
        <v>0.11412179495312647</v>
      </c>
      <c r="H142">
        <v>6.4495721704754719E-2</v>
      </c>
    </row>
    <row r="143" spans="1:8" x14ac:dyDescent="0.35">
      <c r="A143" t="s">
        <v>75</v>
      </c>
      <c r="B143" t="s">
        <v>47</v>
      </c>
      <c r="C143" t="s">
        <v>38</v>
      </c>
      <c r="D143">
        <v>2015</v>
      </c>
      <c r="E143">
        <v>0.86665350989461043</v>
      </c>
      <c r="F143">
        <v>0.74285153390220071</v>
      </c>
      <c r="G143">
        <f t="shared" si="4"/>
        <v>-0.12380197599240972</v>
      </c>
      <c r="H143">
        <v>6.4495721704754719E-2</v>
      </c>
    </row>
    <row r="144" spans="1:8" x14ac:dyDescent="0.35">
      <c r="A144" t="s">
        <v>75</v>
      </c>
      <c r="B144" t="s">
        <v>46</v>
      </c>
      <c r="C144" t="s">
        <v>40</v>
      </c>
      <c r="D144">
        <v>2015</v>
      </c>
      <c r="E144">
        <v>1.229987574853153</v>
      </c>
      <c r="F144">
        <v>0.74285153390220071</v>
      </c>
      <c r="G144">
        <f t="shared" si="4"/>
        <v>-0.48713604095095231</v>
      </c>
      <c r="H144">
        <v>6.4495721704754719E-2</v>
      </c>
    </row>
    <row r="145" spans="1:8" x14ac:dyDescent="0.35">
      <c r="A145" t="s">
        <v>75</v>
      </c>
      <c r="B145" t="s">
        <v>48</v>
      </c>
      <c r="C145" t="s">
        <v>40</v>
      </c>
      <c r="D145">
        <v>2015</v>
      </c>
      <c r="E145">
        <v>0.6068597463795955</v>
      </c>
      <c r="F145">
        <v>0.74285153390220071</v>
      </c>
      <c r="G145">
        <f t="shared" si="4"/>
        <v>0.13599178752260521</v>
      </c>
      <c r="H145">
        <v>6.4495721704754719E-2</v>
      </c>
    </row>
    <row r="146" spans="1:8" x14ac:dyDescent="0.35">
      <c r="A146" t="s">
        <v>75</v>
      </c>
      <c r="B146" t="s">
        <v>47</v>
      </c>
      <c r="C146" t="s">
        <v>38</v>
      </c>
      <c r="D146">
        <v>2016</v>
      </c>
      <c r="E146">
        <v>1.4512761867371271</v>
      </c>
      <c r="F146">
        <v>1.34543552139666</v>
      </c>
      <c r="G146">
        <f t="shared" si="4"/>
        <v>-0.1058406653404671</v>
      </c>
      <c r="H146">
        <v>4.895947464224041E-2</v>
      </c>
    </row>
    <row r="147" spans="1:8" x14ac:dyDescent="0.35">
      <c r="A147" t="s">
        <v>75</v>
      </c>
      <c r="B147" t="s">
        <v>49</v>
      </c>
      <c r="C147" t="s">
        <v>38</v>
      </c>
      <c r="D147">
        <v>2016</v>
      </c>
      <c r="E147">
        <v>0.70784283945437565</v>
      </c>
      <c r="F147">
        <v>1.34543552139666</v>
      </c>
      <c r="G147">
        <f t="shared" si="4"/>
        <v>0.63759268194228436</v>
      </c>
      <c r="H147">
        <v>4.895947464224041E-2</v>
      </c>
    </row>
    <row r="148" spans="1:8" x14ac:dyDescent="0.35">
      <c r="A148" t="s">
        <v>75</v>
      </c>
      <c r="B148" t="s">
        <v>48</v>
      </c>
      <c r="C148" t="s">
        <v>40</v>
      </c>
      <c r="D148">
        <v>2016</v>
      </c>
      <c r="E148">
        <v>1.4109778499366681</v>
      </c>
      <c r="F148">
        <v>1.34543552139666</v>
      </c>
      <c r="G148">
        <f t="shared" si="4"/>
        <v>-6.5542328540008077E-2</v>
      </c>
      <c r="H148">
        <v>4.895947464224041E-2</v>
      </c>
    </row>
    <row r="149" spans="1:8" x14ac:dyDescent="0.35">
      <c r="A149" t="s">
        <v>75</v>
      </c>
      <c r="B149" t="s">
        <v>50</v>
      </c>
      <c r="C149" t="s">
        <v>40</v>
      </c>
      <c r="D149">
        <v>2016</v>
      </c>
      <c r="E149">
        <v>1.090462780977397</v>
      </c>
      <c r="F149">
        <v>1.34543552139666</v>
      </c>
      <c r="G149">
        <f t="shared" si="4"/>
        <v>0.25497274041926299</v>
      </c>
      <c r="H149">
        <v>4.895947464224041E-2</v>
      </c>
    </row>
    <row r="150" spans="1:8" x14ac:dyDescent="0.35">
      <c r="A150" t="s">
        <v>75</v>
      </c>
      <c r="B150" t="s">
        <v>49</v>
      </c>
      <c r="C150" t="s">
        <v>38</v>
      </c>
      <c r="D150">
        <v>2017</v>
      </c>
      <c r="E150">
        <v>0.90288361690229468</v>
      </c>
      <c r="F150">
        <v>1.6777714333363121</v>
      </c>
      <c r="G150">
        <f t="shared" si="4"/>
        <v>0.77488781643401738</v>
      </c>
      <c r="H150">
        <v>4.7872991480586879E-2</v>
      </c>
    </row>
    <row r="151" spans="1:8" x14ac:dyDescent="0.35">
      <c r="A151" t="s">
        <v>75</v>
      </c>
      <c r="B151" t="s">
        <v>51</v>
      </c>
      <c r="C151" t="s">
        <v>38</v>
      </c>
      <c r="D151">
        <v>2017</v>
      </c>
      <c r="E151">
        <v>1.454734323287576</v>
      </c>
      <c r="F151">
        <v>1.6777714333363121</v>
      </c>
      <c r="G151">
        <f t="shared" si="4"/>
        <v>0.22303711004873605</v>
      </c>
      <c r="H151">
        <v>4.7872991480586879E-2</v>
      </c>
    </row>
    <row r="152" spans="1:8" x14ac:dyDescent="0.35">
      <c r="A152" t="s">
        <v>75</v>
      </c>
      <c r="B152" t="s">
        <v>50</v>
      </c>
      <c r="C152" t="s">
        <v>40</v>
      </c>
      <c r="D152">
        <v>2017</v>
      </c>
      <c r="E152">
        <v>1.33546021526687</v>
      </c>
      <c r="F152">
        <v>1.6777714333363121</v>
      </c>
      <c r="G152">
        <f t="shared" si="4"/>
        <v>0.34231121806944209</v>
      </c>
      <c r="H152">
        <v>4.7872991480586879E-2</v>
      </c>
    </row>
    <row r="153" spans="1:8" x14ac:dyDescent="0.35">
      <c r="A153" t="s">
        <v>75</v>
      </c>
      <c r="B153" t="s">
        <v>52</v>
      </c>
      <c r="C153" t="s">
        <v>40</v>
      </c>
      <c r="D153">
        <v>2017</v>
      </c>
      <c r="E153">
        <v>0.92886361941262319</v>
      </c>
      <c r="F153">
        <v>1.6777714333363121</v>
      </c>
      <c r="G153">
        <f t="shared" si="4"/>
        <v>0.74890781392368888</v>
      </c>
      <c r="H153">
        <v>4.7872991480586879E-2</v>
      </c>
    </row>
    <row r="154" spans="1:8" x14ac:dyDescent="0.35">
      <c r="A154" t="s">
        <v>75</v>
      </c>
      <c r="B154" t="s">
        <v>51</v>
      </c>
      <c r="C154" t="s">
        <v>38</v>
      </c>
      <c r="D154">
        <v>2018</v>
      </c>
      <c r="E154">
        <v>1.301033595779133</v>
      </c>
      <c r="F154">
        <v>0.67915616097696463</v>
      </c>
      <c r="G154">
        <f t="shared" si="4"/>
        <v>-0.62187743480216839</v>
      </c>
      <c r="H154">
        <v>7.9752209883890743E-2</v>
      </c>
    </row>
    <row r="155" spans="1:8" x14ac:dyDescent="0.35">
      <c r="A155" t="s">
        <v>75</v>
      </c>
      <c r="B155" t="s">
        <v>53</v>
      </c>
      <c r="C155" t="s">
        <v>38</v>
      </c>
      <c r="D155">
        <v>2018</v>
      </c>
      <c r="E155">
        <v>1.148974792689472</v>
      </c>
      <c r="F155">
        <v>0.67915616097696463</v>
      </c>
      <c r="G155">
        <f t="shared" si="4"/>
        <v>-0.46981863171250737</v>
      </c>
      <c r="H155">
        <v>7.9752209883890743E-2</v>
      </c>
    </row>
    <row r="156" spans="1:8" x14ac:dyDescent="0.35">
      <c r="A156" t="s">
        <v>75</v>
      </c>
      <c r="B156" t="s">
        <v>52</v>
      </c>
      <c r="C156" t="s">
        <v>40</v>
      </c>
      <c r="D156">
        <v>2018</v>
      </c>
      <c r="E156">
        <v>1.1322194305175119</v>
      </c>
      <c r="F156">
        <v>0.67915616097696463</v>
      </c>
      <c r="G156">
        <f t="shared" si="4"/>
        <v>-0.45306326954054732</v>
      </c>
      <c r="H156">
        <v>7.9752209883890743E-2</v>
      </c>
    </row>
    <row r="157" spans="1:8" x14ac:dyDescent="0.35">
      <c r="A157" t="s">
        <v>75</v>
      </c>
      <c r="B157" t="s">
        <v>54</v>
      </c>
      <c r="C157" t="s">
        <v>40</v>
      </c>
      <c r="D157">
        <v>2018</v>
      </c>
      <c r="E157">
        <v>1.453547985332837</v>
      </c>
      <c r="F157">
        <v>0.67915616097696463</v>
      </c>
      <c r="G157">
        <f t="shared" si="4"/>
        <v>-0.77439182435587239</v>
      </c>
      <c r="H157">
        <v>7.9752209883890743E-2</v>
      </c>
    </row>
    <row r="158" spans="1:8" x14ac:dyDescent="0.35">
      <c r="A158" t="s">
        <v>75</v>
      </c>
      <c r="B158" t="s">
        <v>53</v>
      </c>
      <c r="C158" t="s">
        <v>38</v>
      </c>
      <c r="D158">
        <v>2019</v>
      </c>
      <c r="E158">
        <v>1.1508168253350211</v>
      </c>
      <c r="F158">
        <v>0.41751152968335331</v>
      </c>
      <c r="G158">
        <f t="shared" si="4"/>
        <v>-0.73330529565166769</v>
      </c>
      <c r="H158">
        <v>7.456030390779872E-2</v>
      </c>
    </row>
    <row r="159" spans="1:8" x14ac:dyDescent="0.35">
      <c r="A159" t="s">
        <v>75</v>
      </c>
      <c r="B159" t="s">
        <v>55</v>
      </c>
      <c r="C159" t="s">
        <v>38</v>
      </c>
      <c r="D159">
        <v>2019</v>
      </c>
      <c r="E159">
        <v>0.1046834039854172</v>
      </c>
      <c r="F159">
        <v>0.41751152968335331</v>
      </c>
      <c r="G159">
        <f t="shared" si="4"/>
        <v>0.31282812569793611</v>
      </c>
      <c r="H159">
        <v>7.456030390779872E-2</v>
      </c>
    </row>
    <row r="160" spans="1:8" x14ac:dyDescent="0.35">
      <c r="A160" t="s">
        <v>75</v>
      </c>
      <c r="B160" t="s">
        <v>54</v>
      </c>
      <c r="C160" t="s">
        <v>40</v>
      </c>
      <c r="D160">
        <v>2019</v>
      </c>
      <c r="E160">
        <v>1.208894526316961</v>
      </c>
      <c r="F160">
        <v>0.41751152968335331</v>
      </c>
      <c r="G160">
        <f t="shared" si="4"/>
        <v>-0.79138299663360767</v>
      </c>
      <c r="H160">
        <v>7.456030390779872E-2</v>
      </c>
    </row>
    <row r="161" spans="1:8" x14ac:dyDescent="0.35">
      <c r="A161" t="s">
        <v>75</v>
      </c>
      <c r="B161" t="s">
        <v>56</v>
      </c>
      <c r="C161" t="s">
        <v>40</v>
      </c>
      <c r="D161">
        <v>2019</v>
      </c>
      <c r="E161">
        <v>0.1006276066420453</v>
      </c>
      <c r="F161">
        <v>0.41751152968335331</v>
      </c>
      <c r="G161">
        <f t="shared" si="4"/>
        <v>0.31688392304130802</v>
      </c>
      <c r="H161">
        <v>7.456030390779872E-2</v>
      </c>
    </row>
    <row r="162" spans="1:8" x14ac:dyDescent="0.35">
      <c r="A162" t="s">
        <v>76</v>
      </c>
      <c r="B162" t="s">
        <v>45</v>
      </c>
      <c r="C162" t="s">
        <v>38</v>
      </c>
      <c r="D162">
        <v>2015</v>
      </c>
      <c r="E162">
        <v>1.4152411951803721</v>
      </c>
      <c r="F162">
        <v>2.075992985655045</v>
      </c>
      <c r="G162">
        <f t="shared" ref="G162:G193" si="5">IF(OR(F162="",E162=""),"",F162-E162)</f>
        <v>0.66075179047467292</v>
      </c>
      <c r="H162">
        <v>0.64469227395689221</v>
      </c>
    </row>
    <row r="163" spans="1:8" x14ac:dyDescent="0.35">
      <c r="A163" t="s">
        <v>76</v>
      </c>
      <c r="B163" t="s">
        <v>47</v>
      </c>
      <c r="C163" t="s">
        <v>38</v>
      </c>
      <c r="D163">
        <v>2015</v>
      </c>
      <c r="E163">
        <v>2.048080115775686</v>
      </c>
      <c r="F163">
        <v>2.075992985655045</v>
      </c>
      <c r="G163">
        <f t="shared" si="5"/>
        <v>2.7912869879358926E-2</v>
      </c>
      <c r="H163">
        <v>0.64469227395689221</v>
      </c>
    </row>
    <row r="164" spans="1:8" x14ac:dyDescent="0.35">
      <c r="A164" t="s">
        <v>76</v>
      </c>
      <c r="B164" t="s">
        <v>46</v>
      </c>
      <c r="C164" t="s">
        <v>40</v>
      </c>
      <c r="D164">
        <v>2015</v>
      </c>
      <c r="E164">
        <v>1.3587126188379759</v>
      </c>
      <c r="F164">
        <v>2.075992985655045</v>
      </c>
      <c r="G164">
        <f t="shared" si="5"/>
        <v>0.71728036681706908</v>
      </c>
      <c r="H164">
        <v>0.64469227395689221</v>
      </c>
    </row>
    <row r="165" spans="1:8" x14ac:dyDescent="0.35">
      <c r="A165" t="s">
        <v>76</v>
      </c>
      <c r="B165" t="s">
        <v>48</v>
      </c>
      <c r="C165" t="s">
        <v>40</v>
      </c>
      <c r="D165">
        <v>2015</v>
      </c>
      <c r="E165">
        <v>1.634744403265187</v>
      </c>
      <c r="F165">
        <v>2.075992985655045</v>
      </c>
      <c r="G165">
        <f t="shared" si="5"/>
        <v>0.44124858238985798</v>
      </c>
      <c r="H165">
        <v>0.64469227395689221</v>
      </c>
    </row>
    <row r="166" spans="1:8" x14ac:dyDescent="0.35">
      <c r="A166" t="s">
        <v>76</v>
      </c>
      <c r="B166" t="s">
        <v>47</v>
      </c>
      <c r="C166" t="s">
        <v>38</v>
      </c>
      <c r="D166">
        <v>2016</v>
      </c>
      <c r="E166">
        <v>2.1325986777734669</v>
      </c>
      <c r="F166">
        <v>2.3909782656438301</v>
      </c>
      <c r="G166">
        <f t="shared" si="5"/>
        <v>0.25837958787036319</v>
      </c>
      <c r="H166">
        <v>0.88869438219391805</v>
      </c>
    </row>
    <row r="167" spans="1:8" x14ac:dyDescent="0.35">
      <c r="A167" t="s">
        <v>76</v>
      </c>
      <c r="B167" t="s">
        <v>49</v>
      </c>
      <c r="C167" t="s">
        <v>38</v>
      </c>
      <c r="D167">
        <v>2016</v>
      </c>
      <c r="E167">
        <v>1.6589744219452249</v>
      </c>
      <c r="F167">
        <v>2.3909782656438301</v>
      </c>
      <c r="G167">
        <f t="shared" si="5"/>
        <v>0.73200384369860516</v>
      </c>
      <c r="H167">
        <v>0.88869438219391805</v>
      </c>
    </row>
    <row r="168" spans="1:8" x14ac:dyDescent="0.35">
      <c r="A168" t="s">
        <v>76</v>
      </c>
      <c r="B168" t="s">
        <v>48</v>
      </c>
      <c r="C168" t="s">
        <v>40</v>
      </c>
      <c r="D168">
        <v>2016</v>
      </c>
      <c r="E168">
        <v>1.7327119888610909</v>
      </c>
      <c r="F168">
        <v>2.3909782656438301</v>
      </c>
      <c r="G168">
        <f t="shared" si="5"/>
        <v>0.65826627678273919</v>
      </c>
      <c r="H168">
        <v>0.88869438219391805</v>
      </c>
    </row>
    <row r="169" spans="1:8" x14ac:dyDescent="0.35">
      <c r="A169" t="s">
        <v>76</v>
      </c>
      <c r="B169" t="s">
        <v>50</v>
      </c>
      <c r="C169" t="s">
        <v>40</v>
      </c>
      <c r="D169">
        <v>2016</v>
      </c>
      <c r="E169">
        <v>1.6774792555238389</v>
      </c>
      <c r="F169">
        <v>2.3909782656438301</v>
      </c>
      <c r="G169">
        <f t="shared" si="5"/>
        <v>0.71349901011999117</v>
      </c>
      <c r="H169">
        <v>0.88869438219391805</v>
      </c>
    </row>
    <row r="170" spans="1:8" x14ac:dyDescent="0.35">
      <c r="A170" t="s">
        <v>76</v>
      </c>
      <c r="B170" t="s">
        <v>49</v>
      </c>
      <c r="C170" t="s">
        <v>38</v>
      </c>
      <c r="D170">
        <v>2017</v>
      </c>
      <c r="E170">
        <v>1.6517530585588249</v>
      </c>
      <c r="F170">
        <v>2.7431906089065579</v>
      </c>
      <c r="G170">
        <f t="shared" si="5"/>
        <v>1.0914375503477329</v>
      </c>
      <c r="H170">
        <v>0.91375556201106944</v>
      </c>
    </row>
    <row r="171" spans="1:8" x14ac:dyDescent="0.35">
      <c r="A171" t="s">
        <v>76</v>
      </c>
      <c r="B171" t="s">
        <v>51</v>
      </c>
      <c r="C171" t="s">
        <v>38</v>
      </c>
      <c r="D171">
        <v>2017</v>
      </c>
      <c r="E171">
        <v>3.2081591137887999</v>
      </c>
      <c r="F171">
        <v>2.7431906089065579</v>
      </c>
      <c r="G171">
        <f t="shared" si="5"/>
        <v>-0.46496850488224206</v>
      </c>
      <c r="H171">
        <v>0.91375556201106944</v>
      </c>
    </row>
    <row r="172" spans="1:8" x14ac:dyDescent="0.35">
      <c r="A172" t="s">
        <v>76</v>
      </c>
      <c r="B172" t="s">
        <v>50</v>
      </c>
      <c r="C172" t="s">
        <v>40</v>
      </c>
      <c r="D172">
        <v>2017</v>
      </c>
      <c r="E172">
        <v>1.9694041267229729</v>
      </c>
      <c r="F172">
        <v>2.7431906089065579</v>
      </c>
      <c r="G172">
        <f t="shared" si="5"/>
        <v>0.77378648218358492</v>
      </c>
      <c r="H172">
        <v>0.91375556201106944</v>
      </c>
    </row>
    <row r="173" spans="1:8" x14ac:dyDescent="0.35">
      <c r="A173" t="s">
        <v>76</v>
      </c>
      <c r="B173" t="s">
        <v>52</v>
      </c>
      <c r="C173" t="s">
        <v>40</v>
      </c>
      <c r="D173">
        <v>2017</v>
      </c>
      <c r="E173">
        <v>2.1108256212513781</v>
      </c>
      <c r="F173">
        <v>2.7431906089065579</v>
      </c>
      <c r="G173">
        <f t="shared" si="5"/>
        <v>0.63236498765517979</v>
      </c>
      <c r="H173">
        <v>0.91375556201106944</v>
      </c>
    </row>
    <row r="174" spans="1:8" x14ac:dyDescent="0.35">
      <c r="A174" t="s">
        <v>76</v>
      </c>
      <c r="B174" t="s">
        <v>51</v>
      </c>
      <c r="C174" t="s">
        <v>38</v>
      </c>
      <c r="D174">
        <v>2018</v>
      </c>
      <c r="E174">
        <v>2.719855882122268</v>
      </c>
      <c r="F174">
        <v>2.2276489335745251</v>
      </c>
      <c r="G174">
        <f t="shared" si="5"/>
        <v>-0.49220694854774294</v>
      </c>
      <c r="H174">
        <v>1.074386415797439</v>
      </c>
    </row>
    <row r="175" spans="1:8" x14ac:dyDescent="0.35">
      <c r="A175" t="s">
        <v>76</v>
      </c>
      <c r="B175" t="s">
        <v>53</v>
      </c>
      <c r="C175" t="s">
        <v>38</v>
      </c>
      <c r="D175">
        <v>2018</v>
      </c>
      <c r="E175">
        <v>2.836804692292016</v>
      </c>
      <c r="F175">
        <v>2.2276489335745251</v>
      </c>
      <c r="G175">
        <f t="shared" si="5"/>
        <v>-0.60915575871749095</v>
      </c>
      <c r="H175">
        <v>1.074386415797439</v>
      </c>
    </row>
    <row r="176" spans="1:8" x14ac:dyDescent="0.35">
      <c r="A176" t="s">
        <v>76</v>
      </c>
      <c r="B176" t="s">
        <v>52</v>
      </c>
      <c r="C176" t="s">
        <v>40</v>
      </c>
      <c r="D176">
        <v>2018</v>
      </c>
      <c r="E176">
        <v>1.81696463155987</v>
      </c>
      <c r="F176">
        <v>2.2276489335745251</v>
      </c>
      <c r="G176">
        <f t="shared" si="5"/>
        <v>0.41068430201465511</v>
      </c>
      <c r="H176">
        <v>1.074386415797439</v>
      </c>
    </row>
    <row r="177" spans="1:8" x14ac:dyDescent="0.35">
      <c r="A177" t="s">
        <v>76</v>
      </c>
      <c r="B177" t="s">
        <v>54</v>
      </c>
      <c r="C177" t="s">
        <v>40</v>
      </c>
      <c r="D177">
        <v>2018</v>
      </c>
      <c r="E177">
        <v>2.9504045313044398</v>
      </c>
      <c r="F177">
        <v>2.2276489335745251</v>
      </c>
      <c r="G177">
        <f t="shared" si="5"/>
        <v>-0.72275559772991471</v>
      </c>
      <c r="H177">
        <v>1.074386415797439</v>
      </c>
    </row>
    <row r="178" spans="1:8" x14ac:dyDescent="0.35">
      <c r="A178" t="s">
        <v>76</v>
      </c>
      <c r="B178" t="s">
        <v>53</v>
      </c>
      <c r="C178" t="s">
        <v>38</v>
      </c>
      <c r="D178">
        <v>2019</v>
      </c>
      <c r="E178">
        <v>2.3973855170303038</v>
      </c>
      <c r="F178">
        <v>2.2687921571426761</v>
      </c>
      <c r="G178">
        <f t="shared" si="5"/>
        <v>-0.12859335988762766</v>
      </c>
      <c r="H178">
        <v>1.104616251936025</v>
      </c>
    </row>
    <row r="179" spans="1:8" x14ac:dyDescent="0.35">
      <c r="A179" t="s">
        <v>76</v>
      </c>
      <c r="B179" t="s">
        <v>55</v>
      </c>
      <c r="C179" t="s">
        <v>38</v>
      </c>
      <c r="D179">
        <v>2019</v>
      </c>
      <c r="E179">
        <v>1.699934171052897</v>
      </c>
      <c r="F179">
        <v>2.2687921571426761</v>
      </c>
      <c r="G179">
        <f t="shared" si="5"/>
        <v>0.56885798608977911</v>
      </c>
      <c r="H179">
        <v>1.104616251936025</v>
      </c>
    </row>
    <row r="180" spans="1:8" x14ac:dyDescent="0.35">
      <c r="A180" t="s">
        <v>76</v>
      </c>
      <c r="B180" t="s">
        <v>54</v>
      </c>
      <c r="C180" t="s">
        <v>40</v>
      </c>
      <c r="D180">
        <v>2019</v>
      </c>
      <c r="E180">
        <v>2.5903398154754731</v>
      </c>
      <c r="F180">
        <v>2.2687921571426761</v>
      </c>
      <c r="G180">
        <f t="shared" si="5"/>
        <v>-0.32154765833279697</v>
      </c>
      <c r="H180">
        <v>1.104616251936025</v>
      </c>
    </row>
    <row r="181" spans="1:8" x14ac:dyDescent="0.35">
      <c r="A181" t="s">
        <v>76</v>
      </c>
      <c r="B181" t="s">
        <v>56</v>
      </c>
      <c r="C181" t="s">
        <v>40</v>
      </c>
      <c r="D181">
        <v>2019</v>
      </c>
      <c r="E181">
        <v>1.627911133653104</v>
      </c>
      <c r="F181">
        <v>2.2687921571426761</v>
      </c>
      <c r="G181">
        <f t="shared" si="5"/>
        <v>0.6408810234895721</v>
      </c>
      <c r="H181">
        <v>1.104616251936025</v>
      </c>
    </row>
    <row r="182" spans="1:8" x14ac:dyDescent="0.35">
      <c r="A182" t="s">
        <v>77</v>
      </c>
      <c r="B182" t="s">
        <v>45</v>
      </c>
      <c r="C182" t="s">
        <v>38</v>
      </c>
      <c r="D182">
        <v>2015</v>
      </c>
      <c r="E182">
        <v>1.29819266835165</v>
      </c>
      <c r="F182">
        <v>1.5772755552952269</v>
      </c>
      <c r="G182">
        <f t="shared" si="5"/>
        <v>0.27908288694357686</v>
      </c>
      <c r="H182">
        <v>0.13691232060579539</v>
      </c>
    </row>
    <row r="183" spans="1:8" x14ac:dyDescent="0.35">
      <c r="A183" t="s">
        <v>77</v>
      </c>
      <c r="B183" t="s">
        <v>47</v>
      </c>
      <c r="C183" t="s">
        <v>38</v>
      </c>
      <c r="D183">
        <v>2015</v>
      </c>
      <c r="E183">
        <v>1.741329419958926</v>
      </c>
      <c r="F183">
        <v>1.5772755552952269</v>
      </c>
      <c r="G183">
        <f t="shared" si="5"/>
        <v>-0.16405386466369909</v>
      </c>
      <c r="H183">
        <v>0.13691232060579539</v>
      </c>
    </row>
    <row r="184" spans="1:8" x14ac:dyDescent="0.35">
      <c r="A184" t="s">
        <v>77</v>
      </c>
      <c r="B184" t="s">
        <v>46</v>
      </c>
      <c r="C184" t="s">
        <v>40</v>
      </c>
      <c r="D184">
        <v>2015</v>
      </c>
      <c r="E184">
        <v>1.4931874273763861</v>
      </c>
      <c r="F184">
        <v>1.5772755552952269</v>
      </c>
      <c r="G184">
        <f t="shared" si="5"/>
        <v>8.4088127918840794E-2</v>
      </c>
      <c r="H184">
        <v>0.13691232060579539</v>
      </c>
    </row>
    <row r="185" spans="1:8" x14ac:dyDescent="0.35">
      <c r="A185" t="s">
        <v>77</v>
      </c>
      <c r="B185" t="s">
        <v>48</v>
      </c>
      <c r="C185" t="s">
        <v>40</v>
      </c>
      <c r="D185">
        <v>2015</v>
      </c>
      <c r="E185">
        <v>1.6418853965775471</v>
      </c>
      <c r="F185">
        <v>1.5772755552952269</v>
      </c>
      <c r="G185">
        <f t="shared" si="5"/>
        <v>-6.4609841282320168E-2</v>
      </c>
      <c r="H185">
        <v>0.13691232060579539</v>
      </c>
    </row>
    <row r="186" spans="1:8" x14ac:dyDescent="0.35">
      <c r="A186" t="s">
        <v>77</v>
      </c>
      <c r="B186" t="s">
        <v>47</v>
      </c>
      <c r="C186" t="s">
        <v>38</v>
      </c>
      <c r="D186">
        <v>2016</v>
      </c>
      <c r="E186">
        <v>1.659048842216615</v>
      </c>
      <c r="F186">
        <v>1.9843922204112789</v>
      </c>
      <c r="G186">
        <f t="shared" si="5"/>
        <v>0.32534337819466397</v>
      </c>
      <c r="H186">
        <v>0.15111381049456349</v>
      </c>
    </row>
    <row r="187" spans="1:8" x14ac:dyDescent="0.35">
      <c r="A187" t="s">
        <v>77</v>
      </c>
      <c r="B187" t="s">
        <v>49</v>
      </c>
      <c r="C187" t="s">
        <v>38</v>
      </c>
      <c r="D187">
        <v>2016</v>
      </c>
      <c r="E187">
        <v>0.92930181879138374</v>
      </c>
      <c r="F187">
        <v>1.9843922204112789</v>
      </c>
      <c r="G187">
        <f t="shared" si="5"/>
        <v>1.0550904016198952</v>
      </c>
      <c r="H187">
        <v>0.15111381049456349</v>
      </c>
    </row>
    <row r="188" spans="1:8" x14ac:dyDescent="0.35">
      <c r="A188" t="s">
        <v>77</v>
      </c>
      <c r="B188" t="s">
        <v>48</v>
      </c>
      <c r="C188" t="s">
        <v>40</v>
      </c>
      <c r="D188">
        <v>2016</v>
      </c>
      <c r="E188">
        <v>1.838363161189682</v>
      </c>
      <c r="F188">
        <v>1.9843922204112789</v>
      </c>
      <c r="G188">
        <f t="shared" si="5"/>
        <v>0.14602905922159692</v>
      </c>
      <c r="H188">
        <v>0.15111381049456349</v>
      </c>
    </row>
    <row r="189" spans="1:8" x14ac:dyDescent="0.35">
      <c r="A189" t="s">
        <v>77</v>
      </c>
      <c r="B189" t="s">
        <v>50</v>
      </c>
      <c r="C189" t="s">
        <v>40</v>
      </c>
      <c r="D189">
        <v>2016</v>
      </c>
      <c r="E189">
        <v>1.458222731677794</v>
      </c>
      <c r="F189">
        <v>1.9843922204112789</v>
      </c>
      <c r="G189">
        <f t="shared" si="5"/>
        <v>0.5261694887334849</v>
      </c>
      <c r="H189">
        <v>0.15111381049456349</v>
      </c>
    </row>
    <row r="190" spans="1:8" x14ac:dyDescent="0.35">
      <c r="A190" t="s">
        <v>77</v>
      </c>
      <c r="B190" t="s">
        <v>49</v>
      </c>
      <c r="C190" t="s">
        <v>38</v>
      </c>
      <c r="D190">
        <v>2017</v>
      </c>
      <c r="E190">
        <v>1.2443844685501531</v>
      </c>
      <c r="F190">
        <v>3.260896558994415</v>
      </c>
      <c r="G190">
        <f t="shared" si="5"/>
        <v>2.0165120904442619</v>
      </c>
      <c r="H190">
        <v>0.1244056097882334</v>
      </c>
    </row>
    <row r="191" spans="1:8" x14ac:dyDescent="0.35">
      <c r="A191" t="s">
        <v>77</v>
      </c>
      <c r="B191" t="s">
        <v>51</v>
      </c>
      <c r="C191" t="s">
        <v>38</v>
      </c>
      <c r="D191">
        <v>2017</v>
      </c>
      <c r="E191">
        <v>2.6293844522458749</v>
      </c>
      <c r="F191">
        <v>3.260896558994415</v>
      </c>
      <c r="G191">
        <f t="shared" si="5"/>
        <v>0.63151210674854008</v>
      </c>
      <c r="H191">
        <v>0.1244056097882334</v>
      </c>
    </row>
    <row r="192" spans="1:8" x14ac:dyDescent="0.35">
      <c r="A192" t="s">
        <v>77</v>
      </c>
      <c r="B192" t="s">
        <v>50</v>
      </c>
      <c r="C192" t="s">
        <v>40</v>
      </c>
      <c r="D192">
        <v>2017</v>
      </c>
      <c r="E192">
        <v>1.7439816750679069</v>
      </c>
      <c r="F192">
        <v>3.260896558994415</v>
      </c>
      <c r="G192">
        <f t="shared" si="5"/>
        <v>1.5169148839265081</v>
      </c>
      <c r="H192">
        <v>0.1244056097882334</v>
      </c>
    </row>
    <row r="193" spans="1:8" x14ac:dyDescent="0.35">
      <c r="A193" t="s">
        <v>77</v>
      </c>
      <c r="B193" t="s">
        <v>52</v>
      </c>
      <c r="C193" t="s">
        <v>40</v>
      </c>
      <c r="D193">
        <v>2017</v>
      </c>
      <c r="E193">
        <v>1.838683940143615</v>
      </c>
      <c r="F193">
        <v>3.260896558994415</v>
      </c>
      <c r="G193">
        <f t="shared" si="5"/>
        <v>1.4222126188508</v>
      </c>
      <c r="H193">
        <v>0.1244056097882334</v>
      </c>
    </row>
    <row r="194" spans="1:8" x14ac:dyDescent="0.35">
      <c r="A194" t="s">
        <v>77</v>
      </c>
      <c r="B194" t="s">
        <v>51</v>
      </c>
      <c r="C194" t="s">
        <v>38</v>
      </c>
      <c r="D194">
        <v>2018</v>
      </c>
      <c r="E194">
        <v>2.0625112156605669</v>
      </c>
      <c r="F194">
        <v>2.903725267458769</v>
      </c>
      <c r="G194">
        <f t="shared" ref="G194:G201" si="6">IF(OR(F194="",E194=""),"",F194-E194)</f>
        <v>0.84121405179820208</v>
      </c>
      <c r="H194">
        <v>0.22120896228110681</v>
      </c>
    </row>
    <row r="195" spans="1:8" x14ac:dyDescent="0.35">
      <c r="A195" t="s">
        <v>77</v>
      </c>
      <c r="B195" t="s">
        <v>53</v>
      </c>
      <c r="C195" t="s">
        <v>38</v>
      </c>
      <c r="D195">
        <v>2018</v>
      </c>
      <c r="E195">
        <v>2.1672748154352162</v>
      </c>
      <c r="F195">
        <v>2.903725267458769</v>
      </c>
      <c r="G195">
        <f t="shared" si="6"/>
        <v>0.73645045202355286</v>
      </c>
      <c r="H195">
        <v>0.22120896228110681</v>
      </c>
    </row>
    <row r="196" spans="1:8" x14ac:dyDescent="0.35">
      <c r="A196" t="s">
        <v>77</v>
      </c>
      <c r="B196" t="s">
        <v>52</v>
      </c>
      <c r="C196" t="s">
        <v>40</v>
      </c>
      <c r="D196">
        <v>2018</v>
      </c>
      <c r="E196">
        <v>1.5677461936429939</v>
      </c>
      <c r="F196">
        <v>2.903725267458769</v>
      </c>
      <c r="G196">
        <f t="shared" si="6"/>
        <v>1.3359790738157751</v>
      </c>
      <c r="H196">
        <v>0.22120896228110681</v>
      </c>
    </row>
    <row r="197" spans="1:8" x14ac:dyDescent="0.35">
      <c r="A197" t="s">
        <v>77</v>
      </c>
      <c r="B197" t="s">
        <v>54</v>
      </c>
      <c r="C197" t="s">
        <v>40</v>
      </c>
      <c r="D197">
        <v>2018</v>
      </c>
      <c r="E197">
        <v>2.3337380052623979</v>
      </c>
      <c r="F197">
        <v>2.903725267458769</v>
      </c>
      <c r="G197">
        <f t="shared" si="6"/>
        <v>0.56998726219637108</v>
      </c>
      <c r="H197">
        <v>0.22120896228110681</v>
      </c>
    </row>
    <row r="198" spans="1:8" x14ac:dyDescent="0.35">
      <c r="A198" t="s">
        <v>77</v>
      </c>
      <c r="B198" t="s">
        <v>53</v>
      </c>
      <c r="C198" t="s">
        <v>38</v>
      </c>
      <c r="D198">
        <v>2019</v>
      </c>
      <c r="E198">
        <v>1.839454993980616</v>
      </c>
      <c r="F198">
        <v>2.7086922955372188</v>
      </c>
      <c r="G198">
        <f t="shared" si="6"/>
        <v>0.86923730155660284</v>
      </c>
      <c r="H198">
        <v>0.39465021894302132</v>
      </c>
    </row>
    <row r="199" spans="1:8" x14ac:dyDescent="0.35">
      <c r="A199" t="s">
        <v>77</v>
      </c>
      <c r="B199" t="s">
        <v>55</v>
      </c>
      <c r="C199" t="s">
        <v>38</v>
      </c>
      <c r="D199">
        <v>2019</v>
      </c>
      <c r="E199">
        <v>1.950475273387009</v>
      </c>
      <c r="F199">
        <v>2.7086922955372188</v>
      </c>
      <c r="G199">
        <f t="shared" si="6"/>
        <v>0.75821702215020981</v>
      </c>
      <c r="H199">
        <v>0.39465021894302132</v>
      </c>
    </row>
    <row r="200" spans="1:8" x14ac:dyDescent="0.35">
      <c r="A200" t="s">
        <v>77</v>
      </c>
      <c r="B200" t="s">
        <v>54</v>
      </c>
      <c r="C200" t="s">
        <v>40</v>
      </c>
      <c r="D200">
        <v>2019</v>
      </c>
      <c r="E200">
        <v>2.0372674050813671</v>
      </c>
      <c r="F200">
        <v>2.7086922955372188</v>
      </c>
      <c r="G200">
        <f t="shared" si="6"/>
        <v>0.67142489045585174</v>
      </c>
      <c r="H200">
        <v>0.39465021894302132</v>
      </c>
    </row>
    <row r="201" spans="1:8" x14ac:dyDescent="0.35">
      <c r="A201" t="s">
        <v>77</v>
      </c>
      <c r="B201" t="s">
        <v>56</v>
      </c>
      <c r="C201" t="s">
        <v>40</v>
      </c>
      <c r="D201">
        <v>2019</v>
      </c>
      <c r="E201">
        <v>1.672451894689297</v>
      </c>
      <c r="F201">
        <v>2.7086922955372188</v>
      </c>
      <c r="G201">
        <f t="shared" si="6"/>
        <v>1.0362404008479218</v>
      </c>
      <c r="H201">
        <v>0.39465021894302132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I549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5</v>
      </c>
      <c r="I1" s="2" t="s">
        <v>78</v>
      </c>
    </row>
    <row r="2" spans="1:9" x14ac:dyDescent="0.35">
      <c r="A2" t="s">
        <v>67</v>
      </c>
      <c r="B2" t="s">
        <v>37</v>
      </c>
      <c r="C2" t="s">
        <v>38</v>
      </c>
      <c r="D2">
        <v>2011</v>
      </c>
      <c r="E2">
        <v>2.1783942373023502</v>
      </c>
      <c r="F2">
        <v>1.9127519277234819</v>
      </c>
      <c r="G2">
        <f t="shared" ref="G2:G65" si="0">IF(OR(F2="",E2=""),"",F2-E2)</f>
        <v>-0.26564230957886825</v>
      </c>
      <c r="H2">
        <v>0.1338718964364701</v>
      </c>
      <c r="I2" t="s">
        <v>79</v>
      </c>
    </row>
    <row r="3" spans="1:9" x14ac:dyDescent="0.35">
      <c r="A3" t="s">
        <v>67</v>
      </c>
      <c r="B3" t="s">
        <v>39</v>
      </c>
      <c r="C3" t="s">
        <v>40</v>
      </c>
      <c r="D3">
        <v>2011</v>
      </c>
      <c r="E3">
        <v>2.356686907237338</v>
      </c>
      <c r="F3">
        <v>1.9127519277234819</v>
      </c>
      <c r="G3">
        <f t="shared" si="0"/>
        <v>-0.44393497951385608</v>
      </c>
      <c r="H3">
        <v>0.1338718964364701</v>
      </c>
      <c r="I3" t="s">
        <v>79</v>
      </c>
    </row>
    <row r="4" spans="1:9" x14ac:dyDescent="0.35">
      <c r="A4" t="s">
        <v>68</v>
      </c>
      <c r="B4" t="s">
        <v>37</v>
      </c>
      <c r="C4" t="s">
        <v>38</v>
      </c>
      <c r="D4">
        <v>2011</v>
      </c>
      <c r="E4">
        <v>2.871708621036118</v>
      </c>
      <c r="F4">
        <v>3.7711034609926739</v>
      </c>
      <c r="G4">
        <f t="shared" si="0"/>
        <v>0.89939483995655589</v>
      </c>
      <c r="H4">
        <v>8.5987208995551345E-2</v>
      </c>
      <c r="I4" t="s">
        <v>79</v>
      </c>
    </row>
    <row r="5" spans="1:9" x14ac:dyDescent="0.35">
      <c r="A5" t="s">
        <v>68</v>
      </c>
      <c r="B5" t="s">
        <v>39</v>
      </c>
      <c r="C5" t="s">
        <v>40</v>
      </c>
      <c r="D5">
        <v>2011</v>
      </c>
      <c r="E5">
        <v>2.5902474284125621</v>
      </c>
      <c r="F5">
        <v>3.7711034609926739</v>
      </c>
      <c r="G5">
        <f t="shared" si="0"/>
        <v>1.1808560325801118</v>
      </c>
      <c r="H5">
        <v>8.5987208995551345E-2</v>
      </c>
      <c r="I5" t="s">
        <v>79</v>
      </c>
    </row>
    <row r="6" spans="1:9" x14ac:dyDescent="0.35">
      <c r="A6" t="s">
        <v>69</v>
      </c>
      <c r="B6" t="s">
        <v>37</v>
      </c>
      <c r="C6" t="s">
        <v>38</v>
      </c>
      <c r="D6">
        <v>2011</v>
      </c>
      <c r="E6">
        <v>0.73935243476188628</v>
      </c>
      <c r="F6">
        <v>-0.64197941531252334</v>
      </c>
      <c r="G6">
        <f t="shared" si="0"/>
        <v>-1.3813318500744096</v>
      </c>
      <c r="H6">
        <v>0.1212304176787779</v>
      </c>
      <c r="I6" t="s">
        <v>79</v>
      </c>
    </row>
    <row r="7" spans="1:9" x14ac:dyDescent="0.35">
      <c r="A7" t="s">
        <v>69</v>
      </c>
      <c r="B7" t="s">
        <v>39</v>
      </c>
      <c r="C7" t="s">
        <v>40</v>
      </c>
      <c r="D7">
        <v>2011</v>
      </c>
      <c r="E7">
        <v>0.76223621019062548</v>
      </c>
      <c r="F7">
        <v>-0.64197941531252334</v>
      </c>
      <c r="G7">
        <f t="shared" si="0"/>
        <v>-1.4042156255031488</v>
      </c>
      <c r="H7">
        <v>0.1212304176787779</v>
      </c>
      <c r="I7" t="s">
        <v>79</v>
      </c>
    </row>
    <row r="8" spans="1:9" x14ac:dyDescent="0.35">
      <c r="A8" t="s">
        <v>70</v>
      </c>
      <c r="B8" t="s">
        <v>37</v>
      </c>
      <c r="C8" t="s">
        <v>38</v>
      </c>
      <c r="D8">
        <v>2011</v>
      </c>
      <c r="E8">
        <v>3.0836871961199548</v>
      </c>
      <c r="F8">
        <v>2.3627089602501679</v>
      </c>
      <c r="G8">
        <f t="shared" si="0"/>
        <v>-0.72097823586978693</v>
      </c>
      <c r="H8">
        <v>9.7791519434628979E-2</v>
      </c>
      <c r="I8" t="s">
        <v>79</v>
      </c>
    </row>
    <row r="9" spans="1:9" x14ac:dyDescent="0.35">
      <c r="A9" t="s">
        <v>70</v>
      </c>
      <c r="B9" t="s">
        <v>39</v>
      </c>
      <c r="C9" t="s">
        <v>40</v>
      </c>
      <c r="D9">
        <v>2011</v>
      </c>
      <c r="E9">
        <v>3.7117323527364081</v>
      </c>
      <c r="F9">
        <v>2.3627089602501679</v>
      </c>
      <c r="G9">
        <f t="shared" si="0"/>
        <v>-1.3490233924862403</v>
      </c>
      <c r="H9">
        <v>9.7791519434628979E-2</v>
      </c>
      <c r="I9" t="s">
        <v>79</v>
      </c>
    </row>
    <row r="10" spans="1:9" x14ac:dyDescent="0.35">
      <c r="A10" t="s">
        <v>73</v>
      </c>
      <c r="B10" t="s">
        <v>37</v>
      </c>
      <c r="C10" t="s">
        <v>38</v>
      </c>
      <c r="D10">
        <v>2011</v>
      </c>
      <c r="E10">
        <v>1.6159410538217229</v>
      </c>
      <c r="F10">
        <v>2.4520659404670382</v>
      </c>
      <c r="G10">
        <f t="shared" si="0"/>
        <v>0.83612488664531526</v>
      </c>
      <c r="H10">
        <v>0.1193789261003138</v>
      </c>
      <c r="I10" t="s">
        <v>79</v>
      </c>
    </row>
    <row r="11" spans="1:9" x14ac:dyDescent="0.35">
      <c r="A11" t="s">
        <v>73</v>
      </c>
      <c r="B11" t="s">
        <v>39</v>
      </c>
      <c r="C11" t="s">
        <v>40</v>
      </c>
      <c r="D11">
        <v>2011</v>
      </c>
      <c r="E11">
        <v>1.7720935903862369</v>
      </c>
      <c r="F11">
        <v>2.4520659404670382</v>
      </c>
      <c r="G11">
        <f t="shared" si="0"/>
        <v>0.67997235008080126</v>
      </c>
      <c r="H11">
        <v>0.1193789261003138</v>
      </c>
      <c r="I11" t="s">
        <v>79</v>
      </c>
    </row>
    <row r="12" spans="1:9" x14ac:dyDescent="0.35">
      <c r="A12" t="s">
        <v>75</v>
      </c>
      <c r="B12" t="s">
        <v>37</v>
      </c>
      <c r="C12" t="s">
        <v>38</v>
      </c>
      <c r="D12">
        <v>2011</v>
      </c>
      <c r="E12">
        <v>0.53999066387708794</v>
      </c>
      <c r="F12">
        <v>0.85331162783846093</v>
      </c>
      <c r="G12">
        <f t="shared" si="0"/>
        <v>0.31332096396137299</v>
      </c>
      <c r="H12">
        <v>0.112869766400161</v>
      </c>
      <c r="I12" t="s">
        <v>79</v>
      </c>
    </row>
    <row r="13" spans="1:9" x14ac:dyDescent="0.35">
      <c r="A13" t="s">
        <v>75</v>
      </c>
      <c r="B13" t="s">
        <v>39</v>
      </c>
      <c r="C13" t="s">
        <v>40</v>
      </c>
      <c r="D13">
        <v>2011</v>
      </c>
      <c r="E13">
        <v>0.95974398092302238</v>
      </c>
      <c r="F13">
        <v>0.85331162783846093</v>
      </c>
      <c r="G13">
        <f t="shared" si="0"/>
        <v>-0.10643235308456145</v>
      </c>
      <c r="H13">
        <v>0.112869766400161</v>
      </c>
      <c r="I13" t="s">
        <v>79</v>
      </c>
    </row>
    <row r="14" spans="1:9" x14ac:dyDescent="0.35">
      <c r="A14" t="s">
        <v>77</v>
      </c>
      <c r="B14" t="s">
        <v>37</v>
      </c>
      <c r="C14" t="s">
        <v>38</v>
      </c>
      <c r="D14">
        <v>2011</v>
      </c>
      <c r="E14">
        <v>-1.8696006757531689</v>
      </c>
      <c r="F14">
        <v>-1.7283467654708611</v>
      </c>
      <c r="G14">
        <f t="shared" si="0"/>
        <v>0.14125391028230783</v>
      </c>
      <c r="H14">
        <v>0.1324422843256379</v>
      </c>
      <c r="I14" t="s">
        <v>79</v>
      </c>
    </row>
    <row r="15" spans="1:9" x14ac:dyDescent="0.35">
      <c r="A15" t="s">
        <v>77</v>
      </c>
      <c r="B15" t="s">
        <v>39</v>
      </c>
      <c r="C15" t="s">
        <v>40</v>
      </c>
      <c r="D15">
        <v>2011</v>
      </c>
      <c r="E15">
        <v>-2.2032240541474901</v>
      </c>
      <c r="F15">
        <v>-1.7283467654708611</v>
      </c>
      <c r="G15">
        <f t="shared" si="0"/>
        <v>0.47487728867662904</v>
      </c>
      <c r="H15">
        <v>0.1324422843256379</v>
      </c>
      <c r="I15" t="s">
        <v>79</v>
      </c>
    </row>
    <row r="16" spans="1:9" x14ac:dyDescent="0.35">
      <c r="A16" t="s">
        <v>36</v>
      </c>
      <c r="B16" t="s">
        <v>37</v>
      </c>
      <c r="C16" t="s">
        <v>38</v>
      </c>
      <c r="D16">
        <v>2012</v>
      </c>
      <c r="E16">
        <v>0.92282948340831616</v>
      </c>
      <c r="F16">
        <v>0.73761701476599373</v>
      </c>
      <c r="G16">
        <f t="shared" si="0"/>
        <v>-0.18521246864232244</v>
      </c>
      <c r="H16">
        <v>0.14263754713345991</v>
      </c>
      <c r="I16" t="s">
        <v>79</v>
      </c>
    </row>
    <row r="17" spans="1:9" x14ac:dyDescent="0.35">
      <c r="A17" t="s">
        <v>36</v>
      </c>
      <c r="B17" t="s">
        <v>39</v>
      </c>
      <c r="C17" t="s">
        <v>40</v>
      </c>
      <c r="D17">
        <v>2012</v>
      </c>
      <c r="E17">
        <v>2.001395495121816</v>
      </c>
      <c r="F17">
        <v>0.73761701476599373</v>
      </c>
      <c r="G17">
        <f t="shared" si="0"/>
        <v>-1.2637784803558223</v>
      </c>
      <c r="H17">
        <v>0.14263754713345991</v>
      </c>
      <c r="I17" t="s">
        <v>79</v>
      </c>
    </row>
    <row r="18" spans="1:9" x14ac:dyDescent="0.35">
      <c r="A18" t="s">
        <v>36</v>
      </c>
      <c r="B18" t="s">
        <v>41</v>
      </c>
      <c r="C18" t="s">
        <v>38</v>
      </c>
      <c r="D18">
        <v>2012</v>
      </c>
      <c r="E18">
        <v>0.7904128560278334</v>
      </c>
      <c r="F18">
        <v>0.73761701476599373</v>
      </c>
      <c r="G18">
        <f t="shared" si="0"/>
        <v>-5.2795841261839671E-2</v>
      </c>
      <c r="H18">
        <v>0.14263754713345991</v>
      </c>
      <c r="I18" t="s">
        <v>79</v>
      </c>
    </row>
    <row r="19" spans="1:9" x14ac:dyDescent="0.35">
      <c r="A19" t="s">
        <v>36</v>
      </c>
      <c r="B19" t="s">
        <v>42</v>
      </c>
      <c r="C19" t="s">
        <v>40</v>
      </c>
      <c r="D19">
        <v>2012</v>
      </c>
      <c r="E19">
        <v>0.77706713829110985</v>
      </c>
      <c r="F19">
        <v>0.73761701476599373</v>
      </c>
      <c r="G19">
        <f t="shared" si="0"/>
        <v>-3.9450123525116121E-2</v>
      </c>
      <c r="H19">
        <v>0.14263754713345991</v>
      </c>
      <c r="I19" t="s">
        <v>79</v>
      </c>
    </row>
    <row r="20" spans="1:9" x14ac:dyDescent="0.35">
      <c r="A20" t="s">
        <v>67</v>
      </c>
      <c r="B20" t="s">
        <v>37</v>
      </c>
      <c r="C20" t="s">
        <v>38</v>
      </c>
      <c r="D20">
        <v>2012</v>
      </c>
      <c r="E20">
        <v>0.94750037204316406</v>
      </c>
      <c r="F20">
        <v>0.2155903836940283</v>
      </c>
      <c r="G20">
        <f t="shared" si="0"/>
        <v>-0.73190998834913579</v>
      </c>
      <c r="H20">
        <v>0.1344566572698688</v>
      </c>
      <c r="I20" t="s">
        <v>79</v>
      </c>
    </row>
    <row r="21" spans="1:9" x14ac:dyDescent="0.35">
      <c r="A21" t="s">
        <v>67</v>
      </c>
      <c r="B21" t="s">
        <v>39</v>
      </c>
      <c r="C21" t="s">
        <v>40</v>
      </c>
      <c r="D21">
        <v>2012</v>
      </c>
      <c r="E21">
        <v>2.2102235249893849</v>
      </c>
      <c r="F21">
        <v>0.2155903836940283</v>
      </c>
      <c r="G21">
        <f t="shared" si="0"/>
        <v>-1.9946331412953566</v>
      </c>
      <c r="H21">
        <v>0.1344566572698688</v>
      </c>
      <c r="I21" t="s">
        <v>79</v>
      </c>
    </row>
    <row r="22" spans="1:9" x14ac:dyDescent="0.35">
      <c r="A22" t="s">
        <v>67</v>
      </c>
      <c r="B22" t="s">
        <v>41</v>
      </c>
      <c r="C22" t="s">
        <v>38</v>
      </c>
      <c r="D22">
        <v>2012</v>
      </c>
      <c r="E22">
        <v>-0.20103838842507879</v>
      </c>
      <c r="F22">
        <v>0.2155903836940283</v>
      </c>
      <c r="G22">
        <f t="shared" si="0"/>
        <v>0.41662877211910709</v>
      </c>
      <c r="H22">
        <v>0.1344566572698688</v>
      </c>
      <c r="I22" t="s">
        <v>79</v>
      </c>
    </row>
    <row r="23" spans="1:9" x14ac:dyDescent="0.35">
      <c r="A23" t="s">
        <v>67</v>
      </c>
      <c r="B23" t="s">
        <v>42</v>
      </c>
      <c r="C23" t="s">
        <v>40</v>
      </c>
      <c r="D23">
        <v>2012</v>
      </c>
      <c r="E23">
        <v>-1.8249929426483739E-2</v>
      </c>
      <c r="F23">
        <v>0.2155903836940283</v>
      </c>
      <c r="G23">
        <f t="shared" si="0"/>
        <v>0.23384031312051204</v>
      </c>
      <c r="H23">
        <v>0.1344566572698688</v>
      </c>
      <c r="I23" t="s">
        <v>79</v>
      </c>
    </row>
    <row r="24" spans="1:9" x14ac:dyDescent="0.35">
      <c r="A24" t="s">
        <v>68</v>
      </c>
      <c r="B24" t="s">
        <v>37</v>
      </c>
      <c r="C24" t="s">
        <v>38</v>
      </c>
      <c r="D24">
        <v>2012</v>
      </c>
      <c r="E24">
        <v>0.75853952005673353</v>
      </c>
      <c r="F24">
        <v>0.70451026571915831</v>
      </c>
      <c r="G24">
        <f t="shared" si="0"/>
        <v>-5.4029254337575217E-2</v>
      </c>
      <c r="H24">
        <v>7.9699344978556588E-2</v>
      </c>
      <c r="I24" t="s">
        <v>79</v>
      </c>
    </row>
    <row r="25" spans="1:9" x14ac:dyDescent="0.35">
      <c r="A25" t="s">
        <v>68</v>
      </c>
      <c r="B25" t="s">
        <v>39</v>
      </c>
      <c r="C25" t="s">
        <v>40</v>
      </c>
      <c r="D25">
        <v>2012</v>
      </c>
      <c r="E25">
        <v>1.947486880825489</v>
      </c>
      <c r="F25">
        <v>0.70451026571915831</v>
      </c>
      <c r="G25">
        <f t="shared" si="0"/>
        <v>-1.2429766151063308</v>
      </c>
      <c r="H25">
        <v>7.9699344978556588E-2</v>
      </c>
      <c r="I25" t="s">
        <v>79</v>
      </c>
    </row>
    <row r="26" spans="1:9" x14ac:dyDescent="0.35">
      <c r="A26" t="s">
        <v>68</v>
      </c>
      <c r="B26" t="s">
        <v>41</v>
      </c>
      <c r="C26" t="s">
        <v>38</v>
      </c>
      <c r="D26">
        <v>2012</v>
      </c>
      <c r="E26">
        <v>0.8314871930005685</v>
      </c>
      <c r="F26">
        <v>0.70451026571915831</v>
      </c>
      <c r="G26">
        <f t="shared" si="0"/>
        <v>-0.12697692728141019</v>
      </c>
      <c r="H26">
        <v>7.9699344978556588E-2</v>
      </c>
      <c r="I26" t="s">
        <v>79</v>
      </c>
    </row>
    <row r="27" spans="1:9" x14ac:dyDescent="0.35">
      <c r="A27" t="s">
        <v>68</v>
      </c>
      <c r="B27" t="s">
        <v>42</v>
      </c>
      <c r="C27" t="s">
        <v>40</v>
      </c>
      <c r="D27">
        <v>2012</v>
      </c>
      <c r="E27">
        <v>0.68323358153099534</v>
      </c>
      <c r="F27">
        <v>0.70451026571915831</v>
      </c>
      <c r="G27">
        <f t="shared" si="0"/>
        <v>2.1276684188162975E-2</v>
      </c>
      <c r="H27">
        <v>7.9699344978556588E-2</v>
      </c>
      <c r="I27" t="s">
        <v>79</v>
      </c>
    </row>
    <row r="28" spans="1:9" x14ac:dyDescent="0.35">
      <c r="A28" t="s">
        <v>69</v>
      </c>
      <c r="B28" t="s">
        <v>37</v>
      </c>
      <c r="C28" t="s">
        <v>38</v>
      </c>
      <c r="D28">
        <v>2012</v>
      </c>
      <c r="E28">
        <v>0.65087819203448749</v>
      </c>
      <c r="F28">
        <v>-2.906965118995676</v>
      </c>
      <c r="G28">
        <f t="shared" si="0"/>
        <v>-3.5578433110301635</v>
      </c>
      <c r="H28">
        <v>0.13847860293548639</v>
      </c>
      <c r="I28" t="s">
        <v>79</v>
      </c>
    </row>
    <row r="29" spans="1:9" x14ac:dyDescent="0.35">
      <c r="A29" t="s">
        <v>69</v>
      </c>
      <c r="B29" t="s">
        <v>39</v>
      </c>
      <c r="C29" t="s">
        <v>40</v>
      </c>
      <c r="D29">
        <v>2012</v>
      </c>
      <c r="E29">
        <v>1.5110276949649171</v>
      </c>
      <c r="F29">
        <v>-2.906965118995676</v>
      </c>
      <c r="G29">
        <f t="shared" si="0"/>
        <v>-4.4179928139605931</v>
      </c>
      <c r="H29">
        <v>0.13847860293548639</v>
      </c>
      <c r="I29" t="s">
        <v>79</v>
      </c>
    </row>
    <row r="30" spans="1:9" x14ac:dyDescent="0.35">
      <c r="A30" t="s">
        <v>69</v>
      </c>
      <c r="B30" t="s">
        <v>41</v>
      </c>
      <c r="C30" t="s">
        <v>38</v>
      </c>
      <c r="D30">
        <v>2012</v>
      </c>
      <c r="E30">
        <v>-1.438880133100584</v>
      </c>
      <c r="F30">
        <v>-2.906965118995676</v>
      </c>
      <c r="G30">
        <f t="shared" si="0"/>
        <v>-1.468084985895092</v>
      </c>
      <c r="H30">
        <v>0.13847860293548639</v>
      </c>
      <c r="I30" t="s">
        <v>79</v>
      </c>
    </row>
    <row r="31" spans="1:9" x14ac:dyDescent="0.35">
      <c r="A31" t="s">
        <v>69</v>
      </c>
      <c r="B31" t="s">
        <v>42</v>
      </c>
      <c r="C31" t="s">
        <v>40</v>
      </c>
      <c r="D31">
        <v>2012</v>
      </c>
      <c r="E31">
        <v>-1.7627808297010159</v>
      </c>
      <c r="F31">
        <v>-2.906965118995676</v>
      </c>
      <c r="G31">
        <f t="shared" si="0"/>
        <v>-1.1441842892946601</v>
      </c>
      <c r="H31">
        <v>0.13847860293548639</v>
      </c>
      <c r="I31" t="s">
        <v>79</v>
      </c>
    </row>
    <row r="32" spans="1:9" x14ac:dyDescent="0.35">
      <c r="A32" t="s">
        <v>70</v>
      </c>
      <c r="B32" t="s">
        <v>37</v>
      </c>
      <c r="C32" t="s">
        <v>38</v>
      </c>
      <c r="D32">
        <v>2012</v>
      </c>
      <c r="E32">
        <v>1.3616175851251631</v>
      </c>
      <c r="F32">
        <v>-1.535091308900344</v>
      </c>
      <c r="G32">
        <f t="shared" si="0"/>
        <v>-2.8967088940255072</v>
      </c>
      <c r="H32">
        <v>9.6600881887067086E-2</v>
      </c>
      <c r="I32" t="s">
        <v>79</v>
      </c>
    </row>
    <row r="33" spans="1:9" x14ac:dyDescent="0.35">
      <c r="A33" t="s">
        <v>70</v>
      </c>
      <c r="B33" t="s">
        <v>39</v>
      </c>
      <c r="C33" t="s">
        <v>40</v>
      </c>
      <c r="D33">
        <v>2012</v>
      </c>
      <c r="E33">
        <v>2.5703100446408111</v>
      </c>
      <c r="F33">
        <v>-1.535091308900344</v>
      </c>
      <c r="G33">
        <f t="shared" si="0"/>
        <v>-4.1054013535411551</v>
      </c>
      <c r="H33">
        <v>9.6600881887067086E-2</v>
      </c>
      <c r="I33" t="s">
        <v>79</v>
      </c>
    </row>
    <row r="34" spans="1:9" x14ac:dyDescent="0.35">
      <c r="A34" t="s">
        <v>70</v>
      </c>
      <c r="B34" t="s">
        <v>41</v>
      </c>
      <c r="C34" t="s">
        <v>38</v>
      </c>
      <c r="D34">
        <v>2012</v>
      </c>
      <c r="E34">
        <v>8.5468057722093427E-2</v>
      </c>
      <c r="F34">
        <v>-1.535091308900344</v>
      </c>
      <c r="G34">
        <f t="shared" si="0"/>
        <v>-1.6205593666224374</v>
      </c>
      <c r="H34">
        <v>9.6600881887067086E-2</v>
      </c>
      <c r="I34" t="s">
        <v>79</v>
      </c>
    </row>
    <row r="35" spans="1:9" x14ac:dyDescent="0.35">
      <c r="A35" t="s">
        <v>70</v>
      </c>
      <c r="B35" t="s">
        <v>42</v>
      </c>
      <c r="C35" t="s">
        <v>40</v>
      </c>
      <c r="D35">
        <v>2012</v>
      </c>
      <c r="E35">
        <v>0.75750436999100224</v>
      </c>
      <c r="F35">
        <v>-1.535091308900344</v>
      </c>
      <c r="G35">
        <f t="shared" si="0"/>
        <v>-2.2925956788913462</v>
      </c>
      <c r="H35">
        <v>9.6600881887067086E-2</v>
      </c>
      <c r="I35" t="s">
        <v>79</v>
      </c>
    </row>
    <row r="36" spans="1:9" x14ac:dyDescent="0.35">
      <c r="A36" t="s">
        <v>73</v>
      </c>
      <c r="B36" t="s">
        <v>37</v>
      </c>
      <c r="C36" t="s">
        <v>38</v>
      </c>
      <c r="D36">
        <v>2012</v>
      </c>
      <c r="E36">
        <v>0.55167308327404019</v>
      </c>
      <c r="F36">
        <v>0.226946609537066</v>
      </c>
      <c r="G36">
        <f t="shared" si="0"/>
        <v>-0.32472647373697416</v>
      </c>
      <c r="H36">
        <v>0.12509834427816521</v>
      </c>
      <c r="I36" t="s">
        <v>79</v>
      </c>
    </row>
    <row r="37" spans="1:9" x14ac:dyDescent="0.35">
      <c r="A37" t="s">
        <v>73</v>
      </c>
      <c r="B37" t="s">
        <v>39</v>
      </c>
      <c r="C37" t="s">
        <v>40</v>
      </c>
      <c r="D37">
        <v>2012</v>
      </c>
      <c r="E37">
        <v>2.040883011076966</v>
      </c>
      <c r="F37">
        <v>0.226946609537066</v>
      </c>
      <c r="G37">
        <f t="shared" si="0"/>
        <v>-1.8139364015399</v>
      </c>
      <c r="H37">
        <v>0.12509834427816521</v>
      </c>
      <c r="I37" t="s">
        <v>79</v>
      </c>
    </row>
    <row r="38" spans="1:9" x14ac:dyDescent="0.35">
      <c r="A38" t="s">
        <v>73</v>
      </c>
      <c r="B38" t="s">
        <v>41</v>
      </c>
      <c r="C38" t="s">
        <v>38</v>
      </c>
      <c r="D38">
        <v>2012</v>
      </c>
      <c r="E38">
        <v>0.191602674222735</v>
      </c>
      <c r="F38">
        <v>0.226946609537066</v>
      </c>
      <c r="G38">
        <f t="shared" si="0"/>
        <v>3.5343935314330999E-2</v>
      </c>
      <c r="H38">
        <v>0.12509834427816521</v>
      </c>
      <c r="I38" t="s">
        <v>79</v>
      </c>
    </row>
    <row r="39" spans="1:9" x14ac:dyDescent="0.35">
      <c r="A39" t="s">
        <v>73</v>
      </c>
      <c r="B39" t="s">
        <v>42</v>
      </c>
      <c r="C39" t="s">
        <v>40</v>
      </c>
      <c r="D39">
        <v>2012</v>
      </c>
      <c r="E39">
        <v>0.47308017111291623</v>
      </c>
      <c r="F39">
        <v>0.226946609537066</v>
      </c>
      <c r="G39">
        <f t="shared" si="0"/>
        <v>-0.24613356157585023</v>
      </c>
      <c r="H39">
        <v>0.12509834427816521</v>
      </c>
      <c r="I39" t="s">
        <v>79</v>
      </c>
    </row>
    <row r="40" spans="1:9" x14ac:dyDescent="0.35">
      <c r="A40" t="s">
        <v>75</v>
      </c>
      <c r="B40" t="s">
        <v>37</v>
      </c>
      <c r="C40" t="s">
        <v>38</v>
      </c>
      <c r="D40">
        <v>2012</v>
      </c>
      <c r="E40">
        <v>5.7128352794499897E-2</v>
      </c>
      <c r="F40">
        <v>-3.2265545234223771</v>
      </c>
      <c r="G40">
        <f t="shared" si="0"/>
        <v>-3.283682876216877</v>
      </c>
      <c r="H40">
        <v>0.12475169707490461</v>
      </c>
      <c r="I40" t="s">
        <v>79</v>
      </c>
    </row>
    <row r="41" spans="1:9" x14ac:dyDescent="0.35">
      <c r="A41" t="s">
        <v>75</v>
      </c>
      <c r="B41" t="s">
        <v>39</v>
      </c>
      <c r="C41" t="s">
        <v>40</v>
      </c>
      <c r="D41">
        <v>2012</v>
      </c>
      <c r="E41">
        <v>1.314970893331791</v>
      </c>
      <c r="F41">
        <v>-3.2265545234223771</v>
      </c>
      <c r="G41">
        <f t="shared" si="0"/>
        <v>-4.5415254167541681</v>
      </c>
      <c r="H41">
        <v>0.12475169707490461</v>
      </c>
      <c r="I41" t="s">
        <v>79</v>
      </c>
    </row>
    <row r="42" spans="1:9" x14ac:dyDescent="0.35">
      <c r="A42" t="s">
        <v>75</v>
      </c>
      <c r="B42" t="s">
        <v>41</v>
      </c>
      <c r="C42" t="s">
        <v>38</v>
      </c>
      <c r="D42">
        <v>2012</v>
      </c>
      <c r="E42">
        <v>-2.2867991965167418</v>
      </c>
      <c r="F42">
        <v>-3.2265545234223771</v>
      </c>
      <c r="G42">
        <f t="shared" si="0"/>
        <v>-0.93975532690563535</v>
      </c>
      <c r="H42">
        <v>0.12475169707490461</v>
      </c>
      <c r="I42" t="s">
        <v>79</v>
      </c>
    </row>
    <row r="43" spans="1:9" x14ac:dyDescent="0.35">
      <c r="A43" t="s">
        <v>75</v>
      </c>
      <c r="B43" t="s">
        <v>42</v>
      </c>
      <c r="C43" t="s">
        <v>40</v>
      </c>
      <c r="D43">
        <v>2012</v>
      </c>
      <c r="E43">
        <v>-1.4066091621440899</v>
      </c>
      <c r="F43">
        <v>-3.2265545234223771</v>
      </c>
      <c r="G43">
        <f t="shared" si="0"/>
        <v>-1.8199453612782872</v>
      </c>
      <c r="H43">
        <v>0.12475169707490461</v>
      </c>
      <c r="I43" t="s">
        <v>79</v>
      </c>
    </row>
    <row r="44" spans="1:9" x14ac:dyDescent="0.35">
      <c r="A44" t="s">
        <v>67</v>
      </c>
      <c r="B44" t="s">
        <v>41</v>
      </c>
      <c r="C44" t="s">
        <v>38</v>
      </c>
      <c r="D44">
        <v>2013</v>
      </c>
      <c r="E44">
        <v>0.74022419318038324</v>
      </c>
      <c r="F44">
        <v>0.30504047757239749</v>
      </c>
      <c r="G44">
        <f t="shared" si="0"/>
        <v>-0.43518371560798574</v>
      </c>
      <c r="H44">
        <v>0.14066013500993929</v>
      </c>
      <c r="I44" t="s">
        <v>79</v>
      </c>
    </row>
    <row r="45" spans="1:9" x14ac:dyDescent="0.35">
      <c r="A45" t="s">
        <v>67</v>
      </c>
      <c r="B45" t="s">
        <v>42</v>
      </c>
      <c r="C45" t="s">
        <v>40</v>
      </c>
      <c r="D45">
        <v>2013</v>
      </c>
      <c r="E45">
        <v>1.243358392394422</v>
      </c>
      <c r="F45">
        <v>0.30504047757239749</v>
      </c>
      <c r="G45">
        <f t="shared" si="0"/>
        <v>-0.93831791482202453</v>
      </c>
      <c r="H45">
        <v>0.14066013500993929</v>
      </c>
      <c r="I45" t="s">
        <v>79</v>
      </c>
    </row>
    <row r="46" spans="1:9" x14ac:dyDescent="0.35">
      <c r="A46" t="s">
        <v>67</v>
      </c>
      <c r="B46" t="s">
        <v>43</v>
      </c>
      <c r="C46" t="s">
        <v>38</v>
      </c>
      <c r="D46">
        <v>2013</v>
      </c>
      <c r="E46">
        <v>0.1418580624652277</v>
      </c>
      <c r="F46">
        <v>0.30504047757239749</v>
      </c>
      <c r="G46">
        <f t="shared" si="0"/>
        <v>0.1631824151071698</v>
      </c>
      <c r="H46">
        <v>0.14066013500993929</v>
      </c>
      <c r="I46" t="s">
        <v>79</v>
      </c>
    </row>
    <row r="47" spans="1:9" x14ac:dyDescent="0.35">
      <c r="A47" t="s">
        <v>67</v>
      </c>
      <c r="B47" t="s">
        <v>44</v>
      </c>
      <c r="C47" t="s">
        <v>40</v>
      </c>
      <c r="D47">
        <v>2013</v>
      </c>
      <c r="E47">
        <v>4.2242834906547337E-2</v>
      </c>
      <c r="F47">
        <v>0.30504047757239749</v>
      </c>
      <c r="G47">
        <f t="shared" si="0"/>
        <v>0.26279764266585015</v>
      </c>
      <c r="H47">
        <v>0.14066013500993929</v>
      </c>
      <c r="I47" t="s">
        <v>79</v>
      </c>
    </row>
    <row r="48" spans="1:9" x14ac:dyDescent="0.35">
      <c r="A48" t="s">
        <v>68</v>
      </c>
      <c r="B48" t="s">
        <v>41</v>
      </c>
      <c r="C48" t="s">
        <v>38</v>
      </c>
      <c r="D48">
        <v>2013</v>
      </c>
      <c r="E48">
        <v>0.83761648451896598</v>
      </c>
      <c r="F48">
        <v>0.57080505068838228</v>
      </c>
      <c r="G48">
        <f t="shared" si="0"/>
        <v>-0.2668114338305837</v>
      </c>
      <c r="H48">
        <v>7.9472535305386019E-2</v>
      </c>
      <c r="I48" t="s">
        <v>79</v>
      </c>
    </row>
    <row r="49" spans="1:9" x14ac:dyDescent="0.35">
      <c r="A49" t="s">
        <v>68</v>
      </c>
      <c r="B49" t="s">
        <v>42</v>
      </c>
      <c r="C49" t="s">
        <v>40</v>
      </c>
      <c r="D49">
        <v>2013</v>
      </c>
      <c r="E49">
        <v>1.6744076981229929</v>
      </c>
      <c r="F49">
        <v>0.57080505068838228</v>
      </c>
      <c r="G49">
        <f t="shared" si="0"/>
        <v>-1.1036026474346108</v>
      </c>
      <c r="H49">
        <v>7.9472535305386019E-2</v>
      </c>
      <c r="I49" t="s">
        <v>79</v>
      </c>
    </row>
    <row r="50" spans="1:9" x14ac:dyDescent="0.35">
      <c r="A50" t="s">
        <v>68</v>
      </c>
      <c r="B50" t="s">
        <v>43</v>
      </c>
      <c r="C50" t="s">
        <v>38</v>
      </c>
      <c r="D50">
        <v>2013</v>
      </c>
      <c r="E50">
        <v>0.46473090150995772</v>
      </c>
      <c r="F50">
        <v>0.57080505068838228</v>
      </c>
      <c r="G50">
        <f t="shared" si="0"/>
        <v>0.10607414917842456</v>
      </c>
      <c r="H50">
        <v>7.9472535305386019E-2</v>
      </c>
      <c r="I50" t="s">
        <v>79</v>
      </c>
    </row>
    <row r="51" spans="1:9" x14ac:dyDescent="0.35">
      <c r="A51" t="s">
        <v>68</v>
      </c>
      <c r="B51" t="s">
        <v>44</v>
      </c>
      <c r="C51" t="s">
        <v>40</v>
      </c>
      <c r="D51">
        <v>2013</v>
      </c>
      <c r="E51">
        <v>0.37981982770534112</v>
      </c>
      <c r="F51">
        <v>0.57080505068838228</v>
      </c>
      <c r="G51">
        <f t="shared" si="0"/>
        <v>0.19098522298304116</v>
      </c>
      <c r="H51">
        <v>7.9472535305386019E-2</v>
      </c>
      <c r="I51" t="s">
        <v>79</v>
      </c>
    </row>
    <row r="52" spans="1:9" x14ac:dyDescent="0.35">
      <c r="A52" t="s">
        <v>69</v>
      </c>
      <c r="B52" t="s">
        <v>41</v>
      </c>
      <c r="C52" t="s">
        <v>38</v>
      </c>
      <c r="D52">
        <v>2013</v>
      </c>
      <c r="E52">
        <v>-1.4440800286151581</v>
      </c>
      <c r="F52">
        <v>-1.437599419188256</v>
      </c>
      <c r="G52">
        <f t="shared" si="0"/>
        <v>6.4806094269020953E-3</v>
      </c>
      <c r="H52">
        <v>0.13966913760817301</v>
      </c>
      <c r="I52" t="s">
        <v>79</v>
      </c>
    </row>
    <row r="53" spans="1:9" x14ac:dyDescent="0.35">
      <c r="A53" t="s">
        <v>69</v>
      </c>
      <c r="B53" t="s">
        <v>42</v>
      </c>
      <c r="C53" t="s">
        <v>40</v>
      </c>
      <c r="D53">
        <v>2013</v>
      </c>
      <c r="E53">
        <v>-0.3312062646812497</v>
      </c>
      <c r="F53">
        <v>-1.437599419188256</v>
      </c>
      <c r="G53">
        <f t="shared" si="0"/>
        <v>-1.1063931545070063</v>
      </c>
      <c r="H53">
        <v>0.13966913760817301</v>
      </c>
      <c r="I53" t="s">
        <v>79</v>
      </c>
    </row>
    <row r="54" spans="1:9" x14ac:dyDescent="0.35">
      <c r="A54" t="s">
        <v>69</v>
      </c>
      <c r="B54" t="s">
        <v>43</v>
      </c>
      <c r="C54" t="s">
        <v>38</v>
      </c>
      <c r="D54">
        <v>2013</v>
      </c>
      <c r="E54">
        <v>-1.3067912142153639</v>
      </c>
      <c r="F54">
        <v>-1.437599419188256</v>
      </c>
      <c r="G54">
        <f t="shared" si="0"/>
        <v>-0.13080820497289203</v>
      </c>
      <c r="H54">
        <v>0.13966913760817301</v>
      </c>
      <c r="I54" t="s">
        <v>79</v>
      </c>
    </row>
    <row r="55" spans="1:9" x14ac:dyDescent="0.35">
      <c r="A55" t="s">
        <v>69</v>
      </c>
      <c r="B55" t="s">
        <v>44</v>
      </c>
      <c r="C55" t="s">
        <v>40</v>
      </c>
      <c r="D55">
        <v>2013</v>
      </c>
      <c r="E55">
        <v>-1.474157069656223</v>
      </c>
      <c r="F55">
        <v>-1.437599419188256</v>
      </c>
      <c r="G55">
        <f t="shared" si="0"/>
        <v>3.6557650467966996E-2</v>
      </c>
      <c r="H55">
        <v>0.13966913760817301</v>
      </c>
      <c r="I55" t="s">
        <v>79</v>
      </c>
    </row>
    <row r="56" spans="1:9" x14ac:dyDescent="0.35">
      <c r="A56" t="s">
        <v>70</v>
      </c>
      <c r="B56" t="s">
        <v>41</v>
      </c>
      <c r="C56" t="s">
        <v>38</v>
      </c>
      <c r="D56">
        <v>2013</v>
      </c>
      <c r="E56">
        <v>0.81963861469160904</v>
      </c>
      <c r="F56">
        <v>-0.98304238782565612</v>
      </c>
      <c r="G56">
        <f t="shared" si="0"/>
        <v>-1.8026810025172653</v>
      </c>
      <c r="H56">
        <v>0.10214769826599771</v>
      </c>
      <c r="I56" t="s">
        <v>79</v>
      </c>
    </row>
    <row r="57" spans="1:9" x14ac:dyDescent="0.35">
      <c r="A57" t="s">
        <v>70</v>
      </c>
      <c r="B57" t="s">
        <v>42</v>
      </c>
      <c r="C57" t="s">
        <v>40</v>
      </c>
      <c r="D57">
        <v>2013</v>
      </c>
      <c r="E57">
        <v>1.5995384631571461</v>
      </c>
      <c r="F57">
        <v>-0.98304238782565612</v>
      </c>
      <c r="G57">
        <f t="shared" si="0"/>
        <v>-2.5825808509828021</v>
      </c>
      <c r="H57">
        <v>0.10214769826599771</v>
      </c>
      <c r="I57" t="s">
        <v>79</v>
      </c>
    </row>
    <row r="58" spans="1:9" x14ac:dyDescent="0.35">
      <c r="A58" t="s">
        <v>70</v>
      </c>
      <c r="B58" t="s">
        <v>43</v>
      </c>
      <c r="C58" t="s">
        <v>38</v>
      </c>
      <c r="D58">
        <v>2013</v>
      </c>
      <c r="E58">
        <v>-0.64479636656290529</v>
      </c>
      <c r="F58">
        <v>-0.98304238782565612</v>
      </c>
      <c r="G58">
        <f t="shared" si="0"/>
        <v>-0.33824602126275083</v>
      </c>
      <c r="H58">
        <v>0.10214769826599771</v>
      </c>
      <c r="I58" t="s">
        <v>79</v>
      </c>
    </row>
    <row r="59" spans="1:9" x14ac:dyDescent="0.35">
      <c r="A59" t="s">
        <v>70</v>
      </c>
      <c r="B59" t="s">
        <v>44</v>
      </c>
      <c r="C59" t="s">
        <v>40</v>
      </c>
      <c r="D59">
        <v>2013</v>
      </c>
      <c r="E59">
        <v>0.28709236983106567</v>
      </c>
      <c r="F59">
        <v>-0.98304238782565612</v>
      </c>
      <c r="G59">
        <f t="shared" si="0"/>
        <v>-1.2701347576567219</v>
      </c>
      <c r="H59">
        <v>0.10214769826599771</v>
      </c>
      <c r="I59" t="s">
        <v>79</v>
      </c>
    </row>
    <row r="60" spans="1:9" x14ac:dyDescent="0.35">
      <c r="A60" t="s">
        <v>73</v>
      </c>
      <c r="B60" t="s">
        <v>41</v>
      </c>
      <c r="C60" t="s">
        <v>38</v>
      </c>
      <c r="D60">
        <v>2013</v>
      </c>
      <c r="E60">
        <v>0.38047816820923058</v>
      </c>
      <c r="F60">
        <v>0.92634815984379837</v>
      </c>
      <c r="G60">
        <f t="shared" si="0"/>
        <v>0.54586999163456773</v>
      </c>
      <c r="H60">
        <v>0.1267423905118876</v>
      </c>
      <c r="I60" t="s">
        <v>79</v>
      </c>
    </row>
    <row r="61" spans="1:9" x14ac:dyDescent="0.35">
      <c r="A61" t="s">
        <v>73</v>
      </c>
      <c r="B61" t="s">
        <v>42</v>
      </c>
      <c r="C61" t="s">
        <v>40</v>
      </c>
      <c r="D61">
        <v>2013</v>
      </c>
      <c r="E61">
        <v>1.3369944796204569</v>
      </c>
      <c r="F61">
        <v>0.92634815984379837</v>
      </c>
      <c r="G61">
        <f t="shared" si="0"/>
        <v>-0.41064631977665855</v>
      </c>
      <c r="H61">
        <v>0.1267423905118876</v>
      </c>
      <c r="I61" t="s">
        <v>79</v>
      </c>
    </row>
    <row r="62" spans="1:9" x14ac:dyDescent="0.35">
      <c r="A62" t="s">
        <v>73</v>
      </c>
      <c r="B62" t="s">
        <v>43</v>
      </c>
      <c r="C62" t="s">
        <v>38</v>
      </c>
      <c r="D62">
        <v>2013</v>
      </c>
      <c r="E62">
        <v>0.21992165083872811</v>
      </c>
      <c r="F62">
        <v>0.92634815984379837</v>
      </c>
      <c r="G62">
        <f t="shared" si="0"/>
        <v>0.70642650900507031</v>
      </c>
      <c r="H62">
        <v>0.1267423905118876</v>
      </c>
      <c r="I62" t="s">
        <v>79</v>
      </c>
    </row>
    <row r="63" spans="1:9" x14ac:dyDescent="0.35">
      <c r="A63" t="s">
        <v>73</v>
      </c>
      <c r="B63" t="s">
        <v>44</v>
      </c>
      <c r="C63" t="s">
        <v>40</v>
      </c>
      <c r="D63">
        <v>2013</v>
      </c>
      <c r="E63">
        <v>-9.6293692429949562E-2</v>
      </c>
      <c r="F63">
        <v>0.92634815984379837</v>
      </c>
      <c r="G63">
        <f t="shared" si="0"/>
        <v>1.0226418522737479</v>
      </c>
      <c r="H63">
        <v>0.1267423905118876</v>
      </c>
      <c r="I63" t="s">
        <v>79</v>
      </c>
    </row>
    <row r="64" spans="1:9" x14ac:dyDescent="0.35">
      <c r="A64" t="s">
        <v>75</v>
      </c>
      <c r="B64" t="s">
        <v>41</v>
      </c>
      <c r="C64" t="s">
        <v>38</v>
      </c>
      <c r="D64">
        <v>2013</v>
      </c>
      <c r="E64">
        <v>-0.54027205249544963</v>
      </c>
      <c r="F64">
        <v>-1.843520911707673</v>
      </c>
      <c r="G64">
        <f t="shared" si="0"/>
        <v>-1.3032488592122233</v>
      </c>
      <c r="H64">
        <v>0.13192991082085431</v>
      </c>
      <c r="I64" t="s">
        <v>79</v>
      </c>
    </row>
    <row r="65" spans="1:9" x14ac:dyDescent="0.35">
      <c r="A65" t="s">
        <v>75</v>
      </c>
      <c r="B65" t="s">
        <v>42</v>
      </c>
      <c r="C65" t="s">
        <v>40</v>
      </c>
      <c r="D65">
        <v>2013</v>
      </c>
      <c r="E65">
        <v>0.44387559815419753</v>
      </c>
      <c r="F65">
        <v>-1.843520911707673</v>
      </c>
      <c r="G65">
        <f t="shared" si="0"/>
        <v>-2.2873965098618703</v>
      </c>
      <c r="H65">
        <v>0.13192991082085431</v>
      </c>
      <c r="I65" t="s">
        <v>79</v>
      </c>
    </row>
    <row r="66" spans="1:9" x14ac:dyDescent="0.35">
      <c r="A66" t="s">
        <v>75</v>
      </c>
      <c r="B66" t="s">
        <v>43</v>
      </c>
      <c r="C66" t="s">
        <v>38</v>
      </c>
      <c r="D66">
        <v>2013</v>
      </c>
      <c r="E66">
        <v>-1.8298929550776939</v>
      </c>
      <c r="F66">
        <v>-1.843520911707673</v>
      </c>
      <c r="G66">
        <f t="shared" ref="G66:G129" si="1">IF(OR(F66="",E66=""),"",F66-E66)</f>
        <v>-1.3627956629979066E-2</v>
      </c>
      <c r="H66">
        <v>0.13192991082085431</v>
      </c>
      <c r="I66" t="s">
        <v>79</v>
      </c>
    </row>
    <row r="67" spans="1:9" x14ac:dyDescent="0.35">
      <c r="A67" t="s">
        <v>75</v>
      </c>
      <c r="B67" t="s">
        <v>44</v>
      </c>
      <c r="C67" t="s">
        <v>40</v>
      </c>
      <c r="D67">
        <v>2013</v>
      </c>
      <c r="E67">
        <v>-1.3409854181595351</v>
      </c>
      <c r="F67">
        <v>-1.843520911707673</v>
      </c>
      <c r="G67">
        <f t="shared" si="1"/>
        <v>-0.50253549354813787</v>
      </c>
      <c r="H67">
        <v>0.13192991082085431</v>
      </c>
      <c r="I67" t="s">
        <v>79</v>
      </c>
    </row>
    <row r="68" spans="1:9" x14ac:dyDescent="0.35">
      <c r="A68" t="s">
        <v>36</v>
      </c>
      <c r="B68" t="s">
        <v>43</v>
      </c>
      <c r="C68" t="s">
        <v>38</v>
      </c>
      <c r="D68">
        <v>2014</v>
      </c>
      <c r="E68">
        <v>1.6172789472429281</v>
      </c>
      <c r="F68">
        <v>0.87952767279372546</v>
      </c>
      <c r="G68">
        <f t="shared" si="1"/>
        <v>-0.73775127444920263</v>
      </c>
      <c r="H68">
        <v>0.1428833334652285</v>
      </c>
      <c r="I68" t="s">
        <v>79</v>
      </c>
    </row>
    <row r="69" spans="1:9" x14ac:dyDescent="0.35">
      <c r="A69" t="s">
        <v>36</v>
      </c>
      <c r="B69" t="s">
        <v>44</v>
      </c>
      <c r="C69" t="s">
        <v>40</v>
      </c>
      <c r="D69">
        <v>2014</v>
      </c>
      <c r="E69">
        <v>1.753478025840405</v>
      </c>
      <c r="F69">
        <v>0.87952767279372546</v>
      </c>
      <c r="G69">
        <f t="shared" si="1"/>
        <v>-0.87395035304667956</v>
      </c>
      <c r="H69">
        <v>0.1428833334652285</v>
      </c>
      <c r="I69" t="s">
        <v>79</v>
      </c>
    </row>
    <row r="70" spans="1:9" x14ac:dyDescent="0.35">
      <c r="A70" t="s">
        <v>36</v>
      </c>
      <c r="B70" t="s">
        <v>45</v>
      </c>
      <c r="C70" t="s">
        <v>38</v>
      </c>
      <c r="D70">
        <v>2014</v>
      </c>
      <c r="E70">
        <v>0.67669638838701029</v>
      </c>
      <c r="F70">
        <v>0.87952767279372546</v>
      </c>
      <c r="G70">
        <f t="shared" si="1"/>
        <v>0.20283128440671516</v>
      </c>
      <c r="H70">
        <v>0.1428833334652285</v>
      </c>
      <c r="I70" t="s">
        <v>79</v>
      </c>
    </row>
    <row r="71" spans="1:9" x14ac:dyDescent="0.35">
      <c r="A71" t="s">
        <v>36</v>
      </c>
      <c r="B71" t="s">
        <v>46</v>
      </c>
      <c r="C71" t="s">
        <v>40</v>
      </c>
      <c r="D71">
        <v>2014</v>
      </c>
      <c r="E71">
        <v>1.6499152648066451</v>
      </c>
      <c r="F71">
        <v>0.87952767279372546</v>
      </c>
      <c r="G71">
        <f t="shared" si="1"/>
        <v>-0.77038759201291962</v>
      </c>
      <c r="H71">
        <v>0.1428833334652285</v>
      </c>
      <c r="I71" t="s">
        <v>79</v>
      </c>
    </row>
    <row r="72" spans="1:9" x14ac:dyDescent="0.35">
      <c r="A72" t="s">
        <v>67</v>
      </c>
      <c r="B72" t="s">
        <v>43</v>
      </c>
      <c r="C72" t="s">
        <v>38</v>
      </c>
      <c r="D72">
        <v>2014</v>
      </c>
      <c r="E72">
        <v>1.142047499237697</v>
      </c>
      <c r="F72">
        <v>1.750092739581359</v>
      </c>
      <c r="G72">
        <f t="shared" si="1"/>
        <v>0.60804524034366203</v>
      </c>
      <c r="H72">
        <v>0.13813216110499679</v>
      </c>
      <c r="I72" t="s">
        <v>79</v>
      </c>
    </row>
    <row r="73" spans="1:9" x14ac:dyDescent="0.35">
      <c r="A73" t="s">
        <v>67</v>
      </c>
      <c r="B73" t="s">
        <v>44</v>
      </c>
      <c r="C73" t="s">
        <v>40</v>
      </c>
      <c r="D73">
        <v>2014</v>
      </c>
      <c r="E73">
        <v>1.19023811784591</v>
      </c>
      <c r="F73">
        <v>1.750092739581359</v>
      </c>
      <c r="G73">
        <f t="shared" si="1"/>
        <v>0.55985462173544898</v>
      </c>
      <c r="H73">
        <v>0.13813216110499679</v>
      </c>
      <c r="I73" t="s">
        <v>79</v>
      </c>
    </row>
    <row r="74" spans="1:9" x14ac:dyDescent="0.35">
      <c r="A74" t="s">
        <v>67</v>
      </c>
      <c r="B74" t="s">
        <v>45</v>
      </c>
      <c r="C74" t="s">
        <v>38</v>
      </c>
      <c r="D74">
        <v>2014</v>
      </c>
      <c r="E74">
        <v>0.92282985431766384</v>
      </c>
      <c r="F74">
        <v>1.750092739581359</v>
      </c>
      <c r="G74">
        <f t="shared" si="1"/>
        <v>0.82726288526369518</v>
      </c>
      <c r="H74">
        <v>0.13813216110499679</v>
      </c>
      <c r="I74" t="s">
        <v>79</v>
      </c>
    </row>
    <row r="75" spans="1:9" x14ac:dyDescent="0.35">
      <c r="A75" t="s">
        <v>67</v>
      </c>
      <c r="B75" t="s">
        <v>46</v>
      </c>
      <c r="C75" t="s">
        <v>40</v>
      </c>
      <c r="D75">
        <v>2014</v>
      </c>
      <c r="E75">
        <v>1.443053096414237</v>
      </c>
      <c r="F75">
        <v>1.750092739581359</v>
      </c>
      <c r="G75">
        <f t="shared" si="1"/>
        <v>0.30703964316712207</v>
      </c>
      <c r="H75">
        <v>0.13813216110499679</v>
      </c>
      <c r="I75" t="s">
        <v>79</v>
      </c>
    </row>
    <row r="76" spans="1:9" x14ac:dyDescent="0.35">
      <c r="A76" t="s">
        <v>68</v>
      </c>
      <c r="B76" t="s">
        <v>43</v>
      </c>
      <c r="C76" t="s">
        <v>38</v>
      </c>
      <c r="D76">
        <v>2014</v>
      </c>
      <c r="E76">
        <v>1.702614326444496</v>
      </c>
      <c r="F76">
        <v>2.2065294370805351</v>
      </c>
      <c r="G76">
        <f t="shared" si="1"/>
        <v>0.50391511063603911</v>
      </c>
      <c r="H76">
        <v>8.0341460522861424E-2</v>
      </c>
      <c r="I76" t="s">
        <v>79</v>
      </c>
    </row>
    <row r="77" spans="1:9" x14ac:dyDescent="0.35">
      <c r="A77" t="s">
        <v>68</v>
      </c>
      <c r="B77" t="s">
        <v>44</v>
      </c>
      <c r="C77" t="s">
        <v>40</v>
      </c>
      <c r="D77">
        <v>2014</v>
      </c>
      <c r="E77">
        <v>1.821630101383787</v>
      </c>
      <c r="F77">
        <v>2.2065294370805351</v>
      </c>
      <c r="G77">
        <f t="shared" si="1"/>
        <v>0.38489933569674806</v>
      </c>
      <c r="H77">
        <v>8.0341460522861424E-2</v>
      </c>
      <c r="I77" t="s">
        <v>79</v>
      </c>
    </row>
    <row r="78" spans="1:9" x14ac:dyDescent="0.35">
      <c r="A78" t="s">
        <v>68</v>
      </c>
      <c r="B78" t="s">
        <v>45</v>
      </c>
      <c r="C78" t="s">
        <v>38</v>
      </c>
      <c r="D78">
        <v>2014</v>
      </c>
      <c r="E78">
        <v>1.267570285804642</v>
      </c>
      <c r="F78">
        <v>2.2065294370805351</v>
      </c>
      <c r="G78">
        <f t="shared" si="1"/>
        <v>0.93895915127589302</v>
      </c>
      <c r="H78">
        <v>8.0341460522861424E-2</v>
      </c>
      <c r="I78" t="s">
        <v>79</v>
      </c>
    </row>
    <row r="79" spans="1:9" x14ac:dyDescent="0.35">
      <c r="A79" t="s">
        <v>68</v>
      </c>
      <c r="B79" t="s">
        <v>46</v>
      </c>
      <c r="C79" t="s">
        <v>40</v>
      </c>
      <c r="D79">
        <v>2014</v>
      </c>
      <c r="E79">
        <v>1.846054067989833</v>
      </c>
      <c r="F79">
        <v>2.2065294370805351</v>
      </c>
      <c r="G79">
        <f t="shared" si="1"/>
        <v>0.3604753690907021</v>
      </c>
      <c r="H79">
        <v>8.0341460522861424E-2</v>
      </c>
      <c r="I79" t="s">
        <v>79</v>
      </c>
    </row>
    <row r="80" spans="1:9" x14ac:dyDescent="0.35">
      <c r="A80" t="s">
        <v>69</v>
      </c>
      <c r="B80" t="s">
        <v>43</v>
      </c>
      <c r="C80" t="s">
        <v>38</v>
      </c>
      <c r="D80">
        <v>2014</v>
      </c>
      <c r="E80">
        <v>0.53460867752352925</v>
      </c>
      <c r="F80">
        <v>1.509054117610189</v>
      </c>
      <c r="G80">
        <f t="shared" si="1"/>
        <v>0.97444544008665979</v>
      </c>
      <c r="H80">
        <v>0.1453806813935363</v>
      </c>
      <c r="I80" t="s">
        <v>79</v>
      </c>
    </row>
    <row r="81" spans="1:9" x14ac:dyDescent="0.35">
      <c r="A81" t="s">
        <v>69</v>
      </c>
      <c r="B81" t="s">
        <v>44</v>
      </c>
      <c r="C81" t="s">
        <v>40</v>
      </c>
      <c r="D81">
        <v>2014</v>
      </c>
      <c r="E81">
        <v>0.93589599660655054</v>
      </c>
      <c r="F81">
        <v>1.509054117610189</v>
      </c>
      <c r="G81">
        <f t="shared" si="1"/>
        <v>0.5731581210036385</v>
      </c>
      <c r="H81">
        <v>0.1453806813935363</v>
      </c>
      <c r="I81" t="s">
        <v>79</v>
      </c>
    </row>
    <row r="82" spans="1:9" x14ac:dyDescent="0.35">
      <c r="A82" t="s">
        <v>69</v>
      </c>
      <c r="B82" t="s">
        <v>45</v>
      </c>
      <c r="C82" t="s">
        <v>38</v>
      </c>
      <c r="D82">
        <v>2014</v>
      </c>
      <c r="E82">
        <v>1.249540362435053</v>
      </c>
      <c r="F82">
        <v>1.509054117610189</v>
      </c>
      <c r="G82">
        <f t="shared" si="1"/>
        <v>0.25951375517513608</v>
      </c>
      <c r="H82">
        <v>0.1453806813935363</v>
      </c>
      <c r="I82" t="s">
        <v>79</v>
      </c>
    </row>
    <row r="83" spans="1:9" x14ac:dyDescent="0.35">
      <c r="A83" t="s">
        <v>69</v>
      </c>
      <c r="B83" t="s">
        <v>46</v>
      </c>
      <c r="C83" t="s">
        <v>40</v>
      </c>
      <c r="D83">
        <v>2014</v>
      </c>
      <c r="E83">
        <v>1.14800430968125</v>
      </c>
      <c r="F83">
        <v>1.509054117610189</v>
      </c>
      <c r="G83">
        <f t="shared" si="1"/>
        <v>0.36104980792893904</v>
      </c>
      <c r="H83">
        <v>0.1453806813935363</v>
      </c>
      <c r="I83" t="s">
        <v>79</v>
      </c>
    </row>
    <row r="84" spans="1:9" x14ac:dyDescent="0.35">
      <c r="A84" t="s">
        <v>70</v>
      </c>
      <c r="B84" t="s">
        <v>43</v>
      </c>
      <c r="C84" t="s">
        <v>38</v>
      </c>
      <c r="D84">
        <v>2014</v>
      </c>
      <c r="E84">
        <v>0.58013506796126268</v>
      </c>
      <c r="F84">
        <v>-0.47970961562021558</v>
      </c>
      <c r="G84">
        <f t="shared" si="1"/>
        <v>-1.0598446835814783</v>
      </c>
      <c r="H84">
        <v>0.11499832233530929</v>
      </c>
      <c r="I84" t="s">
        <v>79</v>
      </c>
    </row>
    <row r="85" spans="1:9" x14ac:dyDescent="0.35">
      <c r="A85" t="s">
        <v>70</v>
      </c>
      <c r="B85" t="s">
        <v>44</v>
      </c>
      <c r="C85" t="s">
        <v>40</v>
      </c>
      <c r="D85">
        <v>2014</v>
      </c>
      <c r="E85">
        <v>1.00425732590641</v>
      </c>
      <c r="F85">
        <v>-0.47970961562021558</v>
      </c>
      <c r="G85">
        <f t="shared" si="1"/>
        <v>-1.4839669415266257</v>
      </c>
      <c r="H85">
        <v>0.11499832233530929</v>
      </c>
      <c r="I85" t="s">
        <v>79</v>
      </c>
    </row>
    <row r="86" spans="1:9" x14ac:dyDescent="0.35">
      <c r="A86" t="s">
        <v>70</v>
      </c>
      <c r="B86" t="s">
        <v>45</v>
      </c>
      <c r="C86" t="s">
        <v>38</v>
      </c>
      <c r="D86">
        <v>2014</v>
      </c>
      <c r="E86">
        <v>-0.44253897907734491</v>
      </c>
      <c r="F86">
        <v>-0.47970961562021558</v>
      </c>
      <c r="G86">
        <f t="shared" si="1"/>
        <v>-3.7170636542870672E-2</v>
      </c>
      <c r="H86">
        <v>0.11499832233530929</v>
      </c>
      <c r="I86" t="s">
        <v>79</v>
      </c>
    </row>
    <row r="87" spans="1:9" x14ac:dyDescent="0.35">
      <c r="A87" t="s">
        <v>70</v>
      </c>
      <c r="B87" t="s">
        <v>46</v>
      </c>
      <c r="C87" t="s">
        <v>40</v>
      </c>
      <c r="D87">
        <v>2014</v>
      </c>
      <c r="E87">
        <v>0.1752479290949793</v>
      </c>
      <c r="F87">
        <v>-0.47970961562021558</v>
      </c>
      <c r="G87">
        <f t="shared" si="1"/>
        <v>-0.65495754471519485</v>
      </c>
      <c r="H87">
        <v>0.11499832233530929</v>
      </c>
      <c r="I87" t="s">
        <v>79</v>
      </c>
    </row>
    <row r="88" spans="1:9" x14ac:dyDescent="0.35">
      <c r="A88" t="s">
        <v>73</v>
      </c>
      <c r="B88" t="s">
        <v>43</v>
      </c>
      <c r="C88" t="s">
        <v>38</v>
      </c>
      <c r="D88">
        <v>2014</v>
      </c>
      <c r="E88">
        <v>0.91019216638974498</v>
      </c>
      <c r="F88">
        <v>0.99281792910282507</v>
      </c>
      <c r="G88">
        <f t="shared" si="1"/>
        <v>8.2625762713080086E-2</v>
      </c>
      <c r="H88">
        <v>0.1315312756639137</v>
      </c>
      <c r="I88" t="s">
        <v>79</v>
      </c>
    </row>
    <row r="89" spans="1:9" x14ac:dyDescent="0.35">
      <c r="A89" t="s">
        <v>73</v>
      </c>
      <c r="B89" t="s">
        <v>44</v>
      </c>
      <c r="C89" t="s">
        <v>40</v>
      </c>
      <c r="D89">
        <v>2014</v>
      </c>
      <c r="E89">
        <v>1.095437649770115</v>
      </c>
      <c r="F89">
        <v>0.99281792910282507</v>
      </c>
      <c r="G89">
        <f t="shared" si="1"/>
        <v>-0.10261972066728997</v>
      </c>
      <c r="H89">
        <v>0.1315312756639137</v>
      </c>
      <c r="I89" t="s">
        <v>79</v>
      </c>
    </row>
    <row r="90" spans="1:9" x14ac:dyDescent="0.35">
      <c r="A90" t="s">
        <v>73</v>
      </c>
      <c r="B90" t="s">
        <v>45</v>
      </c>
      <c r="C90" t="s">
        <v>38</v>
      </c>
      <c r="D90">
        <v>2014</v>
      </c>
      <c r="E90">
        <v>0.31811884101464738</v>
      </c>
      <c r="F90">
        <v>0.99281792910282507</v>
      </c>
      <c r="G90">
        <f t="shared" si="1"/>
        <v>0.67469908808817769</v>
      </c>
      <c r="H90">
        <v>0.1315312756639137</v>
      </c>
      <c r="I90" t="s">
        <v>79</v>
      </c>
    </row>
    <row r="91" spans="1:9" x14ac:dyDescent="0.35">
      <c r="A91" t="s">
        <v>73</v>
      </c>
      <c r="B91" t="s">
        <v>46</v>
      </c>
      <c r="C91" t="s">
        <v>40</v>
      </c>
      <c r="D91">
        <v>2014</v>
      </c>
      <c r="E91">
        <v>0.97562348050159731</v>
      </c>
      <c r="F91">
        <v>0.99281792910282507</v>
      </c>
      <c r="G91">
        <f t="shared" si="1"/>
        <v>1.7194448601227763E-2</v>
      </c>
      <c r="H91">
        <v>0.1315312756639137</v>
      </c>
      <c r="I91" t="s">
        <v>79</v>
      </c>
    </row>
    <row r="92" spans="1:9" x14ac:dyDescent="0.35">
      <c r="A92" t="s">
        <v>75</v>
      </c>
      <c r="B92" t="s">
        <v>43</v>
      </c>
      <c r="C92" t="s">
        <v>38</v>
      </c>
      <c r="D92">
        <v>2014</v>
      </c>
      <c r="E92">
        <v>0.71082592354936303</v>
      </c>
      <c r="F92">
        <v>7.5233947391528819E-2</v>
      </c>
      <c r="G92">
        <f t="shared" si="1"/>
        <v>-0.63559197615783425</v>
      </c>
      <c r="H92">
        <v>0.14276659834860511</v>
      </c>
      <c r="I92" t="s">
        <v>79</v>
      </c>
    </row>
    <row r="93" spans="1:9" x14ac:dyDescent="0.35">
      <c r="A93" t="s">
        <v>75</v>
      </c>
      <c r="B93" t="s">
        <v>44</v>
      </c>
      <c r="C93" t="s">
        <v>40</v>
      </c>
      <c r="D93">
        <v>2014</v>
      </c>
      <c r="E93">
        <v>0.71763548551055933</v>
      </c>
      <c r="F93">
        <v>7.5233947391528819E-2</v>
      </c>
      <c r="G93">
        <f t="shared" si="1"/>
        <v>-0.64240153811903056</v>
      </c>
      <c r="H93">
        <v>0.14276659834860511</v>
      </c>
      <c r="I93" t="s">
        <v>79</v>
      </c>
    </row>
    <row r="94" spans="1:9" x14ac:dyDescent="0.35">
      <c r="A94" t="s">
        <v>75</v>
      </c>
      <c r="B94" t="s">
        <v>45</v>
      </c>
      <c r="C94" t="s">
        <v>38</v>
      </c>
      <c r="D94">
        <v>2014</v>
      </c>
      <c r="E94">
        <v>-0.39461096681301377</v>
      </c>
      <c r="F94">
        <v>7.5233947391528819E-2</v>
      </c>
      <c r="G94">
        <f t="shared" si="1"/>
        <v>0.46984491420454261</v>
      </c>
      <c r="H94">
        <v>0.14276659834860511</v>
      </c>
      <c r="I94" t="s">
        <v>79</v>
      </c>
    </row>
    <row r="95" spans="1:9" x14ac:dyDescent="0.35">
      <c r="A95" t="s">
        <v>75</v>
      </c>
      <c r="B95" t="s">
        <v>46</v>
      </c>
      <c r="C95" t="s">
        <v>40</v>
      </c>
      <c r="D95">
        <v>2014</v>
      </c>
      <c r="E95">
        <v>0.57096731898795827</v>
      </c>
      <c r="F95">
        <v>7.5233947391528819E-2</v>
      </c>
      <c r="G95">
        <f t="shared" si="1"/>
        <v>-0.49573337159642944</v>
      </c>
      <c r="H95">
        <v>0.14276659834860511</v>
      </c>
      <c r="I95" t="s">
        <v>79</v>
      </c>
    </row>
    <row r="96" spans="1:9" x14ac:dyDescent="0.35">
      <c r="A96" t="s">
        <v>67</v>
      </c>
      <c r="B96" t="s">
        <v>45</v>
      </c>
      <c r="C96" t="s">
        <v>38</v>
      </c>
      <c r="D96">
        <v>2015</v>
      </c>
      <c r="E96">
        <v>0.86159735965183337</v>
      </c>
      <c r="F96">
        <v>1.4634410714791239</v>
      </c>
      <c r="G96">
        <f t="shared" si="1"/>
        <v>0.60184371182729057</v>
      </c>
      <c r="H96">
        <v>0.13227337787003421</v>
      </c>
      <c r="I96" t="s">
        <v>79</v>
      </c>
    </row>
    <row r="97" spans="1:9" x14ac:dyDescent="0.35">
      <c r="A97" t="s">
        <v>67</v>
      </c>
      <c r="B97" t="s">
        <v>46</v>
      </c>
      <c r="C97" t="s">
        <v>40</v>
      </c>
      <c r="D97">
        <v>2015</v>
      </c>
      <c r="E97">
        <v>1.5593135161243941</v>
      </c>
      <c r="F97">
        <v>1.4634410714791239</v>
      </c>
      <c r="G97">
        <f t="shared" si="1"/>
        <v>-9.5872444645270116E-2</v>
      </c>
      <c r="H97">
        <v>0.13227337787003421</v>
      </c>
      <c r="I97" t="s">
        <v>79</v>
      </c>
    </row>
    <row r="98" spans="1:9" x14ac:dyDescent="0.35">
      <c r="A98" t="s">
        <v>67</v>
      </c>
      <c r="B98" t="s">
        <v>47</v>
      </c>
      <c r="C98" t="s">
        <v>38</v>
      </c>
      <c r="D98">
        <v>2015</v>
      </c>
      <c r="E98">
        <v>1.262482967982592</v>
      </c>
      <c r="F98">
        <v>1.4634410714791239</v>
      </c>
      <c r="G98">
        <f t="shared" si="1"/>
        <v>0.20095810349653198</v>
      </c>
      <c r="H98">
        <v>0.13227337787003421</v>
      </c>
      <c r="I98" t="s">
        <v>79</v>
      </c>
    </row>
    <row r="99" spans="1:9" x14ac:dyDescent="0.35">
      <c r="A99" t="s">
        <v>67</v>
      </c>
      <c r="B99" t="s">
        <v>48</v>
      </c>
      <c r="C99" t="s">
        <v>40</v>
      </c>
      <c r="D99">
        <v>2015</v>
      </c>
      <c r="E99">
        <v>1.08741840250608</v>
      </c>
      <c r="F99">
        <v>1.4634410714791239</v>
      </c>
      <c r="G99">
        <f t="shared" si="1"/>
        <v>0.37602266897304393</v>
      </c>
      <c r="H99">
        <v>0.13227337787003421</v>
      </c>
      <c r="I99" t="s">
        <v>79</v>
      </c>
    </row>
    <row r="100" spans="1:9" x14ac:dyDescent="0.35">
      <c r="A100" t="s">
        <v>68</v>
      </c>
      <c r="B100" t="s">
        <v>45</v>
      </c>
      <c r="C100" t="s">
        <v>38</v>
      </c>
      <c r="D100">
        <v>2015</v>
      </c>
      <c r="E100">
        <v>1.095015499462715</v>
      </c>
      <c r="F100">
        <v>1.511701771928704</v>
      </c>
      <c r="G100">
        <f t="shared" si="1"/>
        <v>0.41668627246598899</v>
      </c>
      <c r="H100">
        <v>8.4820190971738083E-2</v>
      </c>
      <c r="I100" t="s">
        <v>79</v>
      </c>
    </row>
    <row r="101" spans="1:9" x14ac:dyDescent="0.35">
      <c r="A101" t="s">
        <v>68</v>
      </c>
      <c r="B101" t="s">
        <v>46</v>
      </c>
      <c r="C101" t="s">
        <v>40</v>
      </c>
      <c r="D101">
        <v>2015</v>
      </c>
      <c r="E101">
        <v>1.9840546273578901</v>
      </c>
      <c r="F101">
        <v>1.511701771928704</v>
      </c>
      <c r="G101">
        <f t="shared" si="1"/>
        <v>-0.47235285542918604</v>
      </c>
      <c r="H101">
        <v>8.4820190971738083E-2</v>
      </c>
      <c r="I101" t="s">
        <v>79</v>
      </c>
    </row>
    <row r="102" spans="1:9" x14ac:dyDescent="0.35">
      <c r="A102" t="s">
        <v>68</v>
      </c>
      <c r="B102" t="s">
        <v>47</v>
      </c>
      <c r="C102" t="s">
        <v>38</v>
      </c>
      <c r="D102">
        <v>2015</v>
      </c>
      <c r="E102">
        <v>1.7105611289528031</v>
      </c>
      <c r="F102">
        <v>1.511701771928704</v>
      </c>
      <c r="G102">
        <f t="shared" si="1"/>
        <v>-0.19885935702409907</v>
      </c>
      <c r="H102">
        <v>8.4820190971738083E-2</v>
      </c>
      <c r="I102" t="s">
        <v>79</v>
      </c>
    </row>
    <row r="103" spans="1:9" x14ac:dyDescent="0.35">
      <c r="A103" t="s">
        <v>68</v>
      </c>
      <c r="B103" t="s">
        <v>48</v>
      </c>
      <c r="C103" t="s">
        <v>40</v>
      </c>
      <c r="D103">
        <v>2015</v>
      </c>
      <c r="E103">
        <v>1.8717908251089099</v>
      </c>
      <c r="F103">
        <v>1.511701771928704</v>
      </c>
      <c r="G103">
        <f t="shared" si="1"/>
        <v>-0.3600890531802059</v>
      </c>
      <c r="H103">
        <v>8.4820190971738083E-2</v>
      </c>
      <c r="I103" t="s">
        <v>79</v>
      </c>
    </row>
    <row r="104" spans="1:9" x14ac:dyDescent="0.35">
      <c r="A104" t="s">
        <v>70</v>
      </c>
      <c r="B104" t="s">
        <v>45</v>
      </c>
      <c r="C104" t="s">
        <v>38</v>
      </c>
      <c r="D104">
        <v>2015</v>
      </c>
      <c r="E104">
        <v>0.6115453306968277</v>
      </c>
      <c r="F104">
        <v>0.46533578746174248</v>
      </c>
      <c r="G104">
        <f t="shared" si="1"/>
        <v>-0.14620954323508523</v>
      </c>
      <c r="H104">
        <v>0.1143193478888568</v>
      </c>
      <c r="I104" t="s">
        <v>79</v>
      </c>
    </row>
    <row r="105" spans="1:9" x14ac:dyDescent="0.35">
      <c r="A105" t="s">
        <v>70</v>
      </c>
      <c r="B105" t="s">
        <v>46</v>
      </c>
      <c r="C105" t="s">
        <v>40</v>
      </c>
      <c r="D105">
        <v>2015</v>
      </c>
      <c r="E105">
        <v>1.03813878882193</v>
      </c>
      <c r="F105">
        <v>0.46533578746174248</v>
      </c>
      <c r="G105">
        <f t="shared" si="1"/>
        <v>-0.57280300136018747</v>
      </c>
      <c r="H105">
        <v>0.1143193478888568</v>
      </c>
      <c r="I105" t="s">
        <v>79</v>
      </c>
    </row>
    <row r="106" spans="1:9" x14ac:dyDescent="0.35">
      <c r="A106" t="s">
        <v>70</v>
      </c>
      <c r="B106" t="s">
        <v>47</v>
      </c>
      <c r="C106" t="s">
        <v>38</v>
      </c>
      <c r="D106">
        <v>2015</v>
      </c>
      <c r="E106">
        <v>0.33999838965084178</v>
      </c>
      <c r="F106">
        <v>0.46533578746174248</v>
      </c>
      <c r="G106">
        <f t="shared" si="1"/>
        <v>0.1253373978109007</v>
      </c>
      <c r="H106">
        <v>0.1143193478888568</v>
      </c>
      <c r="I106" t="s">
        <v>79</v>
      </c>
    </row>
    <row r="107" spans="1:9" x14ac:dyDescent="0.35">
      <c r="A107" t="s">
        <v>70</v>
      </c>
      <c r="B107" t="s">
        <v>48</v>
      </c>
      <c r="C107" t="s">
        <v>40</v>
      </c>
      <c r="D107">
        <v>2015</v>
      </c>
      <c r="E107">
        <v>0.34221817011690359</v>
      </c>
      <c r="F107">
        <v>0.46533578746174248</v>
      </c>
      <c r="G107">
        <f t="shared" si="1"/>
        <v>0.12311761734483889</v>
      </c>
      <c r="H107">
        <v>0.1143193478888568</v>
      </c>
      <c r="I107" t="s">
        <v>79</v>
      </c>
    </row>
    <row r="108" spans="1:9" x14ac:dyDescent="0.35">
      <c r="A108" t="s">
        <v>73</v>
      </c>
      <c r="B108" t="s">
        <v>45</v>
      </c>
      <c r="C108" t="s">
        <v>38</v>
      </c>
      <c r="D108">
        <v>2015</v>
      </c>
      <c r="E108">
        <v>0.69497120757255892</v>
      </c>
      <c r="F108">
        <v>0.99352475042418931</v>
      </c>
      <c r="G108">
        <f t="shared" si="1"/>
        <v>0.29855354285163038</v>
      </c>
      <c r="H108">
        <v>0.13764973587361881</v>
      </c>
      <c r="I108" t="s">
        <v>79</v>
      </c>
    </row>
    <row r="109" spans="1:9" x14ac:dyDescent="0.35">
      <c r="A109" t="s">
        <v>73</v>
      </c>
      <c r="B109" t="s">
        <v>46</v>
      </c>
      <c r="C109" t="s">
        <v>40</v>
      </c>
      <c r="D109">
        <v>2015</v>
      </c>
      <c r="E109">
        <v>1.4732524317461191</v>
      </c>
      <c r="F109">
        <v>0.99352475042418931</v>
      </c>
      <c r="G109">
        <f t="shared" si="1"/>
        <v>-0.47972768132192978</v>
      </c>
      <c r="H109">
        <v>0.13764973587361881</v>
      </c>
      <c r="I109" t="s">
        <v>79</v>
      </c>
    </row>
    <row r="110" spans="1:9" x14ac:dyDescent="0.35">
      <c r="A110" t="s">
        <v>73</v>
      </c>
      <c r="B110" t="s">
        <v>47</v>
      </c>
      <c r="C110" t="s">
        <v>38</v>
      </c>
      <c r="D110">
        <v>2015</v>
      </c>
      <c r="E110">
        <v>1.0829396488476919</v>
      </c>
      <c r="F110">
        <v>0.99352475042418931</v>
      </c>
      <c r="G110">
        <f t="shared" si="1"/>
        <v>-8.9414898423502587E-2</v>
      </c>
      <c r="H110">
        <v>0.13764973587361881</v>
      </c>
      <c r="I110" t="s">
        <v>79</v>
      </c>
    </row>
    <row r="111" spans="1:9" x14ac:dyDescent="0.35">
      <c r="A111" t="s">
        <v>73</v>
      </c>
      <c r="B111" t="s">
        <v>48</v>
      </c>
      <c r="C111" t="s">
        <v>40</v>
      </c>
      <c r="D111">
        <v>2015</v>
      </c>
      <c r="E111">
        <v>1.081963871443703</v>
      </c>
      <c r="F111">
        <v>0.99352475042418931</v>
      </c>
      <c r="G111">
        <f t="shared" si="1"/>
        <v>-8.8439121019513678E-2</v>
      </c>
      <c r="H111">
        <v>0.13764973587361881</v>
      </c>
      <c r="I111" t="s">
        <v>79</v>
      </c>
    </row>
    <row r="112" spans="1:9" x14ac:dyDescent="0.35">
      <c r="A112" t="s">
        <v>67</v>
      </c>
      <c r="B112" t="s">
        <v>47</v>
      </c>
      <c r="C112" t="s">
        <v>38</v>
      </c>
      <c r="D112">
        <v>2016</v>
      </c>
      <c r="E112">
        <v>1.305005005659998</v>
      </c>
      <c r="F112">
        <v>1.1863946679844091</v>
      </c>
      <c r="G112">
        <f t="shared" si="1"/>
        <v>-0.11861033767558893</v>
      </c>
      <c r="H112">
        <v>0.13260173436388301</v>
      </c>
      <c r="I112" t="s">
        <v>79</v>
      </c>
    </row>
    <row r="113" spans="1:9" x14ac:dyDescent="0.35">
      <c r="A113" t="s">
        <v>67</v>
      </c>
      <c r="B113" t="s">
        <v>48</v>
      </c>
      <c r="C113" t="s">
        <v>40</v>
      </c>
      <c r="D113">
        <v>2016</v>
      </c>
      <c r="E113">
        <v>1.466822845081617</v>
      </c>
      <c r="F113">
        <v>1.1863946679844091</v>
      </c>
      <c r="G113">
        <f t="shared" si="1"/>
        <v>-0.28042817709720791</v>
      </c>
      <c r="H113">
        <v>0.13260173436388301</v>
      </c>
      <c r="I113" t="s">
        <v>79</v>
      </c>
    </row>
    <row r="114" spans="1:9" x14ac:dyDescent="0.35">
      <c r="A114" t="s">
        <v>67</v>
      </c>
      <c r="B114" t="s">
        <v>49</v>
      </c>
      <c r="C114" t="s">
        <v>38</v>
      </c>
      <c r="D114">
        <v>2016</v>
      </c>
      <c r="E114">
        <v>1.233699257987553</v>
      </c>
      <c r="F114">
        <v>1.1863946679844091</v>
      </c>
      <c r="G114">
        <f t="shared" si="1"/>
        <v>-4.7304590003143909E-2</v>
      </c>
      <c r="H114">
        <v>0.13260173436388301</v>
      </c>
      <c r="I114" t="s">
        <v>79</v>
      </c>
    </row>
    <row r="115" spans="1:9" x14ac:dyDescent="0.35">
      <c r="A115" t="s">
        <v>67</v>
      </c>
      <c r="B115" t="s">
        <v>50</v>
      </c>
      <c r="C115" t="s">
        <v>40</v>
      </c>
      <c r="D115">
        <v>2016</v>
      </c>
      <c r="E115">
        <v>1.197250966203911</v>
      </c>
      <c r="F115">
        <v>1.1863946679844091</v>
      </c>
      <c r="G115">
        <f t="shared" si="1"/>
        <v>-1.0856298219501959E-2</v>
      </c>
      <c r="H115">
        <v>0.13260173436388301</v>
      </c>
      <c r="I115" t="s">
        <v>79</v>
      </c>
    </row>
    <row r="116" spans="1:9" x14ac:dyDescent="0.35">
      <c r="A116" t="s">
        <v>68</v>
      </c>
      <c r="B116" t="s">
        <v>47</v>
      </c>
      <c r="C116" t="s">
        <v>38</v>
      </c>
      <c r="D116">
        <v>2016</v>
      </c>
      <c r="E116">
        <v>1.9064608618794221</v>
      </c>
      <c r="F116">
        <v>2.1850659941992001</v>
      </c>
      <c r="G116">
        <f t="shared" si="1"/>
        <v>0.27860513231977801</v>
      </c>
      <c r="H116">
        <v>8.3646788238765979E-2</v>
      </c>
      <c r="I116" t="s">
        <v>79</v>
      </c>
    </row>
    <row r="117" spans="1:9" x14ac:dyDescent="0.35">
      <c r="A117" t="s">
        <v>68</v>
      </c>
      <c r="B117" t="s">
        <v>48</v>
      </c>
      <c r="C117" t="s">
        <v>40</v>
      </c>
      <c r="D117">
        <v>2016</v>
      </c>
      <c r="E117">
        <v>2.0247448397811012</v>
      </c>
      <c r="F117">
        <v>2.1850659941992001</v>
      </c>
      <c r="G117">
        <f t="shared" si="1"/>
        <v>0.16032115441809891</v>
      </c>
      <c r="H117">
        <v>8.3646788238765979E-2</v>
      </c>
      <c r="I117" t="s">
        <v>79</v>
      </c>
    </row>
    <row r="118" spans="1:9" x14ac:dyDescent="0.35">
      <c r="A118" t="s">
        <v>68</v>
      </c>
      <c r="B118" t="s">
        <v>49</v>
      </c>
      <c r="C118" t="s">
        <v>38</v>
      </c>
      <c r="D118">
        <v>2016</v>
      </c>
      <c r="E118">
        <v>1.9388708932542631</v>
      </c>
      <c r="F118">
        <v>2.1850659941992001</v>
      </c>
      <c r="G118">
        <f t="shared" si="1"/>
        <v>0.24619510094493702</v>
      </c>
      <c r="H118">
        <v>8.3646788238765979E-2</v>
      </c>
      <c r="I118" t="s">
        <v>79</v>
      </c>
    </row>
    <row r="119" spans="1:9" x14ac:dyDescent="0.35">
      <c r="A119" t="s">
        <v>68</v>
      </c>
      <c r="B119" t="s">
        <v>50</v>
      </c>
      <c r="C119" t="s">
        <v>40</v>
      </c>
      <c r="D119">
        <v>2016</v>
      </c>
      <c r="E119">
        <v>1.624850184809512</v>
      </c>
      <c r="F119">
        <v>2.1850659941992001</v>
      </c>
      <c r="G119">
        <f t="shared" si="1"/>
        <v>0.56021580938968807</v>
      </c>
      <c r="H119">
        <v>8.3646788238765979E-2</v>
      </c>
      <c r="I119" t="s">
        <v>79</v>
      </c>
    </row>
    <row r="120" spans="1:9" x14ac:dyDescent="0.35">
      <c r="A120" t="s">
        <v>70</v>
      </c>
      <c r="B120" t="s">
        <v>47</v>
      </c>
      <c r="C120" t="s">
        <v>38</v>
      </c>
      <c r="D120">
        <v>2016</v>
      </c>
      <c r="E120">
        <v>0.66078776686688823</v>
      </c>
      <c r="F120">
        <v>2.5394630680659041</v>
      </c>
      <c r="G120">
        <f t="shared" si="1"/>
        <v>1.8786753011990158</v>
      </c>
      <c r="H120">
        <v>0.1042068854568855</v>
      </c>
      <c r="I120" t="s">
        <v>79</v>
      </c>
    </row>
    <row r="121" spans="1:9" x14ac:dyDescent="0.35">
      <c r="A121" t="s">
        <v>70</v>
      </c>
      <c r="B121" t="s">
        <v>48</v>
      </c>
      <c r="C121" t="s">
        <v>40</v>
      </c>
      <c r="D121">
        <v>2016</v>
      </c>
      <c r="E121">
        <v>1.029139259030432</v>
      </c>
      <c r="F121">
        <v>2.5394630680659041</v>
      </c>
      <c r="G121">
        <f t="shared" si="1"/>
        <v>1.510323809035472</v>
      </c>
      <c r="H121">
        <v>0.1042068854568855</v>
      </c>
      <c r="I121" t="s">
        <v>79</v>
      </c>
    </row>
    <row r="122" spans="1:9" x14ac:dyDescent="0.35">
      <c r="A122" t="s">
        <v>70</v>
      </c>
      <c r="B122" t="s">
        <v>49</v>
      </c>
      <c r="C122" t="s">
        <v>38</v>
      </c>
      <c r="D122">
        <v>2016</v>
      </c>
      <c r="E122">
        <v>0.8211412144474739</v>
      </c>
      <c r="F122">
        <v>2.5394630680659041</v>
      </c>
      <c r="G122">
        <f t="shared" si="1"/>
        <v>1.7183218536184302</v>
      </c>
      <c r="H122">
        <v>0.1042068854568855</v>
      </c>
      <c r="I122" t="s">
        <v>79</v>
      </c>
    </row>
    <row r="123" spans="1:9" x14ac:dyDescent="0.35">
      <c r="A123" t="s">
        <v>70</v>
      </c>
      <c r="B123" t="s">
        <v>50</v>
      </c>
      <c r="C123" t="s">
        <v>40</v>
      </c>
      <c r="D123">
        <v>2016</v>
      </c>
      <c r="E123">
        <v>0.68041183214515577</v>
      </c>
      <c r="F123">
        <v>2.5394630680659041</v>
      </c>
      <c r="G123">
        <f t="shared" si="1"/>
        <v>1.8590512359207483</v>
      </c>
      <c r="H123">
        <v>0.1042068854568855</v>
      </c>
      <c r="I123" t="s">
        <v>79</v>
      </c>
    </row>
    <row r="124" spans="1:9" x14ac:dyDescent="0.35">
      <c r="A124" t="s">
        <v>73</v>
      </c>
      <c r="B124" t="s">
        <v>47</v>
      </c>
      <c r="C124" t="s">
        <v>38</v>
      </c>
      <c r="D124">
        <v>2016</v>
      </c>
      <c r="E124">
        <v>1.4293943423307589</v>
      </c>
      <c r="F124">
        <v>0.7341997048160207</v>
      </c>
      <c r="G124">
        <f t="shared" si="1"/>
        <v>-0.6951946375147382</v>
      </c>
      <c r="H124">
        <v>0.14114053079650751</v>
      </c>
      <c r="I124" t="s">
        <v>79</v>
      </c>
    </row>
    <row r="125" spans="1:9" x14ac:dyDescent="0.35">
      <c r="A125" t="s">
        <v>73</v>
      </c>
      <c r="B125" t="s">
        <v>48</v>
      </c>
      <c r="C125" t="s">
        <v>40</v>
      </c>
      <c r="D125">
        <v>2016</v>
      </c>
      <c r="E125">
        <v>1.6816047146198001</v>
      </c>
      <c r="F125">
        <v>0.7341997048160207</v>
      </c>
      <c r="G125">
        <f t="shared" si="1"/>
        <v>-0.9474050098037794</v>
      </c>
      <c r="H125">
        <v>0.14114053079650751</v>
      </c>
      <c r="I125" t="s">
        <v>79</v>
      </c>
    </row>
    <row r="126" spans="1:9" x14ac:dyDescent="0.35">
      <c r="A126" t="s">
        <v>73</v>
      </c>
      <c r="B126" t="s">
        <v>49</v>
      </c>
      <c r="C126" t="s">
        <v>38</v>
      </c>
      <c r="D126">
        <v>2016</v>
      </c>
      <c r="E126">
        <v>1.254473785454957</v>
      </c>
      <c r="F126">
        <v>0.7341997048160207</v>
      </c>
      <c r="G126">
        <f t="shared" si="1"/>
        <v>-0.52027408063893632</v>
      </c>
      <c r="H126">
        <v>0.14114053079650751</v>
      </c>
      <c r="I126" t="s">
        <v>79</v>
      </c>
    </row>
    <row r="127" spans="1:9" x14ac:dyDescent="0.35">
      <c r="A127" t="s">
        <v>73</v>
      </c>
      <c r="B127" t="s">
        <v>50</v>
      </c>
      <c r="C127" t="s">
        <v>40</v>
      </c>
      <c r="D127">
        <v>2016</v>
      </c>
      <c r="E127">
        <v>1.331417785335498</v>
      </c>
      <c r="F127">
        <v>0.7341997048160207</v>
      </c>
      <c r="G127">
        <f t="shared" si="1"/>
        <v>-0.59721808051947733</v>
      </c>
      <c r="H127">
        <v>0.14114053079650751</v>
      </c>
      <c r="I127" t="s">
        <v>79</v>
      </c>
    </row>
    <row r="128" spans="1:9" x14ac:dyDescent="0.35">
      <c r="A128" t="s">
        <v>77</v>
      </c>
      <c r="B128" t="s">
        <v>47</v>
      </c>
      <c r="C128" t="s">
        <v>38</v>
      </c>
      <c r="D128">
        <v>2016</v>
      </c>
      <c r="E128">
        <v>1.659048842216615</v>
      </c>
      <c r="F128">
        <v>1.9843922204112789</v>
      </c>
      <c r="G128">
        <f t="shared" si="1"/>
        <v>0.32534337819466397</v>
      </c>
      <c r="H128">
        <v>0.14130583113852541</v>
      </c>
      <c r="I128" t="s">
        <v>79</v>
      </c>
    </row>
    <row r="129" spans="1:9" x14ac:dyDescent="0.35">
      <c r="A129" t="s">
        <v>77</v>
      </c>
      <c r="B129" t="s">
        <v>48</v>
      </c>
      <c r="C129" t="s">
        <v>40</v>
      </c>
      <c r="D129">
        <v>2016</v>
      </c>
      <c r="E129">
        <v>1.838363161189682</v>
      </c>
      <c r="F129">
        <v>1.9843922204112789</v>
      </c>
      <c r="G129">
        <f t="shared" si="1"/>
        <v>0.14602905922159692</v>
      </c>
      <c r="H129">
        <v>0.14130583113852541</v>
      </c>
      <c r="I129" t="s">
        <v>79</v>
      </c>
    </row>
    <row r="130" spans="1:9" x14ac:dyDescent="0.35">
      <c r="A130" t="s">
        <v>77</v>
      </c>
      <c r="B130" t="s">
        <v>49</v>
      </c>
      <c r="C130" t="s">
        <v>38</v>
      </c>
      <c r="D130">
        <v>2016</v>
      </c>
      <c r="E130">
        <v>0.92930181879138374</v>
      </c>
      <c r="F130">
        <v>1.9843922204112789</v>
      </c>
      <c r="G130">
        <f t="shared" ref="G130:G193" si="2">IF(OR(F130="",E130=""),"",F130-E130)</f>
        <v>1.0550904016198952</v>
      </c>
      <c r="H130">
        <v>0.14130583113852541</v>
      </c>
      <c r="I130" t="s">
        <v>79</v>
      </c>
    </row>
    <row r="131" spans="1:9" x14ac:dyDescent="0.35">
      <c r="A131" t="s">
        <v>77</v>
      </c>
      <c r="B131" t="s">
        <v>50</v>
      </c>
      <c r="C131" t="s">
        <v>40</v>
      </c>
      <c r="D131">
        <v>2016</v>
      </c>
      <c r="E131">
        <v>1.458222731677794</v>
      </c>
      <c r="F131">
        <v>1.9843922204112789</v>
      </c>
      <c r="G131">
        <f t="shared" si="2"/>
        <v>0.5261694887334849</v>
      </c>
      <c r="H131">
        <v>0.14130583113852541</v>
      </c>
      <c r="I131" t="s">
        <v>79</v>
      </c>
    </row>
    <row r="132" spans="1:9" x14ac:dyDescent="0.35">
      <c r="A132" t="s">
        <v>67</v>
      </c>
      <c r="B132" t="s">
        <v>49</v>
      </c>
      <c r="C132" t="s">
        <v>38</v>
      </c>
      <c r="D132">
        <v>2017</v>
      </c>
      <c r="E132">
        <v>1.3129307877172809</v>
      </c>
      <c r="F132">
        <v>1.4637105039357461</v>
      </c>
      <c r="G132">
        <f t="shared" si="2"/>
        <v>0.1507797162184652</v>
      </c>
      <c r="H132">
        <v>0.1392873283304116</v>
      </c>
      <c r="I132" t="s">
        <v>79</v>
      </c>
    </row>
    <row r="133" spans="1:9" x14ac:dyDescent="0.35">
      <c r="A133" t="s">
        <v>67</v>
      </c>
      <c r="B133" t="s">
        <v>50</v>
      </c>
      <c r="C133" t="s">
        <v>40</v>
      </c>
      <c r="D133">
        <v>2017</v>
      </c>
      <c r="E133">
        <v>1.566209901734994</v>
      </c>
      <c r="F133">
        <v>1.4637105039357461</v>
      </c>
      <c r="G133">
        <f t="shared" si="2"/>
        <v>-0.10249939779924788</v>
      </c>
      <c r="H133">
        <v>0.1392873283304116</v>
      </c>
      <c r="I133" t="s">
        <v>79</v>
      </c>
    </row>
    <row r="134" spans="1:9" x14ac:dyDescent="0.35">
      <c r="A134" t="s">
        <v>67</v>
      </c>
      <c r="B134" t="s">
        <v>51</v>
      </c>
      <c r="C134" t="s">
        <v>38</v>
      </c>
      <c r="D134">
        <v>2017</v>
      </c>
      <c r="E134">
        <v>1.732555567629479</v>
      </c>
      <c r="F134">
        <v>1.4637105039357461</v>
      </c>
      <c r="G134">
        <f t="shared" si="2"/>
        <v>-0.26884506369373296</v>
      </c>
      <c r="H134">
        <v>0.1392873283304116</v>
      </c>
      <c r="I134" t="s">
        <v>79</v>
      </c>
    </row>
    <row r="135" spans="1:9" x14ac:dyDescent="0.35">
      <c r="A135" t="s">
        <v>67</v>
      </c>
      <c r="B135" t="s">
        <v>52</v>
      </c>
      <c r="C135" t="s">
        <v>40</v>
      </c>
      <c r="D135">
        <v>2017</v>
      </c>
      <c r="E135">
        <v>1.543494370971477</v>
      </c>
      <c r="F135">
        <v>1.4637105039357461</v>
      </c>
      <c r="G135">
        <f t="shared" si="2"/>
        <v>-7.9783867035730927E-2</v>
      </c>
      <c r="H135">
        <v>0.1392873283304116</v>
      </c>
      <c r="I135" t="s">
        <v>79</v>
      </c>
    </row>
    <row r="136" spans="1:9" x14ac:dyDescent="0.35">
      <c r="A136" t="s">
        <v>68</v>
      </c>
      <c r="B136" t="s">
        <v>49</v>
      </c>
      <c r="C136" t="s">
        <v>38</v>
      </c>
      <c r="D136">
        <v>2017</v>
      </c>
      <c r="E136">
        <v>1.4744000913811779</v>
      </c>
      <c r="F136">
        <v>3.139119319610074</v>
      </c>
      <c r="G136">
        <f t="shared" si="2"/>
        <v>1.6647192282288961</v>
      </c>
      <c r="H136">
        <v>8.1342778719866005E-2</v>
      </c>
      <c r="I136" t="s">
        <v>79</v>
      </c>
    </row>
    <row r="137" spans="1:9" x14ac:dyDescent="0.35">
      <c r="A137" t="s">
        <v>68</v>
      </c>
      <c r="B137" t="s">
        <v>50</v>
      </c>
      <c r="C137" t="s">
        <v>40</v>
      </c>
      <c r="D137">
        <v>2017</v>
      </c>
      <c r="E137">
        <v>1.5665137095587811</v>
      </c>
      <c r="F137">
        <v>3.139119319610074</v>
      </c>
      <c r="G137">
        <f t="shared" si="2"/>
        <v>1.5726056100512928</v>
      </c>
      <c r="H137">
        <v>8.1342778719866005E-2</v>
      </c>
      <c r="I137" t="s">
        <v>79</v>
      </c>
    </row>
    <row r="138" spans="1:9" x14ac:dyDescent="0.35">
      <c r="A138" t="s">
        <v>68</v>
      </c>
      <c r="B138" t="s">
        <v>51</v>
      </c>
      <c r="C138" t="s">
        <v>38</v>
      </c>
      <c r="D138">
        <v>2017</v>
      </c>
      <c r="E138">
        <v>2.1518537819505301</v>
      </c>
      <c r="F138">
        <v>3.139119319610074</v>
      </c>
      <c r="G138">
        <f t="shared" si="2"/>
        <v>0.98726553765954383</v>
      </c>
      <c r="H138">
        <v>8.1342778719866005E-2</v>
      </c>
      <c r="I138" t="s">
        <v>79</v>
      </c>
    </row>
    <row r="139" spans="1:9" x14ac:dyDescent="0.35">
      <c r="A139" t="s">
        <v>68</v>
      </c>
      <c r="B139" t="s">
        <v>52</v>
      </c>
      <c r="C139" t="s">
        <v>40</v>
      </c>
      <c r="D139">
        <v>2017</v>
      </c>
      <c r="E139">
        <v>1.6411721834364681</v>
      </c>
      <c r="F139">
        <v>3.139119319610074</v>
      </c>
      <c r="G139">
        <f t="shared" si="2"/>
        <v>1.4979471361736059</v>
      </c>
      <c r="H139">
        <v>8.1342778719866005E-2</v>
      </c>
      <c r="I139" t="s">
        <v>79</v>
      </c>
    </row>
    <row r="140" spans="1:9" x14ac:dyDescent="0.35">
      <c r="A140" t="s">
        <v>70</v>
      </c>
      <c r="B140" t="s">
        <v>49</v>
      </c>
      <c r="C140" t="s">
        <v>38</v>
      </c>
      <c r="D140">
        <v>2017</v>
      </c>
      <c r="E140">
        <v>0.7788253796826794</v>
      </c>
      <c r="F140">
        <v>3.2509193804219478</v>
      </c>
      <c r="G140">
        <f t="shared" si="2"/>
        <v>2.4720940007392684</v>
      </c>
      <c r="H140">
        <v>0.1061975164847551</v>
      </c>
      <c r="I140" t="s">
        <v>79</v>
      </c>
    </row>
    <row r="141" spans="1:9" x14ac:dyDescent="0.35">
      <c r="A141" t="s">
        <v>70</v>
      </c>
      <c r="B141" t="s">
        <v>50</v>
      </c>
      <c r="C141" t="s">
        <v>40</v>
      </c>
      <c r="D141">
        <v>2017</v>
      </c>
      <c r="E141">
        <v>0.72652337554917068</v>
      </c>
      <c r="F141">
        <v>3.2509193804219478</v>
      </c>
      <c r="G141">
        <f t="shared" si="2"/>
        <v>2.5243960048727772</v>
      </c>
      <c r="H141">
        <v>0.1061975164847551</v>
      </c>
      <c r="I141" t="s">
        <v>79</v>
      </c>
    </row>
    <row r="142" spans="1:9" x14ac:dyDescent="0.35">
      <c r="A142" t="s">
        <v>70</v>
      </c>
      <c r="B142" t="s">
        <v>51</v>
      </c>
      <c r="C142" t="s">
        <v>38</v>
      </c>
      <c r="D142">
        <v>2017</v>
      </c>
      <c r="E142">
        <v>3.2999705467780189</v>
      </c>
      <c r="F142">
        <v>3.2509193804219478</v>
      </c>
      <c r="G142">
        <f t="shared" si="2"/>
        <v>-4.9051166356071096E-2</v>
      </c>
      <c r="H142">
        <v>0.1061975164847551</v>
      </c>
      <c r="I142" t="s">
        <v>79</v>
      </c>
    </row>
    <row r="143" spans="1:9" x14ac:dyDescent="0.35">
      <c r="A143" t="s">
        <v>70</v>
      </c>
      <c r="B143" t="s">
        <v>52</v>
      </c>
      <c r="C143" t="s">
        <v>40</v>
      </c>
      <c r="D143">
        <v>2017</v>
      </c>
      <c r="E143">
        <v>1.2981877046543739</v>
      </c>
      <c r="F143">
        <v>3.2509193804219478</v>
      </c>
      <c r="G143">
        <f t="shared" si="2"/>
        <v>1.9527316757675739</v>
      </c>
      <c r="H143">
        <v>0.1061975164847551</v>
      </c>
      <c r="I143" t="s">
        <v>79</v>
      </c>
    </row>
    <row r="144" spans="1:9" x14ac:dyDescent="0.35">
      <c r="A144" t="s">
        <v>77</v>
      </c>
      <c r="B144" t="s">
        <v>49</v>
      </c>
      <c r="C144" t="s">
        <v>38</v>
      </c>
      <c r="D144">
        <v>2017</v>
      </c>
      <c r="E144">
        <v>1.2443844685501531</v>
      </c>
      <c r="F144">
        <v>3.260896558994415</v>
      </c>
      <c r="G144">
        <f t="shared" si="2"/>
        <v>2.0165120904442619</v>
      </c>
      <c r="H144">
        <v>0.1419919770087415</v>
      </c>
      <c r="I144" t="s">
        <v>79</v>
      </c>
    </row>
    <row r="145" spans="1:9" x14ac:dyDescent="0.35">
      <c r="A145" t="s">
        <v>77</v>
      </c>
      <c r="B145" t="s">
        <v>50</v>
      </c>
      <c r="C145" t="s">
        <v>40</v>
      </c>
      <c r="D145">
        <v>2017</v>
      </c>
      <c r="E145">
        <v>1.7439816750679069</v>
      </c>
      <c r="F145">
        <v>3.260896558994415</v>
      </c>
      <c r="G145">
        <f t="shared" si="2"/>
        <v>1.5169148839265081</v>
      </c>
      <c r="H145">
        <v>0.1419919770087415</v>
      </c>
      <c r="I145" t="s">
        <v>79</v>
      </c>
    </row>
    <row r="146" spans="1:9" x14ac:dyDescent="0.35">
      <c r="A146" t="s">
        <v>77</v>
      </c>
      <c r="B146" t="s">
        <v>51</v>
      </c>
      <c r="C146" t="s">
        <v>38</v>
      </c>
      <c r="D146">
        <v>2017</v>
      </c>
      <c r="E146">
        <v>2.6293844522458749</v>
      </c>
      <c r="F146">
        <v>3.260896558994415</v>
      </c>
      <c r="G146">
        <f t="shared" si="2"/>
        <v>0.63151210674854008</v>
      </c>
      <c r="H146">
        <v>0.1419919770087415</v>
      </c>
      <c r="I146" t="s">
        <v>79</v>
      </c>
    </row>
    <row r="147" spans="1:9" x14ac:dyDescent="0.35">
      <c r="A147" t="s">
        <v>77</v>
      </c>
      <c r="B147" t="s">
        <v>52</v>
      </c>
      <c r="C147" t="s">
        <v>40</v>
      </c>
      <c r="D147">
        <v>2017</v>
      </c>
      <c r="E147">
        <v>1.838683940143615</v>
      </c>
      <c r="F147">
        <v>3.260896558994415</v>
      </c>
      <c r="G147">
        <f t="shared" si="2"/>
        <v>1.4222126188508</v>
      </c>
      <c r="H147">
        <v>0.1419919770087415</v>
      </c>
      <c r="I147" t="s">
        <v>79</v>
      </c>
    </row>
    <row r="148" spans="1:9" x14ac:dyDescent="0.35">
      <c r="A148" t="s">
        <v>67</v>
      </c>
      <c r="B148" t="s">
        <v>51</v>
      </c>
      <c r="C148" t="s">
        <v>38</v>
      </c>
      <c r="D148">
        <v>2018</v>
      </c>
      <c r="E148">
        <v>1.802338911935264</v>
      </c>
      <c r="F148">
        <v>1.8605501927054691</v>
      </c>
      <c r="G148">
        <f t="shared" si="2"/>
        <v>5.8211280770205098E-2</v>
      </c>
      <c r="H148">
        <v>0.13952240899050841</v>
      </c>
      <c r="I148" t="s">
        <v>79</v>
      </c>
    </row>
    <row r="149" spans="1:9" x14ac:dyDescent="0.35">
      <c r="A149" t="s">
        <v>67</v>
      </c>
      <c r="B149" t="s">
        <v>52</v>
      </c>
      <c r="C149" t="s">
        <v>40</v>
      </c>
      <c r="D149">
        <v>2018</v>
      </c>
      <c r="E149">
        <v>1.6830527400463651</v>
      </c>
      <c r="F149">
        <v>1.8605501927054691</v>
      </c>
      <c r="G149">
        <f t="shared" si="2"/>
        <v>0.17749745265910399</v>
      </c>
      <c r="H149">
        <v>0.13952240899050841</v>
      </c>
      <c r="I149" t="s">
        <v>79</v>
      </c>
    </row>
    <row r="150" spans="1:9" x14ac:dyDescent="0.35">
      <c r="A150" t="s">
        <v>67</v>
      </c>
      <c r="B150" t="s">
        <v>53</v>
      </c>
      <c r="C150" t="s">
        <v>38</v>
      </c>
      <c r="D150">
        <v>2018</v>
      </c>
      <c r="E150">
        <v>1.5323838734635939</v>
      </c>
      <c r="F150">
        <v>1.8605501927054691</v>
      </c>
      <c r="G150">
        <f t="shared" si="2"/>
        <v>0.32816631924187512</v>
      </c>
      <c r="H150">
        <v>0.13952240899050841</v>
      </c>
      <c r="I150" t="s">
        <v>79</v>
      </c>
    </row>
    <row r="151" spans="1:9" x14ac:dyDescent="0.35">
      <c r="A151" t="s">
        <v>67</v>
      </c>
      <c r="B151" t="s">
        <v>54</v>
      </c>
      <c r="C151" t="s">
        <v>40</v>
      </c>
      <c r="D151">
        <v>2018</v>
      </c>
      <c r="E151">
        <v>1.8083342533319999</v>
      </c>
      <c r="F151">
        <v>1.8605501927054691</v>
      </c>
      <c r="G151">
        <f t="shared" si="2"/>
        <v>5.2215939373469133E-2</v>
      </c>
      <c r="H151">
        <v>0.13952240899050841</v>
      </c>
      <c r="I151" t="s">
        <v>79</v>
      </c>
    </row>
    <row r="152" spans="1:9" x14ac:dyDescent="0.35">
      <c r="A152" t="s">
        <v>68</v>
      </c>
      <c r="B152" t="s">
        <v>51</v>
      </c>
      <c r="C152" t="s">
        <v>38</v>
      </c>
      <c r="D152">
        <v>2018</v>
      </c>
      <c r="E152">
        <v>2.1207866853858448</v>
      </c>
      <c r="F152">
        <v>1.2673227814059229</v>
      </c>
      <c r="G152">
        <f t="shared" si="2"/>
        <v>-0.85346390397992189</v>
      </c>
      <c r="H152">
        <v>8.1720008952551479E-2</v>
      </c>
      <c r="I152" t="s">
        <v>79</v>
      </c>
    </row>
    <row r="153" spans="1:9" x14ac:dyDescent="0.35">
      <c r="A153" t="s">
        <v>68</v>
      </c>
      <c r="B153" t="s">
        <v>52</v>
      </c>
      <c r="C153" t="s">
        <v>40</v>
      </c>
      <c r="D153">
        <v>2018</v>
      </c>
      <c r="E153">
        <v>1.853976950650349</v>
      </c>
      <c r="F153">
        <v>1.2673227814059229</v>
      </c>
      <c r="G153">
        <f t="shared" si="2"/>
        <v>-0.58665416924442604</v>
      </c>
      <c r="H153">
        <v>8.1720008952551479E-2</v>
      </c>
      <c r="I153" t="s">
        <v>79</v>
      </c>
    </row>
    <row r="154" spans="1:9" x14ac:dyDescent="0.35">
      <c r="A154" t="s">
        <v>68</v>
      </c>
      <c r="B154" t="s">
        <v>53</v>
      </c>
      <c r="C154" t="s">
        <v>38</v>
      </c>
      <c r="D154">
        <v>2018</v>
      </c>
      <c r="E154">
        <v>1.7181609113874341</v>
      </c>
      <c r="F154">
        <v>1.2673227814059229</v>
      </c>
      <c r="G154">
        <f t="shared" si="2"/>
        <v>-0.45083812998151118</v>
      </c>
      <c r="H154">
        <v>8.1720008952551479E-2</v>
      </c>
      <c r="I154" t="s">
        <v>79</v>
      </c>
    </row>
    <row r="155" spans="1:9" x14ac:dyDescent="0.35">
      <c r="A155" t="s">
        <v>68</v>
      </c>
      <c r="B155" t="s">
        <v>54</v>
      </c>
      <c r="C155" t="s">
        <v>40</v>
      </c>
      <c r="D155">
        <v>2018</v>
      </c>
      <c r="E155">
        <v>2.3062043523037761</v>
      </c>
      <c r="F155">
        <v>1.2673227814059229</v>
      </c>
      <c r="G155">
        <f t="shared" si="2"/>
        <v>-1.0388815708978532</v>
      </c>
      <c r="H155">
        <v>8.1720008952551479E-2</v>
      </c>
      <c r="I155" t="s">
        <v>79</v>
      </c>
    </row>
    <row r="156" spans="1:9" x14ac:dyDescent="0.35">
      <c r="A156" t="s">
        <v>70</v>
      </c>
      <c r="B156" t="s">
        <v>51</v>
      </c>
      <c r="C156" t="s">
        <v>38</v>
      </c>
      <c r="D156">
        <v>2018</v>
      </c>
      <c r="E156">
        <v>2.6543445907794232</v>
      </c>
      <c r="F156">
        <v>1.1858569030435471</v>
      </c>
      <c r="G156">
        <f t="shared" si="2"/>
        <v>-1.4684876877358761</v>
      </c>
      <c r="H156">
        <v>0.1099188189293918</v>
      </c>
      <c r="I156" t="s">
        <v>79</v>
      </c>
    </row>
    <row r="157" spans="1:9" x14ac:dyDescent="0.35">
      <c r="A157" t="s">
        <v>70</v>
      </c>
      <c r="B157" t="s">
        <v>52</v>
      </c>
      <c r="C157" t="s">
        <v>40</v>
      </c>
      <c r="D157">
        <v>2018</v>
      </c>
      <c r="E157">
        <v>1.745345139008192</v>
      </c>
      <c r="F157">
        <v>1.1858569030435471</v>
      </c>
      <c r="G157">
        <f t="shared" si="2"/>
        <v>-0.55948823596464492</v>
      </c>
      <c r="H157">
        <v>0.1099188189293918</v>
      </c>
      <c r="I157" t="s">
        <v>79</v>
      </c>
    </row>
    <row r="158" spans="1:9" x14ac:dyDescent="0.35">
      <c r="A158" t="s">
        <v>70</v>
      </c>
      <c r="B158" t="s">
        <v>53</v>
      </c>
      <c r="C158" t="s">
        <v>38</v>
      </c>
      <c r="D158">
        <v>2018</v>
      </c>
      <c r="E158">
        <v>2.8893530093298199</v>
      </c>
      <c r="F158">
        <v>1.1858569030435471</v>
      </c>
      <c r="G158">
        <f t="shared" si="2"/>
        <v>-1.7034961062862728</v>
      </c>
      <c r="H158">
        <v>0.1099188189293918</v>
      </c>
      <c r="I158" t="s">
        <v>79</v>
      </c>
    </row>
    <row r="159" spans="1:9" x14ac:dyDescent="0.35">
      <c r="A159" t="s">
        <v>70</v>
      </c>
      <c r="B159" t="s">
        <v>54</v>
      </c>
      <c r="C159" t="s">
        <v>40</v>
      </c>
      <c r="D159">
        <v>2018</v>
      </c>
      <c r="E159">
        <v>2.519865182310288</v>
      </c>
      <c r="F159">
        <v>1.1858569030435471</v>
      </c>
      <c r="G159">
        <f t="shared" si="2"/>
        <v>-1.3340082792667409</v>
      </c>
      <c r="H159">
        <v>0.1099188189293918</v>
      </c>
      <c r="I159" t="s">
        <v>79</v>
      </c>
    </row>
    <row r="160" spans="1:9" x14ac:dyDescent="0.35">
      <c r="A160" t="s">
        <v>77</v>
      </c>
      <c r="B160" t="s">
        <v>51</v>
      </c>
      <c r="C160" t="s">
        <v>38</v>
      </c>
      <c r="D160">
        <v>2018</v>
      </c>
      <c r="E160">
        <v>2.0625112156605669</v>
      </c>
      <c r="F160">
        <v>2.903725267458769</v>
      </c>
      <c r="G160">
        <f t="shared" si="2"/>
        <v>0.84121405179820208</v>
      </c>
      <c r="H160">
        <v>0.13948003480297469</v>
      </c>
      <c r="I160" t="s">
        <v>79</v>
      </c>
    </row>
    <row r="161" spans="1:9" x14ac:dyDescent="0.35">
      <c r="A161" t="s">
        <v>77</v>
      </c>
      <c r="B161" t="s">
        <v>52</v>
      </c>
      <c r="C161" t="s">
        <v>40</v>
      </c>
      <c r="D161">
        <v>2018</v>
      </c>
      <c r="E161">
        <v>1.5677461936429939</v>
      </c>
      <c r="F161">
        <v>2.903725267458769</v>
      </c>
      <c r="G161">
        <f t="shared" si="2"/>
        <v>1.3359790738157751</v>
      </c>
      <c r="H161">
        <v>0.13948003480297469</v>
      </c>
      <c r="I161" t="s">
        <v>79</v>
      </c>
    </row>
    <row r="162" spans="1:9" x14ac:dyDescent="0.35">
      <c r="A162" t="s">
        <v>77</v>
      </c>
      <c r="B162" t="s">
        <v>53</v>
      </c>
      <c r="C162" t="s">
        <v>38</v>
      </c>
      <c r="D162">
        <v>2018</v>
      </c>
      <c r="E162">
        <v>2.1672748154352162</v>
      </c>
      <c r="F162">
        <v>2.903725267458769</v>
      </c>
      <c r="G162">
        <f t="shared" si="2"/>
        <v>0.73645045202355286</v>
      </c>
      <c r="H162">
        <v>0.13948003480297469</v>
      </c>
      <c r="I162" t="s">
        <v>79</v>
      </c>
    </row>
    <row r="163" spans="1:9" x14ac:dyDescent="0.35">
      <c r="A163" t="s">
        <v>77</v>
      </c>
      <c r="B163" t="s">
        <v>54</v>
      </c>
      <c r="C163" t="s">
        <v>40</v>
      </c>
      <c r="D163">
        <v>2018</v>
      </c>
      <c r="E163">
        <v>2.3337380052623979</v>
      </c>
      <c r="F163">
        <v>2.903725267458769</v>
      </c>
      <c r="G163">
        <f t="shared" si="2"/>
        <v>0.56998726219637108</v>
      </c>
      <c r="H163">
        <v>0.13948003480297469</v>
      </c>
      <c r="I163" t="s">
        <v>79</v>
      </c>
    </row>
    <row r="164" spans="1:9" x14ac:dyDescent="0.35">
      <c r="A164" t="s">
        <v>67</v>
      </c>
      <c r="B164" t="s">
        <v>53</v>
      </c>
      <c r="C164" t="s">
        <v>38</v>
      </c>
      <c r="D164">
        <v>2019</v>
      </c>
      <c r="E164">
        <v>1.5152383923937141</v>
      </c>
      <c r="F164">
        <v>2.4135230125478802</v>
      </c>
      <c r="G164">
        <f t="shared" si="2"/>
        <v>0.8982846201541661</v>
      </c>
      <c r="H164">
        <v>0.14138633599396769</v>
      </c>
      <c r="I164" t="s">
        <v>79</v>
      </c>
    </row>
    <row r="165" spans="1:9" x14ac:dyDescent="0.35">
      <c r="A165" t="s">
        <v>67</v>
      </c>
      <c r="B165" t="s">
        <v>54</v>
      </c>
      <c r="C165" t="s">
        <v>40</v>
      </c>
      <c r="D165">
        <v>2019</v>
      </c>
      <c r="E165">
        <v>1.7329380565713759</v>
      </c>
      <c r="F165">
        <v>2.4135230125478802</v>
      </c>
      <c r="G165">
        <f t="shared" si="2"/>
        <v>0.68058495597650426</v>
      </c>
      <c r="H165">
        <v>0.14138633599396769</v>
      </c>
      <c r="I165" t="s">
        <v>79</v>
      </c>
    </row>
    <row r="166" spans="1:9" x14ac:dyDescent="0.35">
      <c r="A166" t="s">
        <v>67</v>
      </c>
      <c r="B166" t="s">
        <v>55</v>
      </c>
      <c r="C166" t="s">
        <v>38</v>
      </c>
      <c r="D166">
        <v>2019</v>
      </c>
      <c r="E166">
        <v>1.136502566631536</v>
      </c>
      <c r="F166">
        <v>2.4135230125478802</v>
      </c>
      <c r="G166">
        <f t="shared" si="2"/>
        <v>1.2770204459163441</v>
      </c>
      <c r="H166">
        <v>0.14138633599396769</v>
      </c>
      <c r="I166" t="s">
        <v>79</v>
      </c>
    </row>
    <row r="167" spans="1:9" x14ac:dyDescent="0.35">
      <c r="A167" t="s">
        <v>67</v>
      </c>
      <c r="B167" t="s">
        <v>56</v>
      </c>
      <c r="C167" t="s">
        <v>40</v>
      </c>
      <c r="D167">
        <v>2019</v>
      </c>
      <c r="E167">
        <v>1.2263795589823929</v>
      </c>
      <c r="F167">
        <v>2.4135230125478802</v>
      </c>
      <c r="G167">
        <f t="shared" si="2"/>
        <v>1.1871434535654872</v>
      </c>
      <c r="H167">
        <v>0.14138633599396769</v>
      </c>
      <c r="I167" t="s">
        <v>79</v>
      </c>
    </row>
    <row r="168" spans="1:9" x14ac:dyDescent="0.35">
      <c r="A168" t="s">
        <v>68</v>
      </c>
      <c r="B168" t="s">
        <v>53</v>
      </c>
      <c r="C168" t="s">
        <v>38</v>
      </c>
      <c r="D168">
        <v>2019</v>
      </c>
      <c r="E168">
        <v>1.837083008004692</v>
      </c>
      <c r="F168">
        <v>1.110244719033926</v>
      </c>
      <c r="G168">
        <f t="shared" si="2"/>
        <v>-0.72683828897076608</v>
      </c>
      <c r="H168">
        <v>8.2855752884193876E-2</v>
      </c>
      <c r="I168" t="s">
        <v>79</v>
      </c>
    </row>
    <row r="169" spans="1:9" x14ac:dyDescent="0.35">
      <c r="A169" t="s">
        <v>68</v>
      </c>
      <c r="B169" t="s">
        <v>54</v>
      </c>
      <c r="C169" t="s">
        <v>40</v>
      </c>
      <c r="D169">
        <v>2019</v>
      </c>
      <c r="E169">
        <v>2.050241516126516</v>
      </c>
      <c r="F169">
        <v>1.110244719033926</v>
      </c>
      <c r="G169">
        <f t="shared" si="2"/>
        <v>-0.93999679709258999</v>
      </c>
      <c r="H169">
        <v>8.2855752884193876E-2</v>
      </c>
      <c r="I169" t="s">
        <v>79</v>
      </c>
    </row>
    <row r="170" spans="1:9" x14ac:dyDescent="0.35">
      <c r="A170" t="s">
        <v>68</v>
      </c>
      <c r="B170" t="s">
        <v>55</v>
      </c>
      <c r="C170" t="s">
        <v>38</v>
      </c>
      <c r="D170">
        <v>2019</v>
      </c>
      <c r="E170">
        <v>0.43652728225691551</v>
      </c>
      <c r="F170">
        <v>1.110244719033926</v>
      </c>
      <c r="G170">
        <f t="shared" si="2"/>
        <v>0.67371743677701046</v>
      </c>
      <c r="H170">
        <v>8.2855752884193876E-2</v>
      </c>
      <c r="I170" t="s">
        <v>79</v>
      </c>
    </row>
    <row r="171" spans="1:9" x14ac:dyDescent="0.35">
      <c r="A171" t="s">
        <v>68</v>
      </c>
      <c r="B171" t="s">
        <v>56</v>
      </c>
      <c r="C171" t="s">
        <v>40</v>
      </c>
      <c r="D171">
        <v>2019</v>
      </c>
      <c r="E171">
        <v>0.54362498919910962</v>
      </c>
      <c r="F171">
        <v>1.110244719033926</v>
      </c>
      <c r="G171">
        <f t="shared" si="2"/>
        <v>0.56661972983481634</v>
      </c>
      <c r="H171">
        <v>8.2855752884193876E-2</v>
      </c>
      <c r="I171" t="s">
        <v>79</v>
      </c>
    </row>
    <row r="172" spans="1:9" x14ac:dyDescent="0.35">
      <c r="A172" t="s">
        <v>69</v>
      </c>
      <c r="B172" t="s">
        <v>53</v>
      </c>
      <c r="C172" t="s">
        <v>38</v>
      </c>
      <c r="D172">
        <v>2019</v>
      </c>
      <c r="E172">
        <v>2.1553608163649152</v>
      </c>
      <c r="F172">
        <v>1.9422910480512949</v>
      </c>
      <c r="G172">
        <f t="shared" si="2"/>
        <v>-0.21306976831362023</v>
      </c>
      <c r="H172">
        <v>0.14029367629612749</v>
      </c>
      <c r="I172" t="s">
        <v>79</v>
      </c>
    </row>
    <row r="173" spans="1:9" x14ac:dyDescent="0.35">
      <c r="A173" t="s">
        <v>69</v>
      </c>
      <c r="B173" t="s">
        <v>54</v>
      </c>
      <c r="C173" t="s">
        <v>40</v>
      </c>
      <c r="D173">
        <v>2019</v>
      </c>
      <c r="E173">
        <v>2.355960635013798</v>
      </c>
      <c r="F173">
        <v>1.9422910480512949</v>
      </c>
      <c r="G173">
        <f t="shared" si="2"/>
        <v>-0.41366958696250311</v>
      </c>
      <c r="H173">
        <v>0.14029367629612749</v>
      </c>
      <c r="I173" t="s">
        <v>79</v>
      </c>
    </row>
    <row r="174" spans="1:9" x14ac:dyDescent="0.35">
      <c r="A174" t="s">
        <v>69</v>
      </c>
      <c r="B174" t="s">
        <v>55</v>
      </c>
      <c r="C174" t="s">
        <v>38</v>
      </c>
      <c r="D174">
        <v>2019</v>
      </c>
      <c r="E174">
        <v>1.870053317687548</v>
      </c>
      <c r="F174">
        <v>1.9422910480512949</v>
      </c>
      <c r="G174">
        <f t="shared" si="2"/>
        <v>7.2237730363746921E-2</v>
      </c>
      <c r="H174">
        <v>0.14029367629612749</v>
      </c>
      <c r="I174" t="s">
        <v>79</v>
      </c>
    </row>
    <row r="175" spans="1:9" x14ac:dyDescent="0.35">
      <c r="A175" t="s">
        <v>69</v>
      </c>
      <c r="B175" t="s">
        <v>56</v>
      </c>
      <c r="C175" t="s">
        <v>40</v>
      </c>
      <c r="D175">
        <v>2019</v>
      </c>
      <c r="E175">
        <v>2.0959399874803002</v>
      </c>
      <c r="F175">
        <v>1.9422910480512949</v>
      </c>
      <c r="G175">
        <f t="shared" si="2"/>
        <v>-0.15364893942900526</v>
      </c>
      <c r="H175">
        <v>0.14029367629612749</v>
      </c>
      <c r="I175" t="s">
        <v>79</v>
      </c>
    </row>
    <row r="176" spans="1:9" x14ac:dyDescent="0.35">
      <c r="A176" t="s">
        <v>70</v>
      </c>
      <c r="B176" t="s">
        <v>53</v>
      </c>
      <c r="C176" t="s">
        <v>38</v>
      </c>
      <c r="D176">
        <v>2019</v>
      </c>
      <c r="E176">
        <v>2.1742555460234851</v>
      </c>
      <c r="F176">
        <v>1.3406806953806429</v>
      </c>
      <c r="G176">
        <f t="shared" si="2"/>
        <v>-0.8335748506428422</v>
      </c>
      <c r="H176">
        <v>0.105634528224145</v>
      </c>
      <c r="I176" t="s">
        <v>79</v>
      </c>
    </row>
    <row r="177" spans="1:9" x14ac:dyDescent="0.35">
      <c r="A177" t="s">
        <v>70</v>
      </c>
      <c r="B177" t="s">
        <v>54</v>
      </c>
      <c r="C177" t="s">
        <v>40</v>
      </c>
      <c r="D177">
        <v>2019</v>
      </c>
      <c r="E177">
        <v>2.2702366672909808</v>
      </c>
      <c r="F177">
        <v>1.3406806953806429</v>
      </c>
      <c r="G177">
        <f t="shared" si="2"/>
        <v>-0.9295559719103379</v>
      </c>
      <c r="H177">
        <v>0.105634528224145</v>
      </c>
      <c r="I177" t="s">
        <v>79</v>
      </c>
    </row>
    <row r="178" spans="1:9" x14ac:dyDescent="0.35">
      <c r="A178" t="s">
        <v>70</v>
      </c>
      <c r="B178" t="s">
        <v>55</v>
      </c>
      <c r="C178" t="s">
        <v>38</v>
      </c>
      <c r="D178">
        <v>2019</v>
      </c>
      <c r="E178">
        <v>1.354791564440649</v>
      </c>
      <c r="F178">
        <v>1.3406806953806429</v>
      </c>
      <c r="G178">
        <f t="shared" si="2"/>
        <v>-1.4110869060006026E-2</v>
      </c>
      <c r="H178">
        <v>0.105634528224145</v>
      </c>
      <c r="I178" t="s">
        <v>79</v>
      </c>
    </row>
    <row r="179" spans="1:9" x14ac:dyDescent="0.35">
      <c r="A179" t="s">
        <v>70</v>
      </c>
      <c r="B179" t="s">
        <v>56</v>
      </c>
      <c r="C179" t="s">
        <v>40</v>
      </c>
      <c r="D179">
        <v>2019</v>
      </c>
      <c r="E179">
        <v>1.638521358484613</v>
      </c>
      <c r="F179">
        <v>1.3406806953806429</v>
      </c>
      <c r="G179">
        <f t="shared" si="2"/>
        <v>-0.29784066310397006</v>
      </c>
      <c r="H179">
        <v>0.105634528224145</v>
      </c>
      <c r="I179" t="s">
        <v>79</v>
      </c>
    </row>
    <row r="180" spans="1:9" x14ac:dyDescent="0.35">
      <c r="A180" t="s">
        <v>77</v>
      </c>
      <c r="B180" t="s">
        <v>53</v>
      </c>
      <c r="C180" t="s">
        <v>38</v>
      </c>
      <c r="D180">
        <v>2019</v>
      </c>
      <c r="E180">
        <v>1.839454993980616</v>
      </c>
      <c r="F180">
        <v>2.7086922955372188</v>
      </c>
      <c r="G180">
        <f t="shared" si="2"/>
        <v>0.86923730155660284</v>
      </c>
      <c r="H180">
        <v>0.1380850606401679</v>
      </c>
      <c r="I180" t="s">
        <v>79</v>
      </c>
    </row>
    <row r="181" spans="1:9" x14ac:dyDescent="0.35">
      <c r="A181" t="s">
        <v>77</v>
      </c>
      <c r="B181" t="s">
        <v>54</v>
      </c>
      <c r="C181" t="s">
        <v>40</v>
      </c>
      <c r="D181">
        <v>2019</v>
      </c>
      <c r="E181">
        <v>2.0372674050813671</v>
      </c>
      <c r="F181">
        <v>2.7086922955372188</v>
      </c>
      <c r="G181">
        <f t="shared" si="2"/>
        <v>0.67142489045585174</v>
      </c>
      <c r="H181">
        <v>0.1380850606401679</v>
      </c>
      <c r="I181" t="s">
        <v>79</v>
      </c>
    </row>
    <row r="182" spans="1:9" x14ac:dyDescent="0.35">
      <c r="A182" t="s">
        <v>77</v>
      </c>
      <c r="B182" t="s">
        <v>55</v>
      </c>
      <c r="C182" t="s">
        <v>38</v>
      </c>
      <c r="D182">
        <v>2019</v>
      </c>
      <c r="E182">
        <v>1.950475273387009</v>
      </c>
      <c r="F182">
        <v>2.7086922955372188</v>
      </c>
      <c r="G182">
        <f t="shared" si="2"/>
        <v>0.75821702215020981</v>
      </c>
      <c r="H182">
        <v>0.1380850606401679</v>
      </c>
      <c r="I182" t="s">
        <v>79</v>
      </c>
    </row>
    <row r="183" spans="1:9" x14ac:dyDescent="0.35">
      <c r="A183" t="s">
        <v>77</v>
      </c>
      <c r="B183" t="s">
        <v>56</v>
      </c>
      <c r="C183" t="s">
        <v>40</v>
      </c>
      <c r="D183">
        <v>2019</v>
      </c>
      <c r="E183">
        <v>1.672451894689297</v>
      </c>
      <c r="F183">
        <v>2.7086922955372188</v>
      </c>
      <c r="G183">
        <f t="shared" si="2"/>
        <v>1.0362404008479218</v>
      </c>
      <c r="H183">
        <v>0.1380850606401679</v>
      </c>
      <c r="I183" t="s">
        <v>79</v>
      </c>
    </row>
    <row r="184" spans="1:9" x14ac:dyDescent="0.35">
      <c r="A184" t="s">
        <v>67</v>
      </c>
      <c r="B184" t="s">
        <v>55</v>
      </c>
      <c r="C184" t="s">
        <v>38</v>
      </c>
      <c r="D184">
        <v>2020</v>
      </c>
      <c r="E184">
        <v>0.96034482213216421</v>
      </c>
      <c r="F184">
        <v>-4.9116764965584894</v>
      </c>
      <c r="G184">
        <f t="shared" si="2"/>
        <v>-5.8720213186906536</v>
      </c>
      <c r="H184">
        <v>0.14451633046915729</v>
      </c>
      <c r="I184" t="s">
        <v>79</v>
      </c>
    </row>
    <row r="185" spans="1:9" x14ac:dyDescent="0.35">
      <c r="A185" t="s">
        <v>67</v>
      </c>
      <c r="B185" t="s">
        <v>56</v>
      </c>
      <c r="C185" t="s">
        <v>40</v>
      </c>
      <c r="D185">
        <v>2020</v>
      </c>
      <c r="E185">
        <v>1.199077085455502</v>
      </c>
      <c r="F185">
        <v>-4.9116764965584894</v>
      </c>
      <c r="G185">
        <f t="shared" si="2"/>
        <v>-6.1107535820139915</v>
      </c>
      <c r="H185">
        <v>0.14451633046915729</v>
      </c>
      <c r="I185" t="s">
        <v>79</v>
      </c>
    </row>
    <row r="186" spans="1:9" x14ac:dyDescent="0.35">
      <c r="A186" t="s">
        <v>67</v>
      </c>
      <c r="B186" t="s">
        <v>57</v>
      </c>
      <c r="C186" t="s">
        <v>38</v>
      </c>
      <c r="D186">
        <v>2020</v>
      </c>
      <c r="E186">
        <v>-8.420158667688538</v>
      </c>
      <c r="F186">
        <v>-4.9116764965584894</v>
      </c>
      <c r="G186">
        <f t="shared" si="2"/>
        <v>3.5084821711300487</v>
      </c>
      <c r="H186">
        <v>0.14451633046915729</v>
      </c>
      <c r="I186" t="s">
        <v>79</v>
      </c>
    </row>
    <row r="187" spans="1:9" x14ac:dyDescent="0.35">
      <c r="A187" t="s">
        <v>67</v>
      </c>
      <c r="B187" t="s">
        <v>58</v>
      </c>
      <c r="C187" t="s">
        <v>40</v>
      </c>
      <c r="D187">
        <v>2020</v>
      </c>
      <c r="E187">
        <v>-7.1575995247655024</v>
      </c>
      <c r="F187">
        <v>-4.9116764965584894</v>
      </c>
      <c r="G187">
        <f t="shared" si="2"/>
        <v>2.2459230282070131</v>
      </c>
      <c r="H187">
        <v>0.14451633046915729</v>
      </c>
      <c r="I187" t="s">
        <v>79</v>
      </c>
    </row>
    <row r="188" spans="1:9" x14ac:dyDescent="0.35">
      <c r="A188" t="s">
        <v>68</v>
      </c>
      <c r="B188" t="s">
        <v>55</v>
      </c>
      <c r="C188" t="s">
        <v>38</v>
      </c>
      <c r="D188">
        <v>2020</v>
      </c>
      <c r="E188">
        <v>1.0098419735112829</v>
      </c>
      <c r="F188">
        <v>-4.5019012679871278</v>
      </c>
      <c r="G188">
        <f t="shared" si="2"/>
        <v>-5.5117432414984107</v>
      </c>
      <c r="H188">
        <v>8.1815293370048725E-2</v>
      </c>
      <c r="I188" t="s">
        <v>79</v>
      </c>
    </row>
    <row r="189" spans="1:9" x14ac:dyDescent="0.35">
      <c r="A189" t="s">
        <v>68</v>
      </c>
      <c r="B189" t="s">
        <v>56</v>
      </c>
      <c r="C189" t="s">
        <v>40</v>
      </c>
      <c r="D189">
        <v>2020</v>
      </c>
      <c r="E189">
        <v>1.5458815393741829</v>
      </c>
      <c r="F189">
        <v>-4.5019012679871278</v>
      </c>
      <c r="G189">
        <f t="shared" si="2"/>
        <v>-6.0477828073613109</v>
      </c>
      <c r="H189">
        <v>8.1815293370048725E-2</v>
      </c>
      <c r="I189" t="s">
        <v>79</v>
      </c>
    </row>
    <row r="190" spans="1:9" x14ac:dyDescent="0.35">
      <c r="A190" t="s">
        <v>68</v>
      </c>
      <c r="B190" t="s">
        <v>57</v>
      </c>
      <c r="C190" t="s">
        <v>38</v>
      </c>
      <c r="D190">
        <v>2020</v>
      </c>
      <c r="E190">
        <v>-5.5682040725027582</v>
      </c>
      <c r="F190">
        <v>-4.5019012679871278</v>
      </c>
      <c r="G190">
        <f t="shared" si="2"/>
        <v>1.0663028045156304</v>
      </c>
      <c r="H190">
        <v>8.1815293370048725E-2</v>
      </c>
      <c r="I190" t="s">
        <v>79</v>
      </c>
    </row>
    <row r="191" spans="1:9" x14ac:dyDescent="0.35">
      <c r="A191" t="s">
        <v>68</v>
      </c>
      <c r="B191" t="s">
        <v>58</v>
      </c>
      <c r="C191" t="s">
        <v>40</v>
      </c>
      <c r="D191">
        <v>2020</v>
      </c>
      <c r="E191">
        <v>-6.4695771848944261</v>
      </c>
      <c r="F191">
        <v>-4.5019012679871278</v>
      </c>
      <c r="G191">
        <f t="shared" si="2"/>
        <v>1.9676759169072984</v>
      </c>
      <c r="H191">
        <v>8.1815293370048725E-2</v>
      </c>
      <c r="I191" t="s">
        <v>79</v>
      </c>
    </row>
    <row r="192" spans="1:9" x14ac:dyDescent="0.35">
      <c r="A192" t="s">
        <v>69</v>
      </c>
      <c r="B192" t="s">
        <v>55</v>
      </c>
      <c r="C192" t="s">
        <v>38</v>
      </c>
      <c r="D192">
        <v>2020</v>
      </c>
      <c r="E192">
        <v>1.490576223487361</v>
      </c>
      <c r="F192">
        <v>-11.58616521695834</v>
      </c>
      <c r="G192">
        <f t="shared" si="2"/>
        <v>-13.076741440445701</v>
      </c>
      <c r="H192">
        <v>0.14433972800453609</v>
      </c>
      <c r="I192" t="s">
        <v>79</v>
      </c>
    </row>
    <row r="193" spans="1:9" x14ac:dyDescent="0.35">
      <c r="A193" t="s">
        <v>69</v>
      </c>
      <c r="B193" t="s">
        <v>56</v>
      </c>
      <c r="C193" t="s">
        <v>40</v>
      </c>
      <c r="D193">
        <v>2020</v>
      </c>
      <c r="E193">
        <v>1.863359760106897</v>
      </c>
      <c r="F193">
        <v>-11.58616521695834</v>
      </c>
      <c r="G193">
        <f t="shared" si="2"/>
        <v>-13.449524977065238</v>
      </c>
      <c r="H193">
        <v>0.14433972800453609</v>
      </c>
      <c r="I193" t="s">
        <v>79</v>
      </c>
    </row>
    <row r="194" spans="1:9" x14ac:dyDescent="0.35">
      <c r="A194" t="s">
        <v>69</v>
      </c>
      <c r="B194" t="s">
        <v>57</v>
      </c>
      <c r="C194" t="s">
        <v>38</v>
      </c>
      <c r="D194">
        <v>2020</v>
      </c>
      <c r="E194">
        <v>-12.410533977614319</v>
      </c>
      <c r="F194">
        <v>-11.58616521695834</v>
      </c>
      <c r="G194">
        <f t="shared" ref="G194:G257" si="3">IF(OR(F194="",E194=""),"",F194-E194)</f>
        <v>0.82436876065597886</v>
      </c>
      <c r="H194">
        <v>0.14433972800453609</v>
      </c>
      <c r="I194" t="s">
        <v>79</v>
      </c>
    </row>
    <row r="195" spans="1:9" x14ac:dyDescent="0.35">
      <c r="A195" t="s">
        <v>69</v>
      </c>
      <c r="B195" t="s">
        <v>58</v>
      </c>
      <c r="C195" t="s">
        <v>40</v>
      </c>
      <c r="D195">
        <v>2020</v>
      </c>
      <c r="E195">
        <v>-9.3843459766278272</v>
      </c>
      <c r="F195">
        <v>-11.58616521695834</v>
      </c>
      <c r="G195">
        <f t="shared" si="3"/>
        <v>-2.2018192403305132</v>
      </c>
      <c r="H195">
        <v>0.14433972800453609</v>
      </c>
      <c r="I195" t="s">
        <v>79</v>
      </c>
    </row>
    <row r="196" spans="1:9" x14ac:dyDescent="0.35">
      <c r="A196" t="s">
        <v>70</v>
      </c>
      <c r="B196" t="s">
        <v>55</v>
      </c>
      <c r="C196" t="s">
        <v>38</v>
      </c>
      <c r="D196">
        <v>2020</v>
      </c>
      <c r="E196">
        <v>1.1013866566023991</v>
      </c>
      <c r="F196">
        <v>-2.5216639551613449</v>
      </c>
      <c r="G196">
        <f t="shared" si="3"/>
        <v>-3.6230506117637438</v>
      </c>
      <c r="H196">
        <v>0.1073708050236772</v>
      </c>
      <c r="I196" t="s">
        <v>79</v>
      </c>
    </row>
    <row r="197" spans="1:9" x14ac:dyDescent="0.35">
      <c r="A197" t="s">
        <v>70</v>
      </c>
      <c r="B197" t="s">
        <v>56</v>
      </c>
      <c r="C197" t="s">
        <v>40</v>
      </c>
      <c r="D197">
        <v>2020</v>
      </c>
      <c r="E197">
        <v>1.1658655715774511</v>
      </c>
      <c r="F197">
        <v>-2.5216639551613449</v>
      </c>
      <c r="G197">
        <f t="shared" si="3"/>
        <v>-3.6875295267387962</v>
      </c>
      <c r="H197">
        <v>0.1073708050236772</v>
      </c>
      <c r="I197" t="s">
        <v>79</v>
      </c>
    </row>
    <row r="198" spans="1:9" x14ac:dyDescent="0.35">
      <c r="A198" t="s">
        <v>70</v>
      </c>
      <c r="B198" t="s">
        <v>57</v>
      </c>
      <c r="C198" t="s">
        <v>38</v>
      </c>
      <c r="D198">
        <v>2020</v>
      </c>
      <c r="E198">
        <v>-4.2712767573150012</v>
      </c>
      <c r="F198">
        <v>-2.5216639551613449</v>
      </c>
      <c r="G198">
        <f t="shared" si="3"/>
        <v>1.7496128021536563</v>
      </c>
      <c r="H198">
        <v>0.1073708050236772</v>
      </c>
      <c r="I198" t="s">
        <v>79</v>
      </c>
    </row>
    <row r="199" spans="1:9" x14ac:dyDescent="0.35">
      <c r="A199" t="s">
        <v>70</v>
      </c>
      <c r="B199" t="s">
        <v>58</v>
      </c>
      <c r="C199" t="s">
        <v>40</v>
      </c>
      <c r="D199">
        <v>2020</v>
      </c>
      <c r="E199">
        <v>-6.3340086382144829</v>
      </c>
      <c r="F199">
        <v>-2.5216639551613449</v>
      </c>
      <c r="G199">
        <f t="shared" si="3"/>
        <v>3.812344683053138</v>
      </c>
      <c r="H199">
        <v>0.1073708050236772</v>
      </c>
      <c r="I199" t="s">
        <v>79</v>
      </c>
    </row>
    <row r="200" spans="1:9" x14ac:dyDescent="0.35">
      <c r="A200" t="s">
        <v>68</v>
      </c>
      <c r="B200" t="s">
        <v>57</v>
      </c>
      <c r="C200" t="s">
        <v>38</v>
      </c>
      <c r="D200">
        <v>2021</v>
      </c>
      <c r="E200">
        <v>3.5168418141955371</v>
      </c>
      <c r="F200">
        <v>3.8314526417859192</v>
      </c>
      <c r="G200">
        <f t="shared" si="3"/>
        <v>0.31461082759038206</v>
      </c>
      <c r="H200">
        <v>8.3727042533414536E-2</v>
      </c>
      <c r="I200" t="s">
        <v>79</v>
      </c>
    </row>
    <row r="201" spans="1:9" x14ac:dyDescent="0.35">
      <c r="A201" t="s">
        <v>68</v>
      </c>
      <c r="B201" t="s">
        <v>58</v>
      </c>
      <c r="C201" t="s">
        <v>40</v>
      </c>
      <c r="D201">
        <v>2021</v>
      </c>
      <c r="E201">
        <v>5.8723795390502653</v>
      </c>
      <c r="F201">
        <v>3.8314526417859192</v>
      </c>
      <c r="G201">
        <f t="shared" si="3"/>
        <v>-2.0409268972643462</v>
      </c>
      <c r="H201">
        <v>8.3727042533414536E-2</v>
      </c>
      <c r="I201" t="s">
        <v>79</v>
      </c>
    </row>
    <row r="202" spans="1:9" x14ac:dyDescent="0.35">
      <c r="A202" t="s">
        <v>68</v>
      </c>
      <c r="B202" t="s">
        <v>59</v>
      </c>
      <c r="C202" t="s">
        <v>38</v>
      </c>
      <c r="D202">
        <v>2021</v>
      </c>
      <c r="E202">
        <v>2.7343389231728081</v>
      </c>
      <c r="F202">
        <v>3.8314526417859192</v>
      </c>
      <c r="G202">
        <f t="shared" si="3"/>
        <v>1.097113718613111</v>
      </c>
      <c r="H202">
        <v>8.3727042533414536E-2</v>
      </c>
      <c r="I202" t="s">
        <v>79</v>
      </c>
    </row>
    <row r="203" spans="1:9" x14ac:dyDescent="0.35">
      <c r="A203" t="s">
        <v>68</v>
      </c>
      <c r="B203" t="s">
        <v>60</v>
      </c>
      <c r="C203" t="s">
        <v>40</v>
      </c>
      <c r="D203">
        <v>2021</v>
      </c>
      <c r="E203">
        <v>3.405406776981335</v>
      </c>
      <c r="F203">
        <v>3.8314526417859192</v>
      </c>
      <c r="G203">
        <f t="shared" si="3"/>
        <v>0.42604586480458417</v>
      </c>
      <c r="H203">
        <v>8.3727042533414536E-2</v>
      </c>
      <c r="I203" t="s">
        <v>79</v>
      </c>
    </row>
    <row r="204" spans="1:9" x14ac:dyDescent="0.35">
      <c r="A204" t="s">
        <v>70</v>
      </c>
      <c r="B204" t="s">
        <v>57</v>
      </c>
      <c r="C204" t="s">
        <v>38</v>
      </c>
      <c r="D204">
        <v>2021</v>
      </c>
      <c r="E204">
        <v>2.900169440971712</v>
      </c>
      <c r="F204">
        <v>2.6415720090220192</v>
      </c>
      <c r="G204">
        <f t="shared" si="3"/>
        <v>-0.25859743194969287</v>
      </c>
      <c r="H204">
        <v>0.1058271604938272</v>
      </c>
      <c r="I204" t="s">
        <v>79</v>
      </c>
    </row>
    <row r="205" spans="1:9" x14ac:dyDescent="0.35">
      <c r="A205" t="s">
        <v>70</v>
      </c>
      <c r="B205" t="s">
        <v>58</v>
      </c>
      <c r="C205" t="s">
        <v>40</v>
      </c>
      <c r="D205">
        <v>2021</v>
      </c>
      <c r="E205">
        <v>3.6735608188213531</v>
      </c>
      <c r="F205">
        <v>2.6415720090220192</v>
      </c>
      <c r="G205">
        <f t="shared" si="3"/>
        <v>-1.0319888097993339</v>
      </c>
      <c r="H205">
        <v>0.1058271604938272</v>
      </c>
      <c r="I205" t="s">
        <v>79</v>
      </c>
    </row>
    <row r="206" spans="1:9" x14ac:dyDescent="0.35">
      <c r="A206" t="s">
        <v>70</v>
      </c>
      <c r="B206" t="s">
        <v>59</v>
      </c>
      <c r="C206" t="s">
        <v>38</v>
      </c>
      <c r="D206">
        <v>2021</v>
      </c>
      <c r="E206">
        <v>3.4041276267937399</v>
      </c>
      <c r="F206">
        <v>2.6415720090220192</v>
      </c>
      <c r="G206">
        <f t="shared" si="3"/>
        <v>-0.76255561777172076</v>
      </c>
      <c r="H206">
        <v>0.1058271604938272</v>
      </c>
      <c r="I206" t="s">
        <v>79</v>
      </c>
    </row>
    <row r="207" spans="1:9" x14ac:dyDescent="0.35">
      <c r="A207" t="s">
        <v>70</v>
      </c>
      <c r="B207" t="s">
        <v>60</v>
      </c>
      <c r="C207" t="s">
        <v>40</v>
      </c>
      <c r="D207">
        <v>2021</v>
      </c>
      <c r="E207">
        <v>2.739564988065335</v>
      </c>
      <c r="F207">
        <v>2.6415720090220192</v>
      </c>
      <c r="G207">
        <f t="shared" si="3"/>
        <v>-9.7992979043315831E-2</v>
      </c>
      <c r="H207">
        <v>0.1058271604938272</v>
      </c>
      <c r="I207" t="s">
        <v>79</v>
      </c>
    </row>
    <row r="208" spans="1:9" x14ac:dyDescent="0.35">
      <c r="A208" t="s">
        <v>75</v>
      </c>
      <c r="B208" t="s">
        <v>57</v>
      </c>
      <c r="C208" t="s">
        <v>38</v>
      </c>
      <c r="D208">
        <v>2021</v>
      </c>
      <c r="E208">
        <v>4.051033813756133</v>
      </c>
      <c r="F208">
        <v>8.4370671759064813</v>
      </c>
      <c r="G208">
        <f t="shared" si="3"/>
        <v>4.3860333621503482</v>
      </c>
      <c r="H208">
        <v>0.12785786405169189</v>
      </c>
      <c r="I208" t="s">
        <v>79</v>
      </c>
    </row>
    <row r="209" spans="1:9" x14ac:dyDescent="0.35">
      <c r="A209" t="s">
        <v>75</v>
      </c>
      <c r="B209" t="s">
        <v>58</v>
      </c>
      <c r="C209" t="s">
        <v>40</v>
      </c>
      <c r="D209">
        <v>2021</v>
      </c>
      <c r="E209">
        <v>6.5496569028856699</v>
      </c>
      <c r="F209">
        <v>8.4370671759064813</v>
      </c>
      <c r="G209">
        <f t="shared" si="3"/>
        <v>1.8874102730208113</v>
      </c>
      <c r="H209">
        <v>0.12785786405169189</v>
      </c>
      <c r="I209" t="s">
        <v>79</v>
      </c>
    </row>
    <row r="210" spans="1:9" x14ac:dyDescent="0.35">
      <c r="A210" t="s">
        <v>75</v>
      </c>
      <c r="B210" t="s">
        <v>59</v>
      </c>
      <c r="C210" t="s">
        <v>38</v>
      </c>
      <c r="D210">
        <v>2021</v>
      </c>
      <c r="E210">
        <v>6.2292733128945343</v>
      </c>
      <c r="F210">
        <v>8.4370671759064813</v>
      </c>
      <c r="G210">
        <f t="shared" si="3"/>
        <v>2.2077938630119469</v>
      </c>
      <c r="H210">
        <v>0.12785786405169189</v>
      </c>
      <c r="I210" t="s">
        <v>79</v>
      </c>
    </row>
    <row r="211" spans="1:9" x14ac:dyDescent="0.35">
      <c r="A211" t="s">
        <v>75</v>
      </c>
      <c r="B211" t="s">
        <v>60</v>
      </c>
      <c r="C211" t="s">
        <v>40</v>
      </c>
      <c r="D211">
        <v>2021</v>
      </c>
      <c r="E211">
        <v>4.2068723885489323</v>
      </c>
      <c r="F211">
        <v>8.4370671759064813</v>
      </c>
      <c r="G211">
        <f t="shared" si="3"/>
        <v>4.2301947873575489</v>
      </c>
      <c r="H211">
        <v>0.12785786405169189</v>
      </c>
      <c r="I211" t="s">
        <v>79</v>
      </c>
    </row>
    <row r="212" spans="1:9" x14ac:dyDescent="0.35">
      <c r="A212" t="s">
        <v>68</v>
      </c>
      <c r="B212" t="s">
        <v>59</v>
      </c>
      <c r="C212" t="s">
        <v>38</v>
      </c>
      <c r="D212">
        <v>2022</v>
      </c>
      <c r="E212">
        <v>4.5927784434600882</v>
      </c>
      <c r="F212">
        <v>1.931834126476093</v>
      </c>
      <c r="G212">
        <f t="shared" si="3"/>
        <v>-2.6609443169839953</v>
      </c>
      <c r="H212">
        <v>8.4524514070205975E-2</v>
      </c>
      <c r="I212" t="s">
        <v>79</v>
      </c>
    </row>
    <row r="213" spans="1:9" x14ac:dyDescent="0.35">
      <c r="A213" t="s">
        <v>68</v>
      </c>
      <c r="B213" t="s">
        <v>60</v>
      </c>
      <c r="C213" t="s">
        <v>40</v>
      </c>
      <c r="D213">
        <v>2022</v>
      </c>
      <c r="E213">
        <v>4.0547699734103224</v>
      </c>
      <c r="F213">
        <v>1.931834126476093</v>
      </c>
      <c r="G213">
        <f t="shared" si="3"/>
        <v>-2.1229358469342294</v>
      </c>
      <c r="H213">
        <v>8.4524514070205975E-2</v>
      </c>
      <c r="I213" t="s">
        <v>79</v>
      </c>
    </row>
    <row r="214" spans="1:9" x14ac:dyDescent="0.35">
      <c r="A214" t="s">
        <v>68</v>
      </c>
      <c r="B214" t="s">
        <v>61</v>
      </c>
      <c r="C214" t="s">
        <v>38</v>
      </c>
      <c r="D214">
        <v>2022</v>
      </c>
      <c r="E214">
        <v>1.55845355711639</v>
      </c>
      <c r="F214">
        <v>1.931834126476093</v>
      </c>
      <c r="G214">
        <f t="shared" si="3"/>
        <v>0.37338056935970299</v>
      </c>
      <c r="H214">
        <v>8.4524514070205975E-2</v>
      </c>
      <c r="I214" t="s">
        <v>79</v>
      </c>
    </row>
    <row r="215" spans="1:9" x14ac:dyDescent="0.35">
      <c r="A215" t="s">
        <v>68</v>
      </c>
      <c r="B215" t="s">
        <v>62</v>
      </c>
      <c r="C215" t="s">
        <v>40</v>
      </c>
      <c r="D215">
        <v>2022</v>
      </c>
      <c r="E215">
        <v>1.5579683422439761</v>
      </c>
      <c r="F215">
        <v>1.931834126476093</v>
      </c>
      <c r="G215">
        <f t="shared" si="3"/>
        <v>0.37386578423211692</v>
      </c>
      <c r="H215">
        <v>8.4524514070205975E-2</v>
      </c>
      <c r="I215" t="s">
        <v>79</v>
      </c>
    </row>
    <row r="216" spans="1:9" x14ac:dyDescent="0.35">
      <c r="A216" t="s">
        <v>69</v>
      </c>
      <c r="B216" t="s">
        <v>59</v>
      </c>
      <c r="C216" t="s">
        <v>38</v>
      </c>
      <c r="D216">
        <v>2022</v>
      </c>
      <c r="E216">
        <v>5.5278236152833893</v>
      </c>
      <c r="F216">
        <v>6.1757125573772758</v>
      </c>
      <c r="G216">
        <f t="shared" si="3"/>
        <v>0.64788894209388648</v>
      </c>
      <c r="H216">
        <v>0.14409521444535101</v>
      </c>
      <c r="I216" t="s">
        <v>79</v>
      </c>
    </row>
    <row r="217" spans="1:9" x14ac:dyDescent="0.35">
      <c r="A217" t="s">
        <v>69</v>
      </c>
      <c r="B217" t="s">
        <v>60</v>
      </c>
      <c r="C217" t="s">
        <v>40</v>
      </c>
      <c r="D217">
        <v>2022</v>
      </c>
      <c r="E217">
        <v>6.7779918001151573</v>
      </c>
      <c r="F217">
        <v>6.1757125573772758</v>
      </c>
      <c r="G217">
        <f t="shared" si="3"/>
        <v>-0.60227924273788158</v>
      </c>
      <c r="H217">
        <v>0.14409521444535101</v>
      </c>
      <c r="I217" t="s">
        <v>79</v>
      </c>
    </row>
    <row r="218" spans="1:9" x14ac:dyDescent="0.35">
      <c r="A218" t="s">
        <v>69</v>
      </c>
      <c r="B218" t="s">
        <v>61</v>
      </c>
      <c r="C218" t="s">
        <v>38</v>
      </c>
      <c r="D218">
        <v>2022</v>
      </c>
      <c r="E218">
        <v>4.547669246739372</v>
      </c>
      <c r="F218">
        <v>6.1757125573772758</v>
      </c>
      <c r="G218">
        <f t="shared" si="3"/>
        <v>1.6280433106379038</v>
      </c>
      <c r="H218">
        <v>0.14409521444535101</v>
      </c>
      <c r="I218" t="s">
        <v>79</v>
      </c>
    </row>
    <row r="219" spans="1:9" x14ac:dyDescent="0.35">
      <c r="A219" t="s">
        <v>69</v>
      </c>
      <c r="B219" t="s">
        <v>62</v>
      </c>
      <c r="C219" t="s">
        <v>40</v>
      </c>
      <c r="D219">
        <v>2022</v>
      </c>
      <c r="E219">
        <v>4.0260894815609127</v>
      </c>
      <c r="F219">
        <v>6.1757125573772758</v>
      </c>
      <c r="G219">
        <f t="shared" si="3"/>
        <v>2.149623075816363</v>
      </c>
      <c r="H219">
        <v>0.14409521444535101</v>
      </c>
      <c r="I219" t="s">
        <v>79</v>
      </c>
    </row>
    <row r="220" spans="1:9" x14ac:dyDescent="0.35">
      <c r="A220" t="s">
        <v>70</v>
      </c>
      <c r="B220" t="s">
        <v>59</v>
      </c>
      <c r="C220" t="s">
        <v>38</v>
      </c>
      <c r="D220">
        <v>2022</v>
      </c>
      <c r="E220">
        <v>2.8272245866406638</v>
      </c>
      <c r="F220">
        <v>0.76006291556467176</v>
      </c>
      <c r="G220">
        <f t="shared" si="3"/>
        <v>-2.0671616710759921</v>
      </c>
      <c r="H220">
        <v>9.9421084704448506E-2</v>
      </c>
      <c r="I220" t="s">
        <v>79</v>
      </c>
    </row>
    <row r="221" spans="1:9" x14ac:dyDescent="0.35">
      <c r="A221" t="s">
        <v>70</v>
      </c>
      <c r="B221" t="s">
        <v>60</v>
      </c>
      <c r="C221" t="s">
        <v>40</v>
      </c>
      <c r="D221">
        <v>2022</v>
      </c>
      <c r="E221">
        <v>2.7517012411305108</v>
      </c>
      <c r="F221">
        <v>0.76006291556467176</v>
      </c>
      <c r="G221">
        <f t="shared" si="3"/>
        <v>-1.9916383255658392</v>
      </c>
      <c r="H221">
        <v>9.9421084704448506E-2</v>
      </c>
      <c r="I221" t="s">
        <v>79</v>
      </c>
    </row>
    <row r="222" spans="1:9" x14ac:dyDescent="0.35">
      <c r="A222" t="s">
        <v>70</v>
      </c>
      <c r="B222" t="s">
        <v>61</v>
      </c>
      <c r="C222" t="s">
        <v>38</v>
      </c>
      <c r="D222">
        <v>2022</v>
      </c>
      <c r="E222">
        <v>2.327853537647107</v>
      </c>
      <c r="F222">
        <v>0.76006291556467176</v>
      </c>
      <c r="G222">
        <f t="shared" si="3"/>
        <v>-1.5677906220824354</v>
      </c>
      <c r="H222">
        <v>9.9421084704448506E-2</v>
      </c>
      <c r="I222" t="s">
        <v>79</v>
      </c>
    </row>
    <row r="223" spans="1:9" x14ac:dyDescent="0.35">
      <c r="A223" t="s">
        <v>70</v>
      </c>
      <c r="B223" t="s">
        <v>62</v>
      </c>
      <c r="C223" t="s">
        <v>40</v>
      </c>
      <c r="D223">
        <v>2022</v>
      </c>
      <c r="E223">
        <v>1.603112304026943</v>
      </c>
      <c r="F223">
        <v>0.76006291556467176</v>
      </c>
      <c r="G223">
        <f t="shared" si="3"/>
        <v>-0.84304938846227129</v>
      </c>
      <c r="H223">
        <v>9.9421084704448506E-2</v>
      </c>
      <c r="I223" t="s">
        <v>79</v>
      </c>
    </row>
    <row r="224" spans="1:9" x14ac:dyDescent="0.35">
      <c r="A224" t="s">
        <v>75</v>
      </c>
      <c r="B224" t="s">
        <v>59</v>
      </c>
      <c r="C224" t="s">
        <v>38</v>
      </c>
      <c r="D224">
        <v>2022</v>
      </c>
      <c r="E224">
        <v>4.2689191687874661</v>
      </c>
      <c r="F224">
        <v>4.8546134866977511</v>
      </c>
      <c r="G224">
        <f t="shared" si="3"/>
        <v>0.58569431791028492</v>
      </c>
      <c r="H224">
        <v>0.12232868683850651</v>
      </c>
      <c r="I224" t="s">
        <v>79</v>
      </c>
    </row>
    <row r="225" spans="1:9" x14ac:dyDescent="0.35">
      <c r="A225" t="s">
        <v>75</v>
      </c>
      <c r="B225" t="s">
        <v>60</v>
      </c>
      <c r="C225" t="s">
        <v>40</v>
      </c>
      <c r="D225">
        <v>2022</v>
      </c>
      <c r="E225">
        <v>4.3934586282645904</v>
      </c>
      <c r="F225">
        <v>4.8546134866977511</v>
      </c>
      <c r="G225">
        <f t="shared" si="3"/>
        <v>0.46115485843316062</v>
      </c>
      <c r="H225">
        <v>0.12232868683850651</v>
      </c>
      <c r="I225" t="s">
        <v>79</v>
      </c>
    </row>
    <row r="226" spans="1:9" x14ac:dyDescent="0.35">
      <c r="A226" t="s">
        <v>75</v>
      </c>
      <c r="B226" t="s">
        <v>61</v>
      </c>
      <c r="C226" t="s">
        <v>38</v>
      </c>
      <c r="D226">
        <v>2022</v>
      </c>
      <c r="E226">
        <v>3.8268920279536989</v>
      </c>
      <c r="F226">
        <v>4.8546134866977511</v>
      </c>
      <c r="G226">
        <f t="shared" si="3"/>
        <v>1.0277214587440522</v>
      </c>
      <c r="H226">
        <v>0.12232868683850651</v>
      </c>
      <c r="I226" t="s">
        <v>79</v>
      </c>
    </row>
    <row r="227" spans="1:9" x14ac:dyDescent="0.35">
      <c r="A227" t="s">
        <v>75</v>
      </c>
      <c r="B227" t="s">
        <v>62</v>
      </c>
      <c r="C227" t="s">
        <v>40</v>
      </c>
      <c r="D227">
        <v>2022</v>
      </c>
      <c r="E227">
        <v>2.4256542804822261</v>
      </c>
      <c r="F227">
        <v>4.8546134866977511</v>
      </c>
      <c r="G227">
        <f t="shared" si="3"/>
        <v>2.428959206215525</v>
      </c>
      <c r="H227">
        <v>0.12232868683850651</v>
      </c>
      <c r="I227" t="s">
        <v>79</v>
      </c>
    </row>
    <row r="228" spans="1:9" x14ac:dyDescent="0.35">
      <c r="A228" t="s">
        <v>77</v>
      </c>
      <c r="B228" t="s">
        <v>59</v>
      </c>
      <c r="C228" t="s">
        <v>38</v>
      </c>
      <c r="D228">
        <v>2022</v>
      </c>
      <c r="E228">
        <v>5.3212657228810967</v>
      </c>
      <c r="F228">
        <v>6.7526124502433778</v>
      </c>
      <c r="G228">
        <f t="shared" si="3"/>
        <v>1.4313467273622811</v>
      </c>
      <c r="H228">
        <v>0.14461475316746991</v>
      </c>
      <c r="I228" t="s">
        <v>79</v>
      </c>
    </row>
    <row r="229" spans="1:9" x14ac:dyDescent="0.35">
      <c r="A229" t="s">
        <v>77</v>
      </c>
      <c r="B229" t="s">
        <v>60</v>
      </c>
      <c r="C229" t="s">
        <v>40</v>
      </c>
      <c r="D229">
        <v>2022</v>
      </c>
      <c r="E229">
        <v>5.0988792351265078</v>
      </c>
      <c r="F229">
        <v>6.7526124502433778</v>
      </c>
      <c r="G229">
        <f t="shared" si="3"/>
        <v>1.65373321511687</v>
      </c>
      <c r="H229">
        <v>0.14461475316746991</v>
      </c>
      <c r="I229" t="s">
        <v>79</v>
      </c>
    </row>
    <row r="230" spans="1:9" x14ac:dyDescent="0.35">
      <c r="A230" t="s">
        <v>77</v>
      </c>
      <c r="B230" t="s">
        <v>61</v>
      </c>
      <c r="C230" t="s">
        <v>38</v>
      </c>
      <c r="D230">
        <v>2022</v>
      </c>
      <c r="E230">
        <v>6.5861251608809734</v>
      </c>
      <c r="F230">
        <v>6.7526124502433778</v>
      </c>
      <c r="G230">
        <f t="shared" si="3"/>
        <v>0.16648728936240431</v>
      </c>
      <c r="H230">
        <v>0.14461475316746991</v>
      </c>
      <c r="I230" t="s">
        <v>79</v>
      </c>
    </row>
    <row r="231" spans="1:9" x14ac:dyDescent="0.35">
      <c r="A231" t="s">
        <v>77</v>
      </c>
      <c r="B231" t="s">
        <v>62</v>
      </c>
      <c r="C231" t="s">
        <v>40</v>
      </c>
      <c r="D231">
        <v>2022</v>
      </c>
      <c r="E231">
        <v>5.8054687081874778</v>
      </c>
      <c r="F231">
        <v>6.7526124502433778</v>
      </c>
      <c r="G231">
        <f t="shared" si="3"/>
        <v>0.94714374205589991</v>
      </c>
      <c r="H231">
        <v>0.14461475316746991</v>
      </c>
      <c r="I231" t="s">
        <v>79</v>
      </c>
    </row>
    <row r="232" spans="1:9" x14ac:dyDescent="0.35">
      <c r="A232" t="s">
        <v>68</v>
      </c>
      <c r="B232" t="s">
        <v>61</v>
      </c>
      <c r="C232" t="s">
        <v>38</v>
      </c>
      <c r="D232">
        <v>2023</v>
      </c>
      <c r="E232">
        <v>-0.62595524483003429</v>
      </c>
      <c r="F232">
        <v>-0.81689108427086243</v>
      </c>
      <c r="G232">
        <f t="shared" si="3"/>
        <v>-0.19093583944082815</v>
      </c>
      <c r="H232">
        <v>8.1127962753161406E-2</v>
      </c>
      <c r="I232" t="s">
        <v>79</v>
      </c>
    </row>
    <row r="233" spans="1:9" x14ac:dyDescent="0.35">
      <c r="A233" t="s">
        <v>68</v>
      </c>
      <c r="B233" t="s">
        <v>62</v>
      </c>
      <c r="C233" t="s">
        <v>40</v>
      </c>
      <c r="D233">
        <v>2023</v>
      </c>
      <c r="E233">
        <v>2.4090316591396821</v>
      </c>
      <c r="F233">
        <v>-0.81689108427086243</v>
      </c>
      <c r="G233">
        <f t="shared" si="3"/>
        <v>-3.2259227434105444</v>
      </c>
      <c r="H233">
        <v>8.1127962753161406E-2</v>
      </c>
      <c r="I233" t="s">
        <v>79</v>
      </c>
    </row>
    <row r="234" spans="1:9" x14ac:dyDescent="0.35">
      <c r="A234" t="s">
        <v>68</v>
      </c>
      <c r="B234" t="s">
        <v>63</v>
      </c>
      <c r="C234" t="s">
        <v>38</v>
      </c>
      <c r="D234">
        <v>2023</v>
      </c>
      <c r="E234">
        <v>-0.27334918709761569</v>
      </c>
      <c r="F234">
        <v>-0.81689108427086243</v>
      </c>
      <c r="G234">
        <f t="shared" si="3"/>
        <v>-0.54354189717324675</v>
      </c>
      <c r="H234">
        <v>8.1127962753161406E-2</v>
      </c>
      <c r="I234" t="s">
        <v>79</v>
      </c>
    </row>
    <row r="235" spans="1:9" x14ac:dyDescent="0.35">
      <c r="A235" t="s">
        <v>68</v>
      </c>
      <c r="B235" t="s">
        <v>64</v>
      </c>
      <c r="C235" t="s">
        <v>40</v>
      </c>
      <c r="D235">
        <v>2023</v>
      </c>
      <c r="E235">
        <v>0.18957305278237691</v>
      </c>
      <c r="F235">
        <v>-0.81689108427086243</v>
      </c>
      <c r="G235">
        <f t="shared" si="3"/>
        <v>-1.0064641370532392</v>
      </c>
      <c r="H235">
        <v>8.1127962753161406E-2</v>
      </c>
      <c r="I235" t="s">
        <v>79</v>
      </c>
    </row>
    <row r="236" spans="1:9" x14ac:dyDescent="0.35">
      <c r="A236" t="s">
        <v>70</v>
      </c>
      <c r="B236" t="s">
        <v>61</v>
      </c>
      <c r="C236" t="s">
        <v>38</v>
      </c>
      <c r="D236">
        <v>2023</v>
      </c>
      <c r="E236">
        <v>0.23998786112824361</v>
      </c>
      <c r="F236">
        <v>-1.2980054053073831</v>
      </c>
      <c r="G236">
        <f t="shared" si="3"/>
        <v>-1.5379932664356266</v>
      </c>
      <c r="H236">
        <v>0.1132453544983484</v>
      </c>
      <c r="I236" t="s">
        <v>79</v>
      </c>
    </row>
    <row r="237" spans="1:9" x14ac:dyDescent="0.35">
      <c r="A237" t="s">
        <v>70</v>
      </c>
      <c r="B237" t="s">
        <v>62</v>
      </c>
      <c r="C237" t="s">
        <v>40</v>
      </c>
      <c r="D237">
        <v>2023</v>
      </c>
      <c r="E237">
        <v>1.664320363648697</v>
      </c>
      <c r="F237">
        <v>-1.2980054053073831</v>
      </c>
      <c r="G237">
        <f t="shared" si="3"/>
        <v>-2.96232576895608</v>
      </c>
      <c r="H237">
        <v>0.1132453544983484</v>
      </c>
      <c r="I237" t="s">
        <v>79</v>
      </c>
    </row>
    <row r="238" spans="1:9" x14ac:dyDescent="0.35">
      <c r="A238" t="s">
        <v>70</v>
      </c>
      <c r="B238" t="s">
        <v>63</v>
      </c>
      <c r="C238" t="s">
        <v>38</v>
      </c>
      <c r="D238">
        <v>2023</v>
      </c>
      <c r="E238">
        <v>0.13705974715647609</v>
      </c>
      <c r="F238">
        <v>-1.2980054053073831</v>
      </c>
      <c r="G238">
        <f t="shared" si="3"/>
        <v>-1.4350651524638591</v>
      </c>
      <c r="H238">
        <v>0.1132453544983484</v>
      </c>
      <c r="I238" t="s">
        <v>79</v>
      </c>
    </row>
    <row r="239" spans="1:9" x14ac:dyDescent="0.35">
      <c r="A239" t="s">
        <v>70</v>
      </c>
      <c r="B239" t="s">
        <v>64</v>
      </c>
      <c r="C239" t="s">
        <v>40</v>
      </c>
      <c r="D239">
        <v>2023</v>
      </c>
      <c r="E239">
        <v>0.1978909161836295</v>
      </c>
      <c r="F239">
        <v>-1.2980054053073831</v>
      </c>
      <c r="G239">
        <f t="shared" si="3"/>
        <v>-1.4958963214910126</v>
      </c>
      <c r="H239">
        <v>0.1132453544983484</v>
      </c>
      <c r="I239" t="s">
        <v>79</v>
      </c>
    </row>
    <row r="240" spans="1:9" x14ac:dyDescent="0.35">
      <c r="A240" t="s">
        <v>75</v>
      </c>
      <c r="B240" t="s">
        <v>61</v>
      </c>
      <c r="C240" t="s">
        <v>38</v>
      </c>
      <c r="D240">
        <v>2023</v>
      </c>
      <c r="E240">
        <v>0.31473715860916851</v>
      </c>
      <c r="F240">
        <v>1.014274087639002</v>
      </c>
      <c r="G240">
        <f t="shared" si="3"/>
        <v>0.69953692902983344</v>
      </c>
      <c r="H240">
        <v>0.1070949889392518</v>
      </c>
      <c r="I240" t="s">
        <v>79</v>
      </c>
    </row>
    <row r="241" spans="1:9" x14ac:dyDescent="0.35">
      <c r="A241" t="s">
        <v>75</v>
      </c>
      <c r="B241" t="s">
        <v>62</v>
      </c>
      <c r="C241" t="s">
        <v>40</v>
      </c>
      <c r="D241">
        <v>2023</v>
      </c>
      <c r="E241">
        <v>1.851291422718337</v>
      </c>
      <c r="F241">
        <v>1.014274087639002</v>
      </c>
      <c r="G241">
        <f t="shared" si="3"/>
        <v>-0.83701733507933507</v>
      </c>
      <c r="H241">
        <v>0.1070949889392518</v>
      </c>
      <c r="I241" t="s">
        <v>79</v>
      </c>
    </row>
    <row r="242" spans="1:9" x14ac:dyDescent="0.35">
      <c r="A242" t="s">
        <v>75</v>
      </c>
      <c r="B242" t="s">
        <v>63</v>
      </c>
      <c r="C242" t="s">
        <v>38</v>
      </c>
      <c r="D242">
        <v>2023</v>
      </c>
      <c r="E242">
        <v>0.69157318051265015</v>
      </c>
      <c r="F242">
        <v>1.014274087639002</v>
      </c>
      <c r="G242">
        <f t="shared" si="3"/>
        <v>0.3227009071263518</v>
      </c>
      <c r="H242">
        <v>0.1070949889392518</v>
      </c>
      <c r="I242" t="s">
        <v>79</v>
      </c>
    </row>
    <row r="243" spans="1:9" x14ac:dyDescent="0.35">
      <c r="A243" t="s">
        <v>75</v>
      </c>
      <c r="B243" t="s">
        <v>64</v>
      </c>
      <c r="C243" t="s">
        <v>40</v>
      </c>
      <c r="D243">
        <v>2023</v>
      </c>
      <c r="E243">
        <v>1.206598132351089</v>
      </c>
      <c r="F243">
        <v>1.014274087639002</v>
      </c>
      <c r="G243">
        <f t="shared" si="3"/>
        <v>-0.19232404471208708</v>
      </c>
      <c r="H243">
        <v>0.1070949889392518</v>
      </c>
      <c r="I243" t="s">
        <v>79</v>
      </c>
    </row>
    <row r="244" spans="1:9" x14ac:dyDescent="0.35">
      <c r="A244" t="s">
        <v>77</v>
      </c>
      <c r="B244" t="s">
        <v>61</v>
      </c>
      <c r="C244" t="s">
        <v>38</v>
      </c>
      <c r="D244">
        <v>2023</v>
      </c>
      <c r="E244">
        <v>0.71696140778811923</v>
      </c>
      <c r="F244">
        <v>3.0529202104847739</v>
      </c>
      <c r="G244">
        <f t="shared" si="3"/>
        <v>2.3359588026966547</v>
      </c>
      <c r="H244">
        <v>0.13707314166650111</v>
      </c>
      <c r="I244" t="s">
        <v>79</v>
      </c>
    </row>
    <row r="245" spans="1:9" x14ac:dyDescent="0.35">
      <c r="A245" t="s">
        <v>77</v>
      </c>
      <c r="B245" t="s">
        <v>62</v>
      </c>
      <c r="C245" t="s">
        <v>40</v>
      </c>
      <c r="D245">
        <v>2023</v>
      </c>
      <c r="E245">
        <v>2.6604918870074319</v>
      </c>
      <c r="F245">
        <v>3.0529202104847739</v>
      </c>
      <c r="G245">
        <f t="shared" si="3"/>
        <v>0.39242832347734202</v>
      </c>
      <c r="H245">
        <v>0.13707314166650111</v>
      </c>
      <c r="I245" t="s">
        <v>79</v>
      </c>
    </row>
    <row r="246" spans="1:9" x14ac:dyDescent="0.35">
      <c r="A246" t="s">
        <v>77</v>
      </c>
      <c r="B246" t="s">
        <v>63</v>
      </c>
      <c r="C246" t="s">
        <v>38</v>
      </c>
      <c r="D246">
        <v>2023</v>
      </c>
      <c r="E246">
        <v>2.226883105497079</v>
      </c>
      <c r="F246">
        <v>3.0529202104847739</v>
      </c>
      <c r="G246">
        <f t="shared" si="3"/>
        <v>0.82603710498769489</v>
      </c>
      <c r="H246">
        <v>0.13707314166650111</v>
      </c>
      <c r="I246" t="s">
        <v>79</v>
      </c>
    </row>
    <row r="247" spans="1:9" x14ac:dyDescent="0.35">
      <c r="A247" t="s">
        <v>77</v>
      </c>
      <c r="B247" t="s">
        <v>64</v>
      </c>
      <c r="C247" t="s">
        <v>40</v>
      </c>
      <c r="D247">
        <v>2023</v>
      </c>
      <c r="E247">
        <v>2.4387614512581202</v>
      </c>
      <c r="F247">
        <v>3.0529202104847739</v>
      </c>
      <c r="G247">
        <f t="shared" si="3"/>
        <v>0.61415875922665375</v>
      </c>
      <c r="H247">
        <v>0.13707314166650111</v>
      </c>
      <c r="I247" t="s">
        <v>79</v>
      </c>
    </row>
    <row r="248" spans="1:9" x14ac:dyDescent="0.35">
      <c r="A248" t="s">
        <v>68</v>
      </c>
      <c r="B248" t="s">
        <v>63</v>
      </c>
      <c r="C248" t="s">
        <v>38</v>
      </c>
      <c r="D248">
        <v>2024</v>
      </c>
      <c r="E248">
        <v>0.80450584510622924</v>
      </c>
      <c r="F248">
        <v>4.0523394564314849E-2</v>
      </c>
      <c r="G248">
        <f t="shared" si="3"/>
        <v>-0.76398245054191438</v>
      </c>
      <c r="H248">
        <v>8.6916760469719023E-2</v>
      </c>
      <c r="I248" t="s">
        <v>79</v>
      </c>
    </row>
    <row r="249" spans="1:9" x14ac:dyDescent="0.35">
      <c r="A249" t="s">
        <v>68</v>
      </c>
      <c r="B249" t="s">
        <v>64</v>
      </c>
      <c r="C249" t="s">
        <v>40</v>
      </c>
      <c r="D249">
        <v>2024</v>
      </c>
      <c r="E249">
        <v>1.358688832068133</v>
      </c>
      <c r="F249">
        <v>4.0523394564314849E-2</v>
      </c>
      <c r="G249">
        <f t="shared" si="3"/>
        <v>-1.3181654375038181</v>
      </c>
      <c r="H249">
        <v>8.6916760469719023E-2</v>
      </c>
      <c r="I249" t="s">
        <v>79</v>
      </c>
    </row>
    <row r="250" spans="1:9" x14ac:dyDescent="0.35">
      <c r="A250" t="s">
        <v>68</v>
      </c>
      <c r="B250" t="s">
        <v>65</v>
      </c>
      <c r="C250" t="s">
        <v>38</v>
      </c>
      <c r="D250">
        <v>2024</v>
      </c>
      <c r="E250">
        <v>-0.1114510968873272</v>
      </c>
      <c r="F250">
        <v>4.0523394564314849E-2</v>
      </c>
      <c r="G250">
        <f t="shared" si="3"/>
        <v>0.15197449145164205</v>
      </c>
      <c r="H250">
        <v>8.6916760469719023E-2</v>
      </c>
      <c r="I250" t="s">
        <v>79</v>
      </c>
    </row>
    <row r="251" spans="1:9" x14ac:dyDescent="0.35">
      <c r="A251" t="s">
        <v>68</v>
      </c>
      <c r="B251" t="s">
        <v>66</v>
      </c>
      <c r="C251" t="s">
        <v>40</v>
      </c>
      <c r="D251">
        <v>2024</v>
      </c>
      <c r="E251">
        <v>0.12753656568900151</v>
      </c>
      <c r="F251">
        <v>4.0523394564314849E-2</v>
      </c>
      <c r="G251">
        <f t="shared" si="3"/>
        <v>-8.7013171124686664E-2</v>
      </c>
      <c r="H251">
        <v>8.6916760469719023E-2</v>
      </c>
      <c r="I251" t="s">
        <v>79</v>
      </c>
    </row>
    <row r="252" spans="1:9" x14ac:dyDescent="0.35">
      <c r="A252" t="s">
        <v>70</v>
      </c>
      <c r="B252" t="s">
        <v>63</v>
      </c>
      <c r="C252" t="s">
        <v>38</v>
      </c>
      <c r="D252">
        <v>2024</v>
      </c>
      <c r="E252">
        <v>0.82599219561030335</v>
      </c>
      <c r="F252">
        <v>0.8814466149882676</v>
      </c>
      <c r="G252">
        <f t="shared" si="3"/>
        <v>5.5454419377964248E-2</v>
      </c>
      <c r="H252">
        <v>0.14071954748750329</v>
      </c>
      <c r="I252" t="s">
        <v>79</v>
      </c>
    </row>
    <row r="253" spans="1:9" x14ac:dyDescent="0.35">
      <c r="A253" t="s">
        <v>70</v>
      </c>
      <c r="B253" t="s">
        <v>64</v>
      </c>
      <c r="C253" t="s">
        <v>40</v>
      </c>
      <c r="D253">
        <v>2024</v>
      </c>
      <c r="E253">
        <v>1.375433393552461</v>
      </c>
      <c r="F253">
        <v>0.8814466149882676</v>
      </c>
      <c r="G253">
        <f t="shared" si="3"/>
        <v>-0.49398677856419337</v>
      </c>
      <c r="H253">
        <v>0.14071954748750329</v>
      </c>
      <c r="I253" t="s">
        <v>79</v>
      </c>
    </row>
    <row r="254" spans="1:9" x14ac:dyDescent="0.35">
      <c r="A254" t="s">
        <v>70</v>
      </c>
      <c r="B254" t="s">
        <v>65</v>
      </c>
      <c r="C254" t="s">
        <v>38</v>
      </c>
      <c r="D254">
        <v>2024</v>
      </c>
      <c r="E254">
        <v>-0.27816035844419051</v>
      </c>
      <c r="F254">
        <v>0.8814466149882676</v>
      </c>
      <c r="G254">
        <f t="shared" si="3"/>
        <v>1.1596069734324581</v>
      </c>
      <c r="H254">
        <v>0.14071954748750329</v>
      </c>
      <c r="I254" t="s">
        <v>79</v>
      </c>
    </row>
    <row r="255" spans="1:9" x14ac:dyDescent="0.35">
      <c r="A255" t="s">
        <v>70</v>
      </c>
      <c r="B255" t="s">
        <v>66</v>
      </c>
      <c r="C255" t="s">
        <v>40</v>
      </c>
      <c r="D255">
        <v>2024</v>
      </c>
      <c r="E255">
        <v>3.9573385924840387E-2</v>
      </c>
      <c r="F255">
        <v>0.8814466149882676</v>
      </c>
      <c r="G255">
        <f t="shared" si="3"/>
        <v>0.84187322906342721</v>
      </c>
      <c r="H255">
        <v>0.14071954748750329</v>
      </c>
      <c r="I255" t="s">
        <v>79</v>
      </c>
    </row>
    <row r="256" spans="1:9" x14ac:dyDescent="0.35">
      <c r="A256" t="s">
        <v>74</v>
      </c>
      <c r="B256" t="s">
        <v>63</v>
      </c>
      <c r="C256" t="s">
        <v>38</v>
      </c>
      <c r="D256">
        <v>2024</v>
      </c>
      <c r="E256">
        <v>3.0440640134462789</v>
      </c>
      <c r="F256">
        <v>3.6203795629134459</v>
      </c>
      <c r="G256">
        <f t="shared" si="3"/>
        <v>0.57631554946716701</v>
      </c>
      <c r="H256">
        <v>9.6012028645875991E-2</v>
      </c>
      <c r="I256" t="s">
        <v>79</v>
      </c>
    </row>
    <row r="257" spans="1:9" x14ac:dyDescent="0.35">
      <c r="A257" t="s">
        <v>74</v>
      </c>
      <c r="B257" t="s">
        <v>64</v>
      </c>
      <c r="C257" t="s">
        <v>40</v>
      </c>
      <c r="D257">
        <v>2024</v>
      </c>
      <c r="E257">
        <v>4.9679452562146009</v>
      </c>
      <c r="F257">
        <v>3.6203795629134459</v>
      </c>
      <c r="G257">
        <f t="shared" si="3"/>
        <v>-1.3475656933011551</v>
      </c>
      <c r="H257">
        <v>9.6012028645875991E-2</v>
      </c>
      <c r="I257" t="s">
        <v>79</v>
      </c>
    </row>
    <row r="258" spans="1:9" x14ac:dyDescent="0.35">
      <c r="A258" t="s">
        <v>74</v>
      </c>
      <c r="B258" t="s">
        <v>65</v>
      </c>
      <c r="C258" t="s">
        <v>38</v>
      </c>
      <c r="D258">
        <v>2024</v>
      </c>
      <c r="E258">
        <v>-0.54062635287741578</v>
      </c>
      <c r="F258">
        <v>3.6203795629134459</v>
      </c>
      <c r="G258">
        <f t="shared" ref="G258:G321" si="4">IF(OR(F258="",E258=""),"",F258-E258)</f>
        <v>4.1610059157908612</v>
      </c>
      <c r="H258">
        <v>9.6012028645875991E-2</v>
      </c>
      <c r="I258" t="s">
        <v>79</v>
      </c>
    </row>
    <row r="259" spans="1:9" x14ac:dyDescent="0.35">
      <c r="A259" t="s">
        <v>74</v>
      </c>
      <c r="B259" t="s">
        <v>66</v>
      </c>
      <c r="C259" t="s">
        <v>40</v>
      </c>
      <c r="D259">
        <v>2024</v>
      </c>
      <c r="E259">
        <v>1.2437124663212009</v>
      </c>
      <c r="F259">
        <v>3.6203795629134459</v>
      </c>
      <c r="G259">
        <f t="shared" si="4"/>
        <v>2.3766670965922447</v>
      </c>
      <c r="H259">
        <v>9.6012028645875991E-2</v>
      </c>
      <c r="I259" t="s">
        <v>79</v>
      </c>
    </row>
    <row r="260" spans="1:9" x14ac:dyDescent="0.35">
      <c r="A260" t="s">
        <v>75</v>
      </c>
      <c r="B260" t="s">
        <v>63</v>
      </c>
      <c r="C260" t="s">
        <v>38</v>
      </c>
      <c r="D260">
        <v>2024</v>
      </c>
      <c r="E260">
        <v>0.85219564942633497</v>
      </c>
      <c r="F260">
        <v>0.58463257989526929</v>
      </c>
      <c r="G260">
        <f t="shared" si="4"/>
        <v>-0.26756306953106568</v>
      </c>
      <c r="H260">
        <v>0.1181932096010781</v>
      </c>
      <c r="I260" t="s">
        <v>79</v>
      </c>
    </row>
    <row r="261" spans="1:9" x14ac:dyDescent="0.35">
      <c r="A261" t="s">
        <v>75</v>
      </c>
      <c r="B261" t="s">
        <v>64</v>
      </c>
      <c r="C261" t="s">
        <v>40</v>
      </c>
      <c r="D261">
        <v>2024</v>
      </c>
      <c r="E261">
        <v>1.088219792885559</v>
      </c>
      <c r="F261">
        <v>0.58463257989526929</v>
      </c>
      <c r="G261">
        <f t="shared" si="4"/>
        <v>-0.50358721299028975</v>
      </c>
      <c r="H261">
        <v>0.1181932096010781</v>
      </c>
      <c r="I261" t="s">
        <v>79</v>
      </c>
    </row>
    <row r="262" spans="1:9" x14ac:dyDescent="0.35">
      <c r="A262" t="s">
        <v>75</v>
      </c>
      <c r="B262" t="s">
        <v>65</v>
      </c>
      <c r="C262" t="s">
        <v>38</v>
      </c>
      <c r="D262">
        <v>2024</v>
      </c>
      <c r="E262">
        <v>0.66875073104093463</v>
      </c>
      <c r="F262">
        <v>0.58463257989526929</v>
      </c>
      <c r="G262">
        <f t="shared" si="4"/>
        <v>-8.4118151145665343E-2</v>
      </c>
      <c r="H262">
        <v>0.1181932096010781</v>
      </c>
      <c r="I262" t="s">
        <v>79</v>
      </c>
    </row>
    <row r="263" spans="1:9" x14ac:dyDescent="0.35">
      <c r="A263" t="s">
        <v>75</v>
      </c>
      <c r="B263" t="s">
        <v>66</v>
      </c>
      <c r="C263" t="s">
        <v>40</v>
      </c>
      <c r="D263">
        <v>2024</v>
      </c>
      <c r="E263">
        <v>0.93648338218597083</v>
      </c>
      <c r="F263">
        <v>0.58463257989526929</v>
      </c>
      <c r="G263">
        <f t="shared" si="4"/>
        <v>-0.35185080229070154</v>
      </c>
      <c r="H263">
        <v>0.1181932096010781</v>
      </c>
      <c r="I263" t="s">
        <v>79</v>
      </c>
    </row>
    <row r="264" spans="1:9" x14ac:dyDescent="0.35">
      <c r="A264" t="s">
        <v>77</v>
      </c>
      <c r="B264" t="s">
        <v>63</v>
      </c>
      <c r="C264" t="s">
        <v>38</v>
      </c>
      <c r="D264">
        <v>2024</v>
      </c>
      <c r="E264">
        <v>1.3133477904788251</v>
      </c>
      <c r="F264">
        <v>2.1904072780361381</v>
      </c>
      <c r="G264">
        <f t="shared" si="4"/>
        <v>0.877059487557313</v>
      </c>
      <c r="H264">
        <v>8.6782381012711671E-2</v>
      </c>
      <c r="I264" t="s">
        <v>79</v>
      </c>
    </row>
    <row r="265" spans="1:9" x14ac:dyDescent="0.35">
      <c r="A265" t="s">
        <v>77</v>
      </c>
      <c r="B265" t="s">
        <v>64</v>
      </c>
      <c r="C265" t="s">
        <v>40</v>
      </c>
      <c r="D265">
        <v>2024</v>
      </c>
      <c r="E265">
        <v>1.7569161258840891</v>
      </c>
      <c r="F265">
        <v>2.1904072780361381</v>
      </c>
      <c r="G265">
        <f t="shared" si="4"/>
        <v>0.43349115215204903</v>
      </c>
      <c r="H265">
        <v>8.6782381012711671E-2</v>
      </c>
      <c r="I265" t="s">
        <v>79</v>
      </c>
    </row>
    <row r="266" spans="1:9" x14ac:dyDescent="0.35">
      <c r="A266" t="s">
        <v>77</v>
      </c>
      <c r="B266" t="s">
        <v>65</v>
      </c>
      <c r="C266" t="s">
        <v>38</v>
      </c>
      <c r="D266">
        <v>2024</v>
      </c>
      <c r="E266">
        <v>1.6514732694230541</v>
      </c>
      <c r="F266">
        <v>2.1904072780361381</v>
      </c>
      <c r="G266">
        <f t="shared" si="4"/>
        <v>0.53893400861308405</v>
      </c>
      <c r="H266">
        <v>8.6782381012711671E-2</v>
      </c>
      <c r="I266" t="s">
        <v>79</v>
      </c>
    </row>
    <row r="267" spans="1:9" x14ac:dyDescent="0.35">
      <c r="A267" t="s">
        <v>77</v>
      </c>
      <c r="B267" t="s">
        <v>66</v>
      </c>
      <c r="C267" t="s">
        <v>40</v>
      </c>
      <c r="D267">
        <v>2024</v>
      </c>
      <c r="E267">
        <v>1.734179743438991</v>
      </c>
      <c r="F267">
        <v>2.1904072780361381</v>
      </c>
      <c r="G267">
        <f t="shared" si="4"/>
        <v>0.45622753459714716</v>
      </c>
      <c r="H267">
        <v>8.6782381012711671E-2</v>
      </c>
      <c r="I267" t="s">
        <v>79</v>
      </c>
    </row>
    <row r="268" spans="1:9" x14ac:dyDescent="0.35">
      <c r="A268" t="s">
        <v>70</v>
      </c>
      <c r="B268" t="s">
        <v>65</v>
      </c>
      <c r="C268" t="s">
        <v>38</v>
      </c>
      <c r="D268">
        <v>2025</v>
      </c>
      <c r="E268">
        <v>1.544507858030109</v>
      </c>
      <c r="F268">
        <v>0.79990149121373022</v>
      </c>
      <c r="G268">
        <f t="shared" si="4"/>
        <v>-0.74460636681637882</v>
      </c>
      <c r="H268">
        <v>0.14533763099499511</v>
      </c>
      <c r="I268" t="s">
        <v>79</v>
      </c>
    </row>
    <row r="269" spans="1:9" x14ac:dyDescent="0.35">
      <c r="A269" t="s">
        <v>70</v>
      </c>
      <c r="B269" t="s">
        <v>66</v>
      </c>
      <c r="C269" t="s">
        <v>40</v>
      </c>
      <c r="D269">
        <v>2025</v>
      </c>
      <c r="E269">
        <v>1.3606562692519699</v>
      </c>
      <c r="F269">
        <v>0.79990149121373022</v>
      </c>
      <c r="G269">
        <f t="shared" si="4"/>
        <v>-0.5607547780382397</v>
      </c>
      <c r="H269">
        <v>0.14533763099499511</v>
      </c>
      <c r="I269" t="s">
        <v>79</v>
      </c>
    </row>
    <row r="270" spans="1:9" x14ac:dyDescent="0.35">
      <c r="A270" t="s">
        <v>70</v>
      </c>
      <c r="B270" t="s">
        <v>71</v>
      </c>
      <c r="C270" t="s">
        <v>38</v>
      </c>
      <c r="D270">
        <v>2025</v>
      </c>
      <c r="E270">
        <v>7.5720238361931536E-2</v>
      </c>
      <c r="F270">
        <v>0.79990149121373022</v>
      </c>
      <c r="G270">
        <f t="shared" si="4"/>
        <v>0.72418125285179868</v>
      </c>
      <c r="H270">
        <v>0.14533763099499511</v>
      </c>
      <c r="I270" t="s">
        <v>79</v>
      </c>
    </row>
    <row r="271" spans="1:9" x14ac:dyDescent="0.35">
      <c r="A271" t="s">
        <v>70</v>
      </c>
      <c r="B271" t="s">
        <v>72</v>
      </c>
      <c r="C271" t="s">
        <v>40</v>
      </c>
      <c r="D271">
        <v>2025</v>
      </c>
      <c r="E271">
        <v>0.97596362509042578</v>
      </c>
      <c r="F271">
        <v>0.79990149121373022</v>
      </c>
      <c r="G271">
        <f t="shared" si="4"/>
        <v>-0.17606213387669556</v>
      </c>
      <c r="H271">
        <v>0.14533763099499511</v>
      </c>
      <c r="I271" t="s">
        <v>79</v>
      </c>
    </row>
    <row r="272" spans="1:9" x14ac:dyDescent="0.35">
      <c r="A272" t="s">
        <v>75</v>
      </c>
      <c r="B272" t="s">
        <v>65</v>
      </c>
      <c r="C272" t="s">
        <v>38</v>
      </c>
      <c r="D272">
        <v>2025</v>
      </c>
      <c r="E272">
        <v>1.0376492446310339</v>
      </c>
      <c r="F272">
        <v>0.66135842759176278</v>
      </c>
      <c r="G272">
        <f t="shared" si="4"/>
        <v>-0.37629081703927114</v>
      </c>
      <c r="H272">
        <v>0.118071592713761</v>
      </c>
      <c r="I272" t="s">
        <v>79</v>
      </c>
    </row>
    <row r="273" spans="1:9" x14ac:dyDescent="0.35">
      <c r="A273" t="s">
        <v>75</v>
      </c>
      <c r="B273" t="s">
        <v>66</v>
      </c>
      <c r="C273" t="s">
        <v>40</v>
      </c>
      <c r="D273">
        <v>2025</v>
      </c>
      <c r="E273">
        <v>1.0979449050216421</v>
      </c>
      <c r="F273">
        <v>0.66135842759176278</v>
      </c>
      <c r="G273">
        <f t="shared" si="4"/>
        <v>-0.43658647742987933</v>
      </c>
      <c r="H273">
        <v>0.118071592713761</v>
      </c>
      <c r="I273" t="s">
        <v>79</v>
      </c>
    </row>
    <row r="274" spans="1:9" x14ac:dyDescent="0.35">
      <c r="A274" t="s">
        <v>75</v>
      </c>
      <c r="B274" t="s">
        <v>71</v>
      </c>
      <c r="C274" t="s">
        <v>38</v>
      </c>
      <c r="D274">
        <v>2025</v>
      </c>
      <c r="E274">
        <v>0.35981622121454843</v>
      </c>
      <c r="F274">
        <v>0.66135842759176278</v>
      </c>
      <c r="G274">
        <f t="shared" si="4"/>
        <v>0.30154220637721435</v>
      </c>
      <c r="H274">
        <v>0.118071592713761</v>
      </c>
      <c r="I274" t="s">
        <v>79</v>
      </c>
    </row>
    <row r="275" spans="1:9" x14ac:dyDescent="0.35">
      <c r="A275" t="s">
        <v>75</v>
      </c>
      <c r="B275" t="s">
        <v>72</v>
      </c>
      <c r="C275" t="s">
        <v>40</v>
      </c>
      <c r="D275">
        <v>2025</v>
      </c>
      <c r="E275">
        <v>0.66447930597219873</v>
      </c>
      <c r="F275">
        <v>0.66135842759176278</v>
      </c>
      <c r="G275">
        <f t="shared" si="4"/>
        <v>-3.1208783804359541E-3</v>
      </c>
      <c r="H275">
        <v>0.118071592713761</v>
      </c>
      <c r="I275" t="s">
        <v>79</v>
      </c>
    </row>
    <row r="276" spans="1:9" x14ac:dyDescent="0.35">
      <c r="A276" t="s">
        <v>36</v>
      </c>
      <c r="B276" t="s">
        <v>37</v>
      </c>
      <c r="C276" t="s">
        <v>38</v>
      </c>
      <c r="D276">
        <v>2011</v>
      </c>
      <c r="E276">
        <v>2.8875773288541411</v>
      </c>
      <c r="F276">
        <v>2.98019333147692</v>
      </c>
      <c r="G276">
        <f t="shared" si="4"/>
        <v>9.2616002622778915E-2</v>
      </c>
      <c r="H276">
        <v>0.1467147589337007</v>
      </c>
      <c r="I276" t="s">
        <v>80</v>
      </c>
    </row>
    <row r="277" spans="1:9" x14ac:dyDescent="0.35">
      <c r="A277" t="s">
        <v>36</v>
      </c>
      <c r="B277" t="s">
        <v>39</v>
      </c>
      <c r="C277" t="s">
        <v>40</v>
      </c>
      <c r="D277">
        <v>2011</v>
      </c>
      <c r="E277">
        <v>2.3656449720009132</v>
      </c>
      <c r="F277">
        <v>2.98019333147692</v>
      </c>
      <c r="G277">
        <f t="shared" si="4"/>
        <v>0.61454835947600683</v>
      </c>
      <c r="H277">
        <v>0.1467147589337007</v>
      </c>
      <c r="I277" t="s">
        <v>80</v>
      </c>
    </row>
    <row r="278" spans="1:9" x14ac:dyDescent="0.35">
      <c r="A278" t="s">
        <v>74</v>
      </c>
      <c r="B278" t="s">
        <v>37</v>
      </c>
      <c r="C278" t="s">
        <v>38</v>
      </c>
      <c r="D278">
        <v>2011</v>
      </c>
      <c r="E278">
        <v>1.085473342594079</v>
      </c>
      <c r="F278">
        <v>1.585963389687955</v>
      </c>
      <c r="G278">
        <f t="shared" si="4"/>
        <v>0.50049004709387601</v>
      </c>
      <c r="H278">
        <v>0.21290558800453321</v>
      </c>
      <c r="I278" t="s">
        <v>80</v>
      </c>
    </row>
    <row r="279" spans="1:9" x14ac:dyDescent="0.35">
      <c r="A279" t="s">
        <v>74</v>
      </c>
      <c r="B279" t="s">
        <v>39</v>
      </c>
      <c r="C279" t="s">
        <v>40</v>
      </c>
      <c r="D279">
        <v>2011</v>
      </c>
      <c r="E279">
        <v>0.64463752068673053</v>
      </c>
      <c r="F279">
        <v>1.585963389687955</v>
      </c>
      <c r="G279">
        <f t="shared" si="4"/>
        <v>0.9413258690012245</v>
      </c>
      <c r="H279">
        <v>0.21290558800453321</v>
      </c>
      <c r="I279" t="s">
        <v>80</v>
      </c>
    </row>
    <row r="280" spans="1:9" x14ac:dyDescent="0.35">
      <c r="A280" t="s">
        <v>76</v>
      </c>
      <c r="B280" t="s">
        <v>37</v>
      </c>
      <c r="C280" t="s">
        <v>38</v>
      </c>
      <c r="D280">
        <v>2011</v>
      </c>
      <c r="E280">
        <v>1.8081352289394561</v>
      </c>
      <c r="F280">
        <v>1.763265804751377</v>
      </c>
      <c r="G280">
        <f t="shared" si="4"/>
        <v>-4.4869424188079154E-2</v>
      </c>
      <c r="H280">
        <v>0.1715983572078652</v>
      </c>
      <c r="I280" t="s">
        <v>80</v>
      </c>
    </row>
    <row r="281" spans="1:9" x14ac:dyDescent="0.35">
      <c r="A281" t="s">
        <v>76</v>
      </c>
      <c r="B281" t="s">
        <v>39</v>
      </c>
      <c r="C281" t="s">
        <v>40</v>
      </c>
      <c r="D281">
        <v>2011</v>
      </c>
      <c r="E281">
        <v>1.926005162138456</v>
      </c>
      <c r="F281">
        <v>1.763265804751377</v>
      </c>
      <c r="G281">
        <f t="shared" si="4"/>
        <v>-0.16273935738707901</v>
      </c>
      <c r="H281">
        <v>0.1715983572078652</v>
      </c>
      <c r="I281" t="s">
        <v>80</v>
      </c>
    </row>
    <row r="282" spans="1:9" x14ac:dyDescent="0.35">
      <c r="A282" t="s">
        <v>74</v>
      </c>
      <c r="B282" t="s">
        <v>37</v>
      </c>
      <c r="C282" t="s">
        <v>38</v>
      </c>
      <c r="D282">
        <v>2012</v>
      </c>
      <c r="E282">
        <v>1.0901130974096951</v>
      </c>
      <c r="F282">
        <v>-0.53795048916406796</v>
      </c>
      <c r="G282">
        <f t="shared" si="4"/>
        <v>-1.6280635865737629</v>
      </c>
      <c r="H282">
        <v>0.23477584339955121</v>
      </c>
      <c r="I282" t="s">
        <v>80</v>
      </c>
    </row>
    <row r="283" spans="1:9" x14ac:dyDescent="0.35">
      <c r="A283" t="s">
        <v>74</v>
      </c>
      <c r="B283" t="s">
        <v>39</v>
      </c>
      <c r="C283" t="s">
        <v>40</v>
      </c>
      <c r="D283">
        <v>2012</v>
      </c>
      <c r="E283">
        <v>1.915684733449208</v>
      </c>
      <c r="F283">
        <v>-0.53795048916406796</v>
      </c>
      <c r="G283">
        <f t="shared" si="4"/>
        <v>-2.453635222613276</v>
      </c>
      <c r="H283">
        <v>0.23477584339955121</v>
      </c>
      <c r="I283" t="s">
        <v>80</v>
      </c>
    </row>
    <row r="284" spans="1:9" x14ac:dyDescent="0.35">
      <c r="A284" t="s">
        <v>74</v>
      </c>
      <c r="B284" t="s">
        <v>41</v>
      </c>
      <c r="C284" t="s">
        <v>38</v>
      </c>
      <c r="D284">
        <v>2012</v>
      </c>
      <c r="E284">
        <v>0.43127476645701268</v>
      </c>
      <c r="F284">
        <v>-0.53795048916406796</v>
      </c>
      <c r="G284">
        <f t="shared" si="4"/>
        <v>-0.96922525562108064</v>
      </c>
      <c r="H284">
        <v>0.23477584339955121</v>
      </c>
      <c r="I284" t="s">
        <v>80</v>
      </c>
    </row>
    <row r="285" spans="1:9" x14ac:dyDescent="0.35">
      <c r="A285" t="s">
        <v>74</v>
      </c>
      <c r="B285" t="s">
        <v>42</v>
      </c>
      <c r="C285" t="s">
        <v>40</v>
      </c>
      <c r="D285">
        <v>2012</v>
      </c>
      <c r="E285">
        <v>0.53448290594637626</v>
      </c>
      <c r="F285">
        <v>-0.53795048916406796</v>
      </c>
      <c r="G285">
        <f t="shared" si="4"/>
        <v>-1.0724333951104441</v>
      </c>
      <c r="H285">
        <v>0.23477584339955121</v>
      </c>
      <c r="I285" t="s">
        <v>80</v>
      </c>
    </row>
    <row r="286" spans="1:9" x14ac:dyDescent="0.35">
      <c r="A286" t="s">
        <v>76</v>
      </c>
      <c r="B286" t="s">
        <v>37</v>
      </c>
      <c r="C286" t="s">
        <v>38</v>
      </c>
      <c r="D286">
        <v>2012</v>
      </c>
      <c r="E286">
        <v>0.49861923570131422</v>
      </c>
      <c r="F286">
        <v>-0.98761966818776048</v>
      </c>
      <c r="G286">
        <f t="shared" si="4"/>
        <v>-1.4862389038890746</v>
      </c>
      <c r="H286">
        <v>0.18669096495815901</v>
      </c>
      <c r="I286" t="s">
        <v>80</v>
      </c>
    </row>
    <row r="287" spans="1:9" x14ac:dyDescent="0.35">
      <c r="A287" t="s">
        <v>76</v>
      </c>
      <c r="B287" t="s">
        <v>39</v>
      </c>
      <c r="C287" t="s">
        <v>40</v>
      </c>
      <c r="D287">
        <v>2012</v>
      </c>
      <c r="E287">
        <v>1.661047212655653</v>
      </c>
      <c r="F287">
        <v>-0.98761966818776048</v>
      </c>
      <c r="G287">
        <f t="shared" si="4"/>
        <v>-2.6486668808434137</v>
      </c>
      <c r="H287">
        <v>0.18669096495815901</v>
      </c>
      <c r="I287" t="s">
        <v>80</v>
      </c>
    </row>
    <row r="288" spans="1:9" x14ac:dyDescent="0.35">
      <c r="A288" t="s">
        <v>76</v>
      </c>
      <c r="B288" t="s">
        <v>41</v>
      </c>
      <c r="C288" t="s">
        <v>38</v>
      </c>
      <c r="D288">
        <v>2012</v>
      </c>
      <c r="E288">
        <v>-0.28000741980042099</v>
      </c>
      <c r="F288">
        <v>-0.98761966818776048</v>
      </c>
      <c r="G288">
        <f t="shared" si="4"/>
        <v>-0.70761224838733949</v>
      </c>
      <c r="H288">
        <v>0.18669096495815901</v>
      </c>
      <c r="I288" t="s">
        <v>80</v>
      </c>
    </row>
    <row r="289" spans="1:9" x14ac:dyDescent="0.35">
      <c r="A289" t="s">
        <v>76</v>
      </c>
      <c r="B289" t="s">
        <v>42</v>
      </c>
      <c r="C289" t="s">
        <v>40</v>
      </c>
      <c r="D289">
        <v>2012</v>
      </c>
      <c r="E289">
        <v>-0.88737458554019044</v>
      </c>
      <c r="F289">
        <v>-0.98761966818776048</v>
      </c>
      <c r="G289">
        <f t="shared" si="4"/>
        <v>-0.10024508264757004</v>
      </c>
      <c r="H289">
        <v>0.18669096495815901</v>
      </c>
      <c r="I289" t="s">
        <v>80</v>
      </c>
    </row>
    <row r="290" spans="1:9" x14ac:dyDescent="0.35">
      <c r="A290" t="s">
        <v>77</v>
      </c>
      <c r="B290" t="s">
        <v>37</v>
      </c>
      <c r="C290" t="s">
        <v>38</v>
      </c>
      <c r="D290">
        <v>2012</v>
      </c>
      <c r="E290">
        <v>-3.035670582279193</v>
      </c>
      <c r="F290">
        <v>-4.1352247921585192</v>
      </c>
      <c r="G290">
        <f t="shared" si="4"/>
        <v>-1.0995542098793263</v>
      </c>
      <c r="H290">
        <v>0.15448284624209199</v>
      </c>
      <c r="I290" t="s">
        <v>80</v>
      </c>
    </row>
    <row r="291" spans="1:9" x14ac:dyDescent="0.35">
      <c r="A291" t="s">
        <v>77</v>
      </c>
      <c r="B291" t="s">
        <v>39</v>
      </c>
      <c r="C291" t="s">
        <v>40</v>
      </c>
      <c r="D291">
        <v>2012</v>
      </c>
      <c r="E291">
        <v>-1.7542339094107959</v>
      </c>
      <c r="F291">
        <v>-4.1352247921585192</v>
      </c>
      <c r="G291">
        <f t="shared" si="4"/>
        <v>-2.3809908827477235</v>
      </c>
      <c r="H291">
        <v>0.15448284624209199</v>
      </c>
      <c r="I291" t="s">
        <v>80</v>
      </c>
    </row>
    <row r="292" spans="1:9" x14ac:dyDescent="0.35">
      <c r="A292" t="s">
        <v>77</v>
      </c>
      <c r="B292" t="s">
        <v>41</v>
      </c>
      <c r="C292" t="s">
        <v>38</v>
      </c>
      <c r="D292">
        <v>2012</v>
      </c>
      <c r="E292">
        <v>-2.9592221038484801</v>
      </c>
      <c r="F292">
        <v>-4.1352247921585192</v>
      </c>
      <c r="G292">
        <f t="shared" si="4"/>
        <v>-1.1760026883100392</v>
      </c>
      <c r="H292">
        <v>0.15448284624209199</v>
      </c>
      <c r="I292" t="s">
        <v>80</v>
      </c>
    </row>
    <row r="293" spans="1:9" x14ac:dyDescent="0.35">
      <c r="A293" t="s">
        <v>77</v>
      </c>
      <c r="B293" t="s">
        <v>42</v>
      </c>
      <c r="C293" t="s">
        <v>40</v>
      </c>
      <c r="D293">
        <v>2012</v>
      </c>
      <c r="E293">
        <v>-3.2622256936120531</v>
      </c>
      <c r="F293">
        <v>-4.1352247921585192</v>
      </c>
      <c r="G293">
        <f t="shared" si="4"/>
        <v>-0.87299909854646618</v>
      </c>
      <c r="H293">
        <v>0.15448284624209199</v>
      </c>
      <c r="I293" t="s">
        <v>80</v>
      </c>
    </row>
    <row r="294" spans="1:9" x14ac:dyDescent="0.35">
      <c r="A294" t="s">
        <v>36</v>
      </c>
      <c r="B294" t="s">
        <v>41</v>
      </c>
      <c r="C294" t="s">
        <v>38</v>
      </c>
      <c r="D294">
        <v>2013</v>
      </c>
      <c r="E294">
        <v>0.86316182913936945</v>
      </c>
      <c r="F294">
        <v>-0.32817504676766701</v>
      </c>
      <c r="G294">
        <f t="shared" si="4"/>
        <v>-1.1913368759070364</v>
      </c>
      <c r="H294">
        <v>0.14779517232352959</v>
      </c>
      <c r="I294" t="s">
        <v>80</v>
      </c>
    </row>
    <row r="295" spans="1:9" x14ac:dyDescent="0.35">
      <c r="A295" t="s">
        <v>36</v>
      </c>
      <c r="B295" t="s">
        <v>42</v>
      </c>
      <c r="C295" t="s">
        <v>40</v>
      </c>
      <c r="D295">
        <v>2013</v>
      </c>
      <c r="E295">
        <v>1.669657429075766</v>
      </c>
      <c r="F295">
        <v>-0.32817504676766701</v>
      </c>
      <c r="G295">
        <f t="shared" si="4"/>
        <v>-1.9978324758434329</v>
      </c>
      <c r="H295">
        <v>0.14779517232352959</v>
      </c>
      <c r="I295" t="s">
        <v>80</v>
      </c>
    </row>
    <row r="296" spans="1:9" x14ac:dyDescent="0.35">
      <c r="A296" t="s">
        <v>36</v>
      </c>
      <c r="B296" t="s">
        <v>43</v>
      </c>
      <c r="C296" t="s">
        <v>38</v>
      </c>
      <c r="D296">
        <v>2013</v>
      </c>
      <c r="E296">
        <v>0.40906708913857059</v>
      </c>
      <c r="F296">
        <v>-0.32817504676766701</v>
      </c>
      <c r="G296">
        <f t="shared" si="4"/>
        <v>-0.73724213590623755</v>
      </c>
      <c r="H296">
        <v>0.14779517232352959</v>
      </c>
      <c r="I296" t="s">
        <v>80</v>
      </c>
    </row>
    <row r="297" spans="1:9" x14ac:dyDescent="0.35">
      <c r="A297" t="s">
        <v>36</v>
      </c>
      <c r="B297" t="s">
        <v>44</v>
      </c>
      <c r="C297" t="s">
        <v>40</v>
      </c>
      <c r="D297">
        <v>2013</v>
      </c>
      <c r="E297">
        <v>0.5837846269189928</v>
      </c>
      <c r="F297">
        <v>-0.32817504676766701</v>
      </c>
      <c r="G297">
        <f t="shared" si="4"/>
        <v>-0.91195967368665976</v>
      </c>
      <c r="H297">
        <v>0.14779517232352959</v>
      </c>
      <c r="I297" t="s">
        <v>80</v>
      </c>
    </row>
    <row r="298" spans="1:9" x14ac:dyDescent="0.35">
      <c r="A298" t="s">
        <v>74</v>
      </c>
      <c r="B298" t="s">
        <v>41</v>
      </c>
      <c r="C298" t="s">
        <v>38</v>
      </c>
      <c r="D298">
        <v>2013</v>
      </c>
      <c r="E298">
        <v>1.055742969234341</v>
      </c>
      <c r="F298">
        <v>2.260800070139938</v>
      </c>
      <c r="G298">
        <f t="shared" si="4"/>
        <v>1.205057100905597</v>
      </c>
      <c r="H298">
        <v>0.20688592659957639</v>
      </c>
      <c r="I298" t="s">
        <v>80</v>
      </c>
    </row>
    <row r="299" spans="1:9" x14ac:dyDescent="0.35">
      <c r="A299" t="s">
        <v>74</v>
      </c>
      <c r="B299" t="s">
        <v>42</v>
      </c>
      <c r="C299" t="s">
        <v>40</v>
      </c>
      <c r="D299">
        <v>2013</v>
      </c>
      <c r="E299">
        <v>1.9060651556646271</v>
      </c>
      <c r="F299">
        <v>2.260800070139938</v>
      </c>
      <c r="G299">
        <f t="shared" si="4"/>
        <v>0.35473491447531091</v>
      </c>
      <c r="H299">
        <v>0.20688592659957639</v>
      </c>
      <c r="I299" t="s">
        <v>80</v>
      </c>
    </row>
    <row r="300" spans="1:9" x14ac:dyDescent="0.35">
      <c r="A300" t="s">
        <v>74</v>
      </c>
      <c r="B300" t="s">
        <v>43</v>
      </c>
      <c r="C300" t="s">
        <v>38</v>
      </c>
      <c r="D300">
        <v>2013</v>
      </c>
      <c r="E300">
        <v>0.30402131855349351</v>
      </c>
      <c r="F300">
        <v>2.260800070139938</v>
      </c>
      <c r="G300">
        <f t="shared" si="4"/>
        <v>1.9567787515864445</v>
      </c>
      <c r="H300">
        <v>0.20688592659957639</v>
      </c>
      <c r="I300" t="s">
        <v>80</v>
      </c>
    </row>
    <row r="301" spans="1:9" x14ac:dyDescent="0.35">
      <c r="A301" t="s">
        <v>74</v>
      </c>
      <c r="B301" t="s">
        <v>44</v>
      </c>
      <c r="C301" t="s">
        <v>40</v>
      </c>
      <c r="D301">
        <v>2013</v>
      </c>
      <c r="E301">
        <v>1.069987927348115</v>
      </c>
      <c r="F301">
        <v>2.260800070139938</v>
      </c>
      <c r="G301">
        <f t="shared" si="4"/>
        <v>1.190812142791823</v>
      </c>
      <c r="H301">
        <v>0.20688592659957639</v>
      </c>
      <c r="I301" t="s">
        <v>80</v>
      </c>
    </row>
    <row r="302" spans="1:9" x14ac:dyDescent="0.35">
      <c r="A302" t="s">
        <v>76</v>
      </c>
      <c r="B302" t="s">
        <v>41</v>
      </c>
      <c r="C302" t="s">
        <v>38</v>
      </c>
      <c r="D302">
        <v>2013</v>
      </c>
      <c r="E302">
        <v>0.25101306409311958</v>
      </c>
      <c r="F302">
        <v>1.2707283722487859E-2</v>
      </c>
      <c r="G302">
        <f t="shared" si="4"/>
        <v>-0.23830578037063171</v>
      </c>
      <c r="H302">
        <v>0.20925797503467411</v>
      </c>
      <c r="I302" t="s">
        <v>80</v>
      </c>
    </row>
    <row r="303" spans="1:9" x14ac:dyDescent="0.35">
      <c r="A303" t="s">
        <v>76</v>
      </c>
      <c r="B303" t="s">
        <v>42</v>
      </c>
      <c r="C303" t="s">
        <v>40</v>
      </c>
      <c r="D303">
        <v>2013</v>
      </c>
      <c r="E303">
        <v>0.70707026821927865</v>
      </c>
      <c r="F303">
        <v>1.2707283722487859E-2</v>
      </c>
      <c r="G303">
        <f t="shared" si="4"/>
        <v>-0.69436298449679079</v>
      </c>
      <c r="H303">
        <v>0.20925797503467411</v>
      </c>
      <c r="I303" t="s">
        <v>80</v>
      </c>
    </row>
    <row r="304" spans="1:9" x14ac:dyDescent="0.35">
      <c r="A304" t="s">
        <v>76</v>
      </c>
      <c r="B304" t="s">
        <v>43</v>
      </c>
      <c r="C304" t="s">
        <v>38</v>
      </c>
      <c r="D304">
        <v>2013</v>
      </c>
      <c r="E304">
        <v>-0.9800045037945293</v>
      </c>
      <c r="F304">
        <v>1.2707283722487859E-2</v>
      </c>
      <c r="G304">
        <f t="shared" si="4"/>
        <v>0.99271178751701716</v>
      </c>
      <c r="H304">
        <v>0.20925797503467411</v>
      </c>
      <c r="I304" t="s">
        <v>80</v>
      </c>
    </row>
    <row r="305" spans="1:9" x14ac:dyDescent="0.35">
      <c r="A305" t="s">
        <v>76</v>
      </c>
      <c r="B305" t="s">
        <v>44</v>
      </c>
      <c r="C305" t="s">
        <v>40</v>
      </c>
      <c r="D305">
        <v>2013</v>
      </c>
      <c r="E305">
        <v>-0.79000434577850553</v>
      </c>
      <c r="F305">
        <v>1.2707283722487859E-2</v>
      </c>
      <c r="G305">
        <f t="shared" si="4"/>
        <v>0.8027116295009934</v>
      </c>
      <c r="H305">
        <v>0.20925797503467411</v>
      </c>
      <c r="I305" t="s">
        <v>80</v>
      </c>
    </row>
    <row r="306" spans="1:9" x14ac:dyDescent="0.35">
      <c r="A306" t="s">
        <v>77</v>
      </c>
      <c r="B306" t="s">
        <v>41</v>
      </c>
      <c r="C306" t="s">
        <v>38</v>
      </c>
      <c r="D306">
        <v>2013</v>
      </c>
      <c r="E306">
        <v>-0.99451273527885187</v>
      </c>
      <c r="F306">
        <v>-0.98897197690870997</v>
      </c>
      <c r="G306">
        <f t="shared" si="4"/>
        <v>5.5407583701418961E-3</v>
      </c>
      <c r="H306">
        <v>0.15875367403053001</v>
      </c>
      <c r="I306" t="s">
        <v>80</v>
      </c>
    </row>
    <row r="307" spans="1:9" x14ac:dyDescent="0.35">
      <c r="A307" t="s">
        <v>77</v>
      </c>
      <c r="B307" t="s">
        <v>42</v>
      </c>
      <c r="C307" t="s">
        <v>40</v>
      </c>
      <c r="D307">
        <v>2013</v>
      </c>
      <c r="E307">
        <v>0.25474465246075878</v>
      </c>
      <c r="F307">
        <v>-0.98897197690870997</v>
      </c>
      <c r="G307">
        <f t="shared" si="4"/>
        <v>-1.2437166293694688</v>
      </c>
      <c r="H307">
        <v>0.15875367403053001</v>
      </c>
      <c r="I307" t="s">
        <v>80</v>
      </c>
    </row>
    <row r="308" spans="1:9" x14ac:dyDescent="0.35">
      <c r="A308" t="s">
        <v>77</v>
      </c>
      <c r="B308" t="s">
        <v>43</v>
      </c>
      <c r="C308" t="s">
        <v>38</v>
      </c>
      <c r="D308">
        <v>2013</v>
      </c>
      <c r="E308">
        <v>-1.7638843604673491</v>
      </c>
      <c r="F308">
        <v>-0.98897197690870997</v>
      </c>
      <c r="G308">
        <f t="shared" si="4"/>
        <v>0.77491238355863912</v>
      </c>
      <c r="H308">
        <v>0.15875367403053001</v>
      </c>
      <c r="I308" t="s">
        <v>80</v>
      </c>
    </row>
    <row r="309" spans="1:9" x14ac:dyDescent="0.35">
      <c r="A309" t="s">
        <v>77</v>
      </c>
      <c r="B309" t="s">
        <v>44</v>
      </c>
      <c r="C309" t="s">
        <v>40</v>
      </c>
      <c r="D309">
        <v>2013</v>
      </c>
      <c r="E309">
        <v>-2.3430661136081392</v>
      </c>
      <c r="F309">
        <v>-0.98897197690870997</v>
      </c>
      <c r="G309">
        <f t="shared" si="4"/>
        <v>1.3540941366994292</v>
      </c>
      <c r="H309">
        <v>0.15875367403053001</v>
      </c>
      <c r="I309" t="s">
        <v>80</v>
      </c>
    </row>
    <row r="310" spans="1:9" x14ac:dyDescent="0.35">
      <c r="A310" t="s">
        <v>74</v>
      </c>
      <c r="B310" t="s">
        <v>43</v>
      </c>
      <c r="C310" t="s">
        <v>38</v>
      </c>
      <c r="D310">
        <v>2014</v>
      </c>
      <c r="E310">
        <v>1.703044407164489</v>
      </c>
      <c r="F310">
        <v>9.0504209935939262</v>
      </c>
      <c r="G310">
        <f t="shared" si="4"/>
        <v>7.3473765864294371</v>
      </c>
      <c r="H310">
        <v>0.20919179823965831</v>
      </c>
      <c r="I310" t="s">
        <v>80</v>
      </c>
    </row>
    <row r="311" spans="1:9" x14ac:dyDescent="0.35">
      <c r="A311" t="s">
        <v>74</v>
      </c>
      <c r="B311" t="s">
        <v>44</v>
      </c>
      <c r="C311" t="s">
        <v>40</v>
      </c>
      <c r="D311">
        <v>2014</v>
      </c>
      <c r="E311">
        <v>2.1762610607392712</v>
      </c>
      <c r="F311">
        <v>9.0504209935939262</v>
      </c>
      <c r="G311">
        <f t="shared" si="4"/>
        <v>6.8741599328546545</v>
      </c>
      <c r="H311">
        <v>0.20919179823965831</v>
      </c>
      <c r="I311" t="s">
        <v>80</v>
      </c>
    </row>
    <row r="312" spans="1:9" x14ac:dyDescent="0.35">
      <c r="A312" t="s">
        <v>74</v>
      </c>
      <c r="B312" t="s">
        <v>45</v>
      </c>
      <c r="C312" t="s">
        <v>38</v>
      </c>
      <c r="D312">
        <v>2014</v>
      </c>
      <c r="E312">
        <v>4.6151910205822766</v>
      </c>
      <c r="F312">
        <v>9.0504209935939262</v>
      </c>
      <c r="G312">
        <f t="shared" si="4"/>
        <v>4.4352299730116496</v>
      </c>
      <c r="H312">
        <v>0.20919179823965831</v>
      </c>
      <c r="I312" t="s">
        <v>80</v>
      </c>
    </row>
    <row r="313" spans="1:9" x14ac:dyDescent="0.35">
      <c r="A313" t="s">
        <v>74</v>
      </c>
      <c r="B313" t="s">
        <v>46</v>
      </c>
      <c r="C313" t="s">
        <v>40</v>
      </c>
      <c r="D313">
        <v>2014</v>
      </c>
      <c r="E313">
        <v>1.740487538042057</v>
      </c>
      <c r="F313">
        <v>9.0504209935939262</v>
      </c>
      <c r="G313">
        <f t="shared" si="4"/>
        <v>7.3099334555518691</v>
      </c>
      <c r="H313">
        <v>0.20919179823965831</v>
      </c>
      <c r="I313" t="s">
        <v>80</v>
      </c>
    </row>
    <row r="314" spans="1:9" x14ac:dyDescent="0.35">
      <c r="A314" t="s">
        <v>76</v>
      </c>
      <c r="B314" t="s">
        <v>43</v>
      </c>
      <c r="C314" t="s">
        <v>38</v>
      </c>
      <c r="D314">
        <v>2014</v>
      </c>
      <c r="E314">
        <v>0.2460103096358246</v>
      </c>
      <c r="F314">
        <v>1.6013721912486829</v>
      </c>
      <c r="G314">
        <f t="shared" si="4"/>
        <v>1.3553618816128583</v>
      </c>
      <c r="H314">
        <v>0.20401315120496219</v>
      </c>
      <c r="I314" t="s">
        <v>80</v>
      </c>
    </row>
    <row r="315" spans="1:9" x14ac:dyDescent="0.35">
      <c r="A315" t="s">
        <v>76</v>
      </c>
      <c r="B315" t="s">
        <v>44</v>
      </c>
      <c r="C315" t="s">
        <v>40</v>
      </c>
      <c r="D315">
        <v>2014</v>
      </c>
      <c r="E315">
        <v>0.89594425952546075</v>
      </c>
      <c r="F315">
        <v>1.6013721912486829</v>
      </c>
      <c r="G315">
        <f t="shared" si="4"/>
        <v>0.70542793172322216</v>
      </c>
      <c r="H315">
        <v>0.20401315120496219</v>
      </c>
      <c r="I315" t="s">
        <v>80</v>
      </c>
    </row>
    <row r="316" spans="1:9" x14ac:dyDescent="0.35">
      <c r="A316" t="s">
        <v>76</v>
      </c>
      <c r="B316" t="s">
        <v>45</v>
      </c>
      <c r="C316" t="s">
        <v>38</v>
      </c>
      <c r="D316">
        <v>2014</v>
      </c>
      <c r="E316">
        <v>0.87813009513062479</v>
      </c>
      <c r="F316">
        <v>1.6013721912486829</v>
      </c>
      <c r="G316">
        <f t="shared" si="4"/>
        <v>0.72324209611805812</v>
      </c>
      <c r="H316">
        <v>0.20401315120496219</v>
      </c>
      <c r="I316" t="s">
        <v>80</v>
      </c>
    </row>
    <row r="317" spans="1:9" x14ac:dyDescent="0.35">
      <c r="A317" t="s">
        <v>76</v>
      </c>
      <c r="B317" t="s">
        <v>46</v>
      </c>
      <c r="C317" t="s">
        <v>40</v>
      </c>
      <c r="D317">
        <v>2014</v>
      </c>
      <c r="E317">
        <v>1.1634467886850299</v>
      </c>
      <c r="F317">
        <v>1.6013721912486829</v>
      </c>
      <c r="G317">
        <f t="shared" si="4"/>
        <v>0.43792540256365298</v>
      </c>
      <c r="H317">
        <v>0.20401315120496219</v>
      </c>
      <c r="I317" t="s">
        <v>80</v>
      </c>
    </row>
    <row r="318" spans="1:9" x14ac:dyDescent="0.35">
      <c r="A318" t="s">
        <v>77</v>
      </c>
      <c r="B318" t="s">
        <v>43</v>
      </c>
      <c r="C318" t="s">
        <v>38</v>
      </c>
      <c r="D318">
        <v>2014</v>
      </c>
      <c r="E318">
        <v>0.77627138458356004</v>
      </c>
      <c r="F318">
        <v>0.73862541356536338</v>
      </c>
      <c r="G318">
        <f t="shared" si="4"/>
        <v>-3.7645971018196667E-2</v>
      </c>
      <c r="H318">
        <v>0.16205320636764509</v>
      </c>
      <c r="I318" t="s">
        <v>80</v>
      </c>
    </row>
    <row r="319" spans="1:9" x14ac:dyDescent="0.35">
      <c r="A319" t="s">
        <v>77</v>
      </c>
      <c r="B319" t="s">
        <v>44</v>
      </c>
      <c r="C319" t="s">
        <v>40</v>
      </c>
      <c r="D319">
        <v>2014</v>
      </c>
      <c r="E319">
        <v>0.55862666597106259</v>
      </c>
      <c r="F319">
        <v>0.73862541356536338</v>
      </c>
      <c r="G319">
        <f t="shared" si="4"/>
        <v>0.17999874759430079</v>
      </c>
      <c r="H319">
        <v>0.16205320636764509</v>
      </c>
      <c r="I319" t="s">
        <v>80</v>
      </c>
    </row>
    <row r="320" spans="1:9" x14ac:dyDescent="0.35">
      <c r="A320" t="s">
        <v>77</v>
      </c>
      <c r="B320" t="s">
        <v>45</v>
      </c>
      <c r="C320" t="s">
        <v>38</v>
      </c>
      <c r="D320">
        <v>2014</v>
      </c>
      <c r="E320">
        <v>0.93766267530348557</v>
      </c>
      <c r="F320">
        <v>0.73862541356536338</v>
      </c>
      <c r="G320">
        <f t="shared" si="4"/>
        <v>-0.1990372617381222</v>
      </c>
      <c r="H320">
        <v>0.16205320636764509</v>
      </c>
      <c r="I320" t="s">
        <v>80</v>
      </c>
    </row>
    <row r="321" spans="1:9" x14ac:dyDescent="0.35">
      <c r="A321" t="s">
        <v>77</v>
      </c>
      <c r="B321" t="s">
        <v>46</v>
      </c>
      <c r="C321" t="s">
        <v>40</v>
      </c>
      <c r="D321">
        <v>2014</v>
      </c>
      <c r="E321">
        <v>1.244291809650244</v>
      </c>
      <c r="F321">
        <v>0.73862541356536338</v>
      </c>
      <c r="G321">
        <f t="shared" si="4"/>
        <v>-0.50566639608488062</v>
      </c>
      <c r="H321">
        <v>0.16205320636764509</v>
      </c>
      <c r="I321" t="s">
        <v>80</v>
      </c>
    </row>
    <row r="322" spans="1:9" x14ac:dyDescent="0.35">
      <c r="A322" t="s">
        <v>36</v>
      </c>
      <c r="B322" t="s">
        <v>45</v>
      </c>
      <c r="C322" t="s">
        <v>38</v>
      </c>
      <c r="D322">
        <v>2015</v>
      </c>
      <c r="E322">
        <v>1.23399360343428</v>
      </c>
      <c r="F322">
        <v>1.2553290281528069</v>
      </c>
      <c r="G322">
        <f t="shared" ref="G322:G385" si="5">IF(OR(F322="",E322=""),"",F322-E322)</f>
        <v>2.1335424718526896E-2</v>
      </c>
      <c r="H322">
        <v>0.1551594480824991</v>
      </c>
      <c r="I322" t="s">
        <v>80</v>
      </c>
    </row>
    <row r="323" spans="1:9" x14ac:dyDescent="0.35">
      <c r="A323" t="s">
        <v>36</v>
      </c>
      <c r="B323" t="s">
        <v>46</v>
      </c>
      <c r="C323" t="s">
        <v>40</v>
      </c>
      <c r="D323">
        <v>2015</v>
      </c>
      <c r="E323">
        <v>1.8494694742448909</v>
      </c>
      <c r="F323">
        <v>1.2553290281528069</v>
      </c>
      <c r="G323">
        <f t="shared" si="5"/>
        <v>-0.59414044609208405</v>
      </c>
      <c r="H323">
        <v>0.1551594480824991</v>
      </c>
      <c r="I323" t="s">
        <v>80</v>
      </c>
    </row>
    <row r="324" spans="1:9" x14ac:dyDescent="0.35">
      <c r="A324" t="s">
        <v>36</v>
      </c>
      <c r="B324" t="s">
        <v>47</v>
      </c>
      <c r="C324" t="s">
        <v>38</v>
      </c>
      <c r="D324">
        <v>2015</v>
      </c>
      <c r="E324">
        <v>0.59754498836805947</v>
      </c>
      <c r="F324">
        <v>1.2553290281528069</v>
      </c>
      <c r="G324">
        <f t="shared" si="5"/>
        <v>0.65778403978474742</v>
      </c>
      <c r="H324">
        <v>0.1551594480824991</v>
      </c>
      <c r="I324" t="s">
        <v>80</v>
      </c>
    </row>
    <row r="325" spans="1:9" x14ac:dyDescent="0.35">
      <c r="A325" t="s">
        <v>36</v>
      </c>
      <c r="B325" t="s">
        <v>48</v>
      </c>
      <c r="C325" t="s">
        <v>40</v>
      </c>
      <c r="D325">
        <v>2015</v>
      </c>
      <c r="E325">
        <v>0.79966080907698522</v>
      </c>
      <c r="F325">
        <v>1.2553290281528069</v>
      </c>
      <c r="G325">
        <f t="shared" si="5"/>
        <v>0.45566821907582167</v>
      </c>
      <c r="H325">
        <v>0.1551594480824991</v>
      </c>
      <c r="I325" t="s">
        <v>80</v>
      </c>
    </row>
    <row r="326" spans="1:9" x14ac:dyDescent="0.35">
      <c r="A326" t="s">
        <v>69</v>
      </c>
      <c r="B326" t="s">
        <v>45</v>
      </c>
      <c r="C326" t="s">
        <v>38</v>
      </c>
      <c r="D326">
        <v>2015</v>
      </c>
      <c r="E326">
        <v>1.7298208953237191</v>
      </c>
      <c r="F326">
        <v>3.980574024380553</v>
      </c>
      <c r="G326">
        <f t="shared" si="5"/>
        <v>2.2507531290568341</v>
      </c>
      <c r="H326">
        <v>0.15730156336399739</v>
      </c>
      <c r="I326" t="s">
        <v>80</v>
      </c>
    </row>
    <row r="327" spans="1:9" x14ac:dyDescent="0.35">
      <c r="A327" t="s">
        <v>69</v>
      </c>
      <c r="B327" t="s">
        <v>46</v>
      </c>
      <c r="C327" t="s">
        <v>40</v>
      </c>
      <c r="D327">
        <v>2015</v>
      </c>
      <c r="E327">
        <v>2.0578550096999941</v>
      </c>
      <c r="F327">
        <v>3.980574024380553</v>
      </c>
      <c r="G327">
        <f t="shared" si="5"/>
        <v>1.9227190146805588</v>
      </c>
      <c r="H327">
        <v>0.15730156336399739</v>
      </c>
      <c r="I327" t="s">
        <v>80</v>
      </c>
    </row>
    <row r="328" spans="1:9" x14ac:dyDescent="0.35">
      <c r="A328" t="s">
        <v>69</v>
      </c>
      <c r="B328" t="s">
        <v>47</v>
      </c>
      <c r="C328" t="s">
        <v>38</v>
      </c>
      <c r="D328">
        <v>2015</v>
      </c>
      <c r="E328">
        <v>3.1330217546616361</v>
      </c>
      <c r="F328">
        <v>3.980574024380553</v>
      </c>
      <c r="G328">
        <f t="shared" si="5"/>
        <v>0.84755226971891684</v>
      </c>
      <c r="H328">
        <v>0.15730156336399739</v>
      </c>
      <c r="I328" t="s">
        <v>80</v>
      </c>
    </row>
    <row r="329" spans="1:9" x14ac:dyDescent="0.35">
      <c r="A329" t="s">
        <v>69</v>
      </c>
      <c r="B329" t="s">
        <v>48</v>
      </c>
      <c r="C329" t="s">
        <v>40</v>
      </c>
      <c r="D329">
        <v>2015</v>
      </c>
      <c r="E329">
        <v>2.8163023499567119</v>
      </c>
      <c r="F329">
        <v>3.980574024380553</v>
      </c>
      <c r="G329">
        <f t="shared" si="5"/>
        <v>1.1642716744238411</v>
      </c>
      <c r="H329">
        <v>0.15730156336399739</v>
      </c>
      <c r="I329" t="s">
        <v>80</v>
      </c>
    </row>
    <row r="330" spans="1:9" x14ac:dyDescent="0.35">
      <c r="A330" t="s">
        <v>74</v>
      </c>
      <c r="B330" t="s">
        <v>45</v>
      </c>
      <c r="C330" t="s">
        <v>38</v>
      </c>
      <c r="D330">
        <v>2015</v>
      </c>
      <c r="E330">
        <v>3.6221665910883831</v>
      </c>
      <c r="F330">
        <v>21.950744654507421</v>
      </c>
      <c r="G330">
        <f t="shared" si="5"/>
        <v>18.328578063419037</v>
      </c>
      <c r="H330">
        <v>0.19049801405438441</v>
      </c>
      <c r="I330" t="s">
        <v>80</v>
      </c>
    </row>
    <row r="331" spans="1:9" x14ac:dyDescent="0.35">
      <c r="A331" t="s">
        <v>74</v>
      </c>
      <c r="B331" t="s">
        <v>46</v>
      </c>
      <c r="C331" t="s">
        <v>40</v>
      </c>
      <c r="D331">
        <v>2015</v>
      </c>
      <c r="E331">
        <v>2.99572233370986</v>
      </c>
      <c r="F331">
        <v>21.950744654507421</v>
      </c>
      <c r="G331">
        <f t="shared" si="5"/>
        <v>18.955022320797561</v>
      </c>
      <c r="H331">
        <v>0.19049801405438441</v>
      </c>
      <c r="I331" t="s">
        <v>80</v>
      </c>
    </row>
    <row r="332" spans="1:9" x14ac:dyDescent="0.35">
      <c r="A332" t="s">
        <v>74</v>
      </c>
      <c r="B332" t="s">
        <v>47</v>
      </c>
      <c r="C332" t="s">
        <v>38</v>
      </c>
      <c r="D332">
        <v>2015</v>
      </c>
      <c r="E332">
        <v>6.0449344943167782</v>
      </c>
      <c r="F332">
        <v>21.950744654507421</v>
      </c>
      <c r="G332">
        <f t="shared" si="5"/>
        <v>15.905810160190644</v>
      </c>
      <c r="H332">
        <v>0.19049801405438441</v>
      </c>
      <c r="I332" t="s">
        <v>80</v>
      </c>
    </row>
    <row r="333" spans="1:9" x14ac:dyDescent="0.35">
      <c r="A333" t="s">
        <v>74</v>
      </c>
      <c r="B333" t="s">
        <v>48</v>
      </c>
      <c r="C333" t="s">
        <v>40</v>
      </c>
      <c r="D333">
        <v>2015</v>
      </c>
      <c r="E333">
        <v>3.6070418929936339</v>
      </c>
      <c r="F333">
        <v>21.950744654507421</v>
      </c>
      <c r="G333">
        <f t="shared" si="5"/>
        <v>18.343702761513786</v>
      </c>
      <c r="H333">
        <v>0.19049801405438441</v>
      </c>
      <c r="I333" t="s">
        <v>80</v>
      </c>
    </row>
    <row r="334" spans="1:9" x14ac:dyDescent="0.35">
      <c r="A334" t="s">
        <v>75</v>
      </c>
      <c r="B334" t="s">
        <v>45</v>
      </c>
      <c r="C334" t="s">
        <v>38</v>
      </c>
      <c r="D334">
        <v>2015</v>
      </c>
      <c r="E334">
        <v>0.62872973894907425</v>
      </c>
      <c r="F334">
        <v>0.74285153390220071</v>
      </c>
      <c r="G334">
        <f t="shared" si="5"/>
        <v>0.11412179495312647</v>
      </c>
      <c r="H334">
        <v>0.14846969286853959</v>
      </c>
      <c r="I334" t="s">
        <v>80</v>
      </c>
    </row>
    <row r="335" spans="1:9" x14ac:dyDescent="0.35">
      <c r="A335" t="s">
        <v>75</v>
      </c>
      <c r="B335" t="s">
        <v>46</v>
      </c>
      <c r="C335" t="s">
        <v>40</v>
      </c>
      <c r="D335">
        <v>2015</v>
      </c>
      <c r="E335">
        <v>1.229987574853153</v>
      </c>
      <c r="F335">
        <v>0.74285153390220071</v>
      </c>
      <c r="G335">
        <f t="shared" si="5"/>
        <v>-0.48713604095095231</v>
      </c>
      <c r="H335">
        <v>0.14846969286853959</v>
      </c>
      <c r="I335" t="s">
        <v>80</v>
      </c>
    </row>
    <row r="336" spans="1:9" x14ac:dyDescent="0.35">
      <c r="A336" t="s">
        <v>75</v>
      </c>
      <c r="B336" t="s">
        <v>47</v>
      </c>
      <c r="C336" t="s">
        <v>38</v>
      </c>
      <c r="D336">
        <v>2015</v>
      </c>
      <c r="E336">
        <v>0.86665350989461043</v>
      </c>
      <c r="F336">
        <v>0.74285153390220071</v>
      </c>
      <c r="G336">
        <f t="shared" si="5"/>
        <v>-0.12380197599240972</v>
      </c>
      <c r="H336">
        <v>0.14846969286853959</v>
      </c>
      <c r="I336" t="s">
        <v>80</v>
      </c>
    </row>
    <row r="337" spans="1:9" x14ac:dyDescent="0.35">
      <c r="A337" t="s">
        <v>75</v>
      </c>
      <c r="B337" t="s">
        <v>48</v>
      </c>
      <c r="C337" t="s">
        <v>40</v>
      </c>
      <c r="D337">
        <v>2015</v>
      </c>
      <c r="E337">
        <v>0.6068597463795955</v>
      </c>
      <c r="F337">
        <v>0.74285153390220071</v>
      </c>
      <c r="G337">
        <f t="shared" si="5"/>
        <v>0.13599178752260521</v>
      </c>
      <c r="H337">
        <v>0.14846969286853959</v>
      </c>
      <c r="I337" t="s">
        <v>80</v>
      </c>
    </row>
    <row r="338" spans="1:9" x14ac:dyDescent="0.35">
      <c r="A338" t="s">
        <v>76</v>
      </c>
      <c r="B338" t="s">
        <v>45</v>
      </c>
      <c r="C338" t="s">
        <v>38</v>
      </c>
      <c r="D338">
        <v>2015</v>
      </c>
      <c r="E338">
        <v>1.4152411951803721</v>
      </c>
      <c r="F338">
        <v>2.075992985655045</v>
      </c>
      <c r="G338">
        <f t="shared" si="5"/>
        <v>0.66075179047467292</v>
      </c>
      <c r="H338">
        <v>0.19984521342183281</v>
      </c>
      <c r="I338" t="s">
        <v>80</v>
      </c>
    </row>
    <row r="339" spans="1:9" x14ac:dyDescent="0.35">
      <c r="A339" t="s">
        <v>76</v>
      </c>
      <c r="B339" t="s">
        <v>46</v>
      </c>
      <c r="C339" t="s">
        <v>40</v>
      </c>
      <c r="D339">
        <v>2015</v>
      </c>
      <c r="E339">
        <v>1.3587126188379759</v>
      </c>
      <c r="F339">
        <v>2.075992985655045</v>
      </c>
      <c r="G339">
        <f t="shared" si="5"/>
        <v>0.71728036681706908</v>
      </c>
      <c r="H339">
        <v>0.19984521342183281</v>
      </c>
      <c r="I339" t="s">
        <v>80</v>
      </c>
    </row>
    <row r="340" spans="1:9" x14ac:dyDescent="0.35">
      <c r="A340" t="s">
        <v>76</v>
      </c>
      <c r="B340" t="s">
        <v>47</v>
      </c>
      <c r="C340" t="s">
        <v>38</v>
      </c>
      <c r="D340">
        <v>2015</v>
      </c>
      <c r="E340">
        <v>2.048080115775686</v>
      </c>
      <c r="F340">
        <v>2.075992985655045</v>
      </c>
      <c r="G340">
        <f t="shared" si="5"/>
        <v>2.7912869879358926E-2</v>
      </c>
      <c r="H340">
        <v>0.19984521342183281</v>
      </c>
      <c r="I340" t="s">
        <v>80</v>
      </c>
    </row>
    <row r="341" spans="1:9" x14ac:dyDescent="0.35">
      <c r="A341" t="s">
        <v>76</v>
      </c>
      <c r="B341" t="s">
        <v>48</v>
      </c>
      <c r="C341" t="s">
        <v>40</v>
      </c>
      <c r="D341">
        <v>2015</v>
      </c>
      <c r="E341">
        <v>1.634744403265187</v>
      </c>
      <c r="F341">
        <v>2.075992985655045</v>
      </c>
      <c r="G341">
        <f t="shared" si="5"/>
        <v>0.44124858238985798</v>
      </c>
      <c r="H341">
        <v>0.19984521342183281</v>
      </c>
      <c r="I341" t="s">
        <v>80</v>
      </c>
    </row>
    <row r="342" spans="1:9" x14ac:dyDescent="0.35">
      <c r="A342" t="s">
        <v>77</v>
      </c>
      <c r="B342" t="s">
        <v>45</v>
      </c>
      <c r="C342" t="s">
        <v>38</v>
      </c>
      <c r="D342">
        <v>2015</v>
      </c>
      <c r="E342">
        <v>1.29819266835165</v>
      </c>
      <c r="F342">
        <v>1.5772755552952269</v>
      </c>
      <c r="G342">
        <f t="shared" si="5"/>
        <v>0.27908288694357686</v>
      </c>
      <c r="H342">
        <v>0.15554637618713571</v>
      </c>
      <c r="I342" t="s">
        <v>80</v>
      </c>
    </row>
    <row r="343" spans="1:9" x14ac:dyDescent="0.35">
      <c r="A343" t="s">
        <v>77</v>
      </c>
      <c r="B343" t="s">
        <v>46</v>
      </c>
      <c r="C343" t="s">
        <v>40</v>
      </c>
      <c r="D343">
        <v>2015</v>
      </c>
      <c r="E343">
        <v>1.4931874273763861</v>
      </c>
      <c r="F343">
        <v>1.5772755552952269</v>
      </c>
      <c r="G343">
        <f t="shared" si="5"/>
        <v>8.4088127918840794E-2</v>
      </c>
      <c r="H343">
        <v>0.15554637618713571</v>
      </c>
      <c r="I343" t="s">
        <v>80</v>
      </c>
    </row>
    <row r="344" spans="1:9" x14ac:dyDescent="0.35">
      <c r="A344" t="s">
        <v>77</v>
      </c>
      <c r="B344" t="s">
        <v>47</v>
      </c>
      <c r="C344" t="s">
        <v>38</v>
      </c>
      <c r="D344">
        <v>2015</v>
      </c>
      <c r="E344">
        <v>1.741329419958926</v>
      </c>
      <c r="F344">
        <v>1.5772755552952269</v>
      </c>
      <c r="G344">
        <f t="shared" si="5"/>
        <v>-0.16405386466369909</v>
      </c>
      <c r="H344">
        <v>0.15554637618713571</v>
      </c>
      <c r="I344" t="s">
        <v>80</v>
      </c>
    </row>
    <row r="345" spans="1:9" x14ac:dyDescent="0.35">
      <c r="A345" t="s">
        <v>77</v>
      </c>
      <c r="B345" t="s">
        <v>48</v>
      </c>
      <c r="C345" t="s">
        <v>40</v>
      </c>
      <c r="D345">
        <v>2015</v>
      </c>
      <c r="E345">
        <v>1.6418853965775471</v>
      </c>
      <c r="F345">
        <v>1.5772755552952269</v>
      </c>
      <c r="G345">
        <f t="shared" si="5"/>
        <v>-6.4609841282320168E-2</v>
      </c>
      <c r="H345">
        <v>0.15554637618713571</v>
      </c>
      <c r="I345" t="s">
        <v>80</v>
      </c>
    </row>
    <row r="346" spans="1:9" x14ac:dyDescent="0.35">
      <c r="A346" t="s">
        <v>36</v>
      </c>
      <c r="B346" t="s">
        <v>47</v>
      </c>
      <c r="C346" t="s">
        <v>38</v>
      </c>
      <c r="D346">
        <v>2016</v>
      </c>
      <c r="E346">
        <v>1.4571009650163671</v>
      </c>
      <c r="F346">
        <v>2.1495386728737769</v>
      </c>
      <c r="G346">
        <f t="shared" si="5"/>
        <v>0.69243770785740977</v>
      </c>
      <c r="H346">
        <v>0.15546366398225389</v>
      </c>
      <c r="I346" t="s">
        <v>80</v>
      </c>
    </row>
    <row r="347" spans="1:9" x14ac:dyDescent="0.35">
      <c r="A347" t="s">
        <v>36</v>
      </c>
      <c r="B347" t="s">
        <v>48</v>
      </c>
      <c r="C347" t="s">
        <v>40</v>
      </c>
      <c r="D347">
        <v>2016</v>
      </c>
      <c r="E347">
        <v>1.4528661212303451</v>
      </c>
      <c r="F347">
        <v>2.1495386728737769</v>
      </c>
      <c r="G347">
        <f t="shared" si="5"/>
        <v>0.69667255164343178</v>
      </c>
      <c r="H347">
        <v>0.15546366398225389</v>
      </c>
      <c r="I347" t="s">
        <v>80</v>
      </c>
    </row>
    <row r="348" spans="1:9" x14ac:dyDescent="0.35">
      <c r="A348" t="s">
        <v>36</v>
      </c>
      <c r="B348" t="s">
        <v>49</v>
      </c>
      <c r="C348" t="s">
        <v>38</v>
      </c>
      <c r="D348">
        <v>2016</v>
      </c>
      <c r="E348">
        <v>1.493056987075114</v>
      </c>
      <c r="F348">
        <v>2.1495386728737769</v>
      </c>
      <c r="G348">
        <f t="shared" si="5"/>
        <v>0.65648168579866284</v>
      </c>
      <c r="H348">
        <v>0.15546366398225389</v>
      </c>
      <c r="I348" t="s">
        <v>80</v>
      </c>
    </row>
    <row r="349" spans="1:9" x14ac:dyDescent="0.35">
      <c r="A349" t="s">
        <v>36</v>
      </c>
      <c r="B349" t="s">
        <v>50</v>
      </c>
      <c r="C349" t="s">
        <v>40</v>
      </c>
      <c r="D349">
        <v>2016</v>
      </c>
      <c r="E349">
        <v>1.4756673621598939</v>
      </c>
      <c r="F349">
        <v>2.1495386728737769</v>
      </c>
      <c r="G349">
        <f t="shared" si="5"/>
        <v>0.67387131071388295</v>
      </c>
      <c r="H349">
        <v>0.15546366398225389</v>
      </c>
      <c r="I349" t="s">
        <v>80</v>
      </c>
    </row>
    <row r="350" spans="1:9" x14ac:dyDescent="0.35">
      <c r="A350" t="s">
        <v>69</v>
      </c>
      <c r="B350" t="s">
        <v>47</v>
      </c>
      <c r="C350" t="s">
        <v>38</v>
      </c>
      <c r="D350">
        <v>2016</v>
      </c>
      <c r="E350">
        <v>2.6664587847684769</v>
      </c>
      <c r="F350">
        <v>2.8733724111720398</v>
      </c>
      <c r="G350">
        <f t="shared" si="5"/>
        <v>0.20691362640356292</v>
      </c>
      <c r="H350">
        <v>0.15809620778610481</v>
      </c>
      <c r="I350" t="s">
        <v>80</v>
      </c>
    </row>
    <row r="351" spans="1:9" x14ac:dyDescent="0.35">
      <c r="A351" t="s">
        <v>69</v>
      </c>
      <c r="B351" t="s">
        <v>48</v>
      </c>
      <c r="C351" t="s">
        <v>40</v>
      </c>
      <c r="D351">
        <v>2016</v>
      </c>
      <c r="E351">
        <v>2.5804277166284968</v>
      </c>
      <c r="F351">
        <v>2.8733724111720398</v>
      </c>
      <c r="G351">
        <f t="shared" si="5"/>
        <v>0.29294469454354299</v>
      </c>
      <c r="H351">
        <v>0.15809620778610481</v>
      </c>
      <c r="I351" t="s">
        <v>80</v>
      </c>
    </row>
    <row r="352" spans="1:9" x14ac:dyDescent="0.35">
      <c r="A352" t="s">
        <v>69</v>
      </c>
      <c r="B352" t="s">
        <v>49</v>
      </c>
      <c r="C352" t="s">
        <v>38</v>
      </c>
      <c r="D352">
        <v>2016</v>
      </c>
      <c r="E352">
        <v>3.1977481622379229</v>
      </c>
      <c r="F352">
        <v>2.8733724111720398</v>
      </c>
      <c r="G352">
        <f t="shared" si="5"/>
        <v>-0.32437575106588312</v>
      </c>
      <c r="H352">
        <v>0.15809620778610481</v>
      </c>
      <c r="I352" t="s">
        <v>80</v>
      </c>
    </row>
    <row r="353" spans="1:9" x14ac:dyDescent="0.35">
      <c r="A353" t="s">
        <v>69</v>
      </c>
      <c r="B353" t="s">
        <v>50</v>
      </c>
      <c r="C353" t="s">
        <v>40</v>
      </c>
      <c r="D353">
        <v>2016</v>
      </c>
      <c r="E353">
        <v>2.5934687983342641</v>
      </c>
      <c r="F353">
        <v>2.8733724111720398</v>
      </c>
      <c r="G353">
        <f t="shared" si="5"/>
        <v>0.27990361283777565</v>
      </c>
      <c r="H353">
        <v>0.15809620778610481</v>
      </c>
      <c r="I353" t="s">
        <v>80</v>
      </c>
    </row>
    <row r="354" spans="1:9" x14ac:dyDescent="0.35">
      <c r="A354" t="s">
        <v>74</v>
      </c>
      <c r="B354" t="s">
        <v>47</v>
      </c>
      <c r="C354" t="s">
        <v>38</v>
      </c>
      <c r="D354">
        <v>2016</v>
      </c>
      <c r="E354">
        <v>4.4841243342324866</v>
      </c>
      <c r="F354">
        <v>1.1725462785856491</v>
      </c>
      <c r="G354">
        <f t="shared" si="5"/>
        <v>-3.3115780556468373</v>
      </c>
      <c r="H354">
        <v>0.1566974843662681</v>
      </c>
      <c r="I354" t="s">
        <v>80</v>
      </c>
    </row>
    <row r="355" spans="1:9" x14ac:dyDescent="0.35">
      <c r="A355" t="s">
        <v>74</v>
      </c>
      <c r="B355" t="s">
        <v>48</v>
      </c>
      <c r="C355" t="s">
        <v>40</v>
      </c>
      <c r="D355">
        <v>2016</v>
      </c>
      <c r="E355">
        <v>3.4764574668220138</v>
      </c>
      <c r="F355">
        <v>1.1725462785856491</v>
      </c>
      <c r="G355">
        <f t="shared" si="5"/>
        <v>-2.3039111882363645</v>
      </c>
      <c r="H355">
        <v>0.1566974843662681</v>
      </c>
      <c r="I355" t="s">
        <v>80</v>
      </c>
    </row>
    <row r="356" spans="1:9" x14ac:dyDescent="0.35">
      <c r="A356" t="s">
        <v>74</v>
      </c>
      <c r="B356" t="s">
        <v>49</v>
      </c>
      <c r="C356" t="s">
        <v>38</v>
      </c>
      <c r="D356">
        <v>2016</v>
      </c>
      <c r="E356">
        <v>4.0884411162628984</v>
      </c>
      <c r="F356">
        <v>1.1725462785856491</v>
      </c>
      <c r="G356">
        <f t="shared" si="5"/>
        <v>-2.9158948376772491</v>
      </c>
      <c r="H356">
        <v>0.1566974843662681</v>
      </c>
      <c r="I356" t="s">
        <v>80</v>
      </c>
    </row>
    <row r="357" spans="1:9" x14ac:dyDescent="0.35">
      <c r="A357" t="s">
        <v>74</v>
      </c>
      <c r="B357" t="s">
        <v>50</v>
      </c>
      <c r="C357" t="s">
        <v>40</v>
      </c>
      <c r="D357">
        <v>2016</v>
      </c>
      <c r="E357">
        <v>4.8687098071762858</v>
      </c>
      <c r="F357">
        <v>1.1725462785856491</v>
      </c>
      <c r="G357">
        <f t="shared" si="5"/>
        <v>-3.6961635285906365</v>
      </c>
      <c r="H357">
        <v>0.1566974843662681</v>
      </c>
      <c r="I357" t="s">
        <v>80</v>
      </c>
    </row>
    <row r="358" spans="1:9" x14ac:dyDescent="0.35">
      <c r="A358" t="s">
        <v>75</v>
      </c>
      <c r="B358" t="s">
        <v>47</v>
      </c>
      <c r="C358" t="s">
        <v>38</v>
      </c>
      <c r="D358">
        <v>2016</v>
      </c>
      <c r="E358">
        <v>1.4512761867371271</v>
      </c>
      <c r="F358">
        <v>1.34543552139666</v>
      </c>
      <c r="G358">
        <f t="shared" si="5"/>
        <v>-0.1058406653404671</v>
      </c>
      <c r="H358">
        <v>0.150135604120086</v>
      </c>
      <c r="I358" t="s">
        <v>80</v>
      </c>
    </row>
    <row r="359" spans="1:9" x14ac:dyDescent="0.35">
      <c r="A359" t="s">
        <v>75</v>
      </c>
      <c r="B359" t="s">
        <v>48</v>
      </c>
      <c r="C359" t="s">
        <v>40</v>
      </c>
      <c r="D359">
        <v>2016</v>
      </c>
      <c r="E359">
        <v>1.4109778499366681</v>
      </c>
      <c r="F359">
        <v>1.34543552139666</v>
      </c>
      <c r="G359">
        <f t="shared" si="5"/>
        <v>-6.5542328540008077E-2</v>
      </c>
      <c r="H359">
        <v>0.150135604120086</v>
      </c>
      <c r="I359" t="s">
        <v>80</v>
      </c>
    </row>
    <row r="360" spans="1:9" x14ac:dyDescent="0.35">
      <c r="A360" t="s">
        <v>75</v>
      </c>
      <c r="B360" t="s">
        <v>49</v>
      </c>
      <c r="C360" t="s">
        <v>38</v>
      </c>
      <c r="D360">
        <v>2016</v>
      </c>
      <c r="E360">
        <v>0.70784283945437565</v>
      </c>
      <c r="F360">
        <v>1.34543552139666</v>
      </c>
      <c r="G360">
        <f t="shared" si="5"/>
        <v>0.63759268194228436</v>
      </c>
      <c r="H360">
        <v>0.150135604120086</v>
      </c>
      <c r="I360" t="s">
        <v>80</v>
      </c>
    </row>
    <row r="361" spans="1:9" x14ac:dyDescent="0.35">
      <c r="A361" t="s">
        <v>75</v>
      </c>
      <c r="B361" t="s">
        <v>50</v>
      </c>
      <c r="C361" t="s">
        <v>40</v>
      </c>
      <c r="D361">
        <v>2016</v>
      </c>
      <c r="E361">
        <v>1.090462780977397</v>
      </c>
      <c r="F361">
        <v>1.34543552139666</v>
      </c>
      <c r="G361">
        <f t="shared" si="5"/>
        <v>0.25497274041926299</v>
      </c>
      <c r="H361">
        <v>0.150135604120086</v>
      </c>
      <c r="I361" t="s">
        <v>80</v>
      </c>
    </row>
    <row r="362" spans="1:9" x14ac:dyDescent="0.35">
      <c r="A362" t="s">
        <v>76</v>
      </c>
      <c r="B362" t="s">
        <v>47</v>
      </c>
      <c r="C362" t="s">
        <v>38</v>
      </c>
      <c r="D362">
        <v>2016</v>
      </c>
      <c r="E362">
        <v>2.1325986777734669</v>
      </c>
      <c r="F362">
        <v>2.3909782656438301</v>
      </c>
      <c r="G362">
        <f t="shared" si="5"/>
        <v>0.25837958787036319</v>
      </c>
      <c r="H362">
        <v>0.19060538891127871</v>
      </c>
      <c r="I362" t="s">
        <v>80</v>
      </c>
    </row>
    <row r="363" spans="1:9" x14ac:dyDescent="0.35">
      <c r="A363" t="s">
        <v>76</v>
      </c>
      <c r="B363" t="s">
        <v>48</v>
      </c>
      <c r="C363" t="s">
        <v>40</v>
      </c>
      <c r="D363">
        <v>2016</v>
      </c>
      <c r="E363">
        <v>1.7327119888610909</v>
      </c>
      <c r="F363">
        <v>2.3909782656438301</v>
      </c>
      <c r="G363">
        <f t="shared" si="5"/>
        <v>0.65826627678273919</v>
      </c>
      <c r="H363">
        <v>0.19060538891127871</v>
      </c>
      <c r="I363" t="s">
        <v>80</v>
      </c>
    </row>
    <row r="364" spans="1:9" x14ac:dyDescent="0.35">
      <c r="A364" t="s">
        <v>76</v>
      </c>
      <c r="B364" t="s">
        <v>49</v>
      </c>
      <c r="C364" t="s">
        <v>38</v>
      </c>
      <c r="D364">
        <v>2016</v>
      </c>
      <c r="E364">
        <v>1.6589744219452249</v>
      </c>
      <c r="F364">
        <v>2.3909782656438301</v>
      </c>
      <c r="G364">
        <f t="shared" si="5"/>
        <v>0.73200384369860516</v>
      </c>
      <c r="H364">
        <v>0.19060538891127871</v>
      </c>
      <c r="I364" t="s">
        <v>80</v>
      </c>
    </row>
    <row r="365" spans="1:9" x14ac:dyDescent="0.35">
      <c r="A365" t="s">
        <v>76</v>
      </c>
      <c r="B365" t="s">
        <v>50</v>
      </c>
      <c r="C365" t="s">
        <v>40</v>
      </c>
      <c r="D365">
        <v>2016</v>
      </c>
      <c r="E365">
        <v>1.6774792555238389</v>
      </c>
      <c r="F365">
        <v>2.3909782656438301</v>
      </c>
      <c r="G365">
        <f t="shared" si="5"/>
        <v>0.71349901011999117</v>
      </c>
      <c r="H365">
        <v>0.19060538891127871</v>
      </c>
      <c r="I365" t="s">
        <v>80</v>
      </c>
    </row>
    <row r="366" spans="1:9" x14ac:dyDescent="0.35">
      <c r="A366" t="s">
        <v>36</v>
      </c>
      <c r="B366" t="s">
        <v>49</v>
      </c>
      <c r="C366" t="s">
        <v>38</v>
      </c>
      <c r="D366">
        <v>2017</v>
      </c>
      <c r="E366">
        <v>1.5818491497620271</v>
      </c>
      <c r="F366">
        <v>2.3680132788277781</v>
      </c>
      <c r="G366">
        <f t="shared" si="5"/>
        <v>0.78616412906575106</v>
      </c>
      <c r="H366">
        <v>0.1514119442963342</v>
      </c>
      <c r="I366" t="s">
        <v>80</v>
      </c>
    </row>
    <row r="367" spans="1:9" x14ac:dyDescent="0.35">
      <c r="A367" t="s">
        <v>36</v>
      </c>
      <c r="B367" t="s">
        <v>50</v>
      </c>
      <c r="C367" t="s">
        <v>40</v>
      </c>
      <c r="D367">
        <v>2017</v>
      </c>
      <c r="E367">
        <v>1.626978361111475</v>
      </c>
      <c r="F367">
        <v>2.3680132788277781</v>
      </c>
      <c r="G367">
        <f t="shared" si="5"/>
        <v>0.74103491771630314</v>
      </c>
      <c r="H367">
        <v>0.1514119442963342</v>
      </c>
      <c r="I367" t="s">
        <v>80</v>
      </c>
    </row>
    <row r="368" spans="1:9" x14ac:dyDescent="0.35">
      <c r="A368" t="s">
        <v>36</v>
      </c>
      <c r="B368" t="s">
        <v>51</v>
      </c>
      <c r="C368" t="s">
        <v>38</v>
      </c>
      <c r="D368">
        <v>2017</v>
      </c>
      <c r="E368">
        <v>2.5716586567718469</v>
      </c>
      <c r="F368">
        <v>2.3680132788277781</v>
      </c>
      <c r="G368">
        <f t="shared" si="5"/>
        <v>-0.20364537794406878</v>
      </c>
      <c r="H368">
        <v>0.1514119442963342</v>
      </c>
      <c r="I368" t="s">
        <v>80</v>
      </c>
    </row>
    <row r="369" spans="1:9" x14ac:dyDescent="0.35">
      <c r="A369" t="s">
        <v>36</v>
      </c>
      <c r="B369" t="s">
        <v>52</v>
      </c>
      <c r="C369" t="s">
        <v>40</v>
      </c>
      <c r="D369">
        <v>2017</v>
      </c>
      <c r="E369">
        <v>1.728692467241477</v>
      </c>
      <c r="F369">
        <v>2.3680132788277781</v>
      </c>
      <c r="G369">
        <f t="shared" si="5"/>
        <v>0.63932081158630116</v>
      </c>
      <c r="H369">
        <v>0.1514119442963342</v>
      </c>
      <c r="I369" t="s">
        <v>80</v>
      </c>
    </row>
    <row r="370" spans="1:9" x14ac:dyDescent="0.35">
      <c r="A370" t="s">
        <v>69</v>
      </c>
      <c r="B370" t="s">
        <v>49</v>
      </c>
      <c r="C370" t="s">
        <v>38</v>
      </c>
      <c r="D370">
        <v>2017</v>
      </c>
      <c r="E370">
        <v>2.255443360388365</v>
      </c>
      <c r="F370">
        <v>2.855001546118654</v>
      </c>
      <c r="G370">
        <f t="shared" si="5"/>
        <v>0.59955818573028896</v>
      </c>
      <c r="H370">
        <v>0.1502122446396362</v>
      </c>
      <c r="I370" t="s">
        <v>80</v>
      </c>
    </row>
    <row r="371" spans="1:9" x14ac:dyDescent="0.35">
      <c r="A371" t="s">
        <v>69</v>
      </c>
      <c r="B371" t="s">
        <v>50</v>
      </c>
      <c r="C371" t="s">
        <v>40</v>
      </c>
      <c r="D371">
        <v>2017</v>
      </c>
      <c r="E371">
        <v>2.5049942578537321</v>
      </c>
      <c r="F371">
        <v>2.855001546118654</v>
      </c>
      <c r="G371">
        <f t="shared" si="5"/>
        <v>0.35000728826492189</v>
      </c>
      <c r="H371">
        <v>0.1502122446396362</v>
      </c>
      <c r="I371" t="s">
        <v>80</v>
      </c>
    </row>
    <row r="372" spans="1:9" x14ac:dyDescent="0.35">
      <c r="A372" t="s">
        <v>69</v>
      </c>
      <c r="B372" t="s">
        <v>51</v>
      </c>
      <c r="C372" t="s">
        <v>38</v>
      </c>
      <c r="D372">
        <v>2017</v>
      </c>
      <c r="E372">
        <v>3.068359604619419</v>
      </c>
      <c r="F372">
        <v>2.855001546118654</v>
      </c>
      <c r="G372">
        <f t="shared" si="5"/>
        <v>-0.21335805850076506</v>
      </c>
      <c r="H372">
        <v>0.1502122446396362</v>
      </c>
      <c r="I372" t="s">
        <v>80</v>
      </c>
    </row>
    <row r="373" spans="1:9" x14ac:dyDescent="0.35">
      <c r="A373" t="s">
        <v>69</v>
      </c>
      <c r="B373" t="s">
        <v>52</v>
      </c>
      <c r="C373" t="s">
        <v>40</v>
      </c>
      <c r="D373">
        <v>2017</v>
      </c>
      <c r="E373">
        <v>2.763295099061525</v>
      </c>
      <c r="F373">
        <v>2.855001546118654</v>
      </c>
      <c r="G373">
        <f t="shared" si="5"/>
        <v>9.1706447057128937E-2</v>
      </c>
      <c r="H373">
        <v>0.1502122446396362</v>
      </c>
      <c r="I373" t="s">
        <v>80</v>
      </c>
    </row>
    <row r="374" spans="1:9" x14ac:dyDescent="0.35">
      <c r="A374" t="s">
        <v>73</v>
      </c>
      <c r="B374" t="s">
        <v>49</v>
      </c>
      <c r="C374" t="s">
        <v>38</v>
      </c>
      <c r="D374">
        <v>2017</v>
      </c>
      <c r="E374">
        <v>1.3568331696729889</v>
      </c>
      <c r="F374">
        <v>2.2441414587468929</v>
      </c>
      <c r="G374">
        <f t="shared" si="5"/>
        <v>0.88730828907390391</v>
      </c>
      <c r="H374">
        <v>0.1467074254631251</v>
      </c>
      <c r="I374" t="s">
        <v>80</v>
      </c>
    </row>
    <row r="375" spans="1:9" x14ac:dyDescent="0.35">
      <c r="A375" t="s">
        <v>73</v>
      </c>
      <c r="B375" t="s">
        <v>50</v>
      </c>
      <c r="C375" t="s">
        <v>40</v>
      </c>
      <c r="D375">
        <v>2017</v>
      </c>
      <c r="E375">
        <v>1.686145619472357</v>
      </c>
      <c r="F375">
        <v>2.2441414587468929</v>
      </c>
      <c r="G375">
        <f t="shared" si="5"/>
        <v>0.55799583927453589</v>
      </c>
      <c r="H375">
        <v>0.1467074254631251</v>
      </c>
      <c r="I375" t="s">
        <v>80</v>
      </c>
    </row>
    <row r="376" spans="1:9" x14ac:dyDescent="0.35">
      <c r="A376" t="s">
        <v>73</v>
      </c>
      <c r="B376" t="s">
        <v>51</v>
      </c>
      <c r="C376" t="s">
        <v>38</v>
      </c>
      <c r="D376">
        <v>2017</v>
      </c>
      <c r="E376">
        <v>1.6108305416448809</v>
      </c>
      <c r="F376">
        <v>2.2441414587468929</v>
      </c>
      <c r="G376">
        <f t="shared" si="5"/>
        <v>0.63331091710201193</v>
      </c>
      <c r="H376">
        <v>0.1467074254631251</v>
      </c>
      <c r="I376" t="s">
        <v>80</v>
      </c>
    </row>
    <row r="377" spans="1:9" x14ac:dyDescent="0.35">
      <c r="A377" t="s">
        <v>73</v>
      </c>
      <c r="B377" t="s">
        <v>52</v>
      </c>
      <c r="C377" t="s">
        <v>40</v>
      </c>
      <c r="D377">
        <v>2017</v>
      </c>
      <c r="E377">
        <v>1.353609964652547</v>
      </c>
      <c r="F377">
        <v>2.2441414587468929</v>
      </c>
      <c r="G377">
        <f t="shared" si="5"/>
        <v>0.89053149409434584</v>
      </c>
      <c r="H377">
        <v>0.1467074254631251</v>
      </c>
      <c r="I377" t="s">
        <v>80</v>
      </c>
    </row>
    <row r="378" spans="1:9" x14ac:dyDescent="0.35">
      <c r="A378" t="s">
        <v>74</v>
      </c>
      <c r="B378" t="s">
        <v>49</v>
      </c>
      <c r="C378" t="s">
        <v>38</v>
      </c>
      <c r="D378">
        <v>2017</v>
      </c>
      <c r="E378">
        <v>3.6014209648164601</v>
      </c>
      <c r="F378">
        <v>9.6242949957613337</v>
      </c>
      <c r="G378">
        <f t="shared" si="5"/>
        <v>6.0228740309448732</v>
      </c>
      <c r="H378">
        <v>0.40580189169109832</v>
      </c>
      <c r="I378" t="s">
        <v>80</v>
      </c>
    </row>
    <row r="379" spans="1:9" x14ac:dyDescent="0.35">
      <c r="A379" t="s">
        <v>74</v>
      </c>
      <c r="B379" t="s">
        <v>50</v>
      </c>
      <c r="C379" t="s">
        <v>40</v>
      </c>
      <c r="D379">
        <v>2017</v>
      </c>
      <c r="E379">
        <v>3.6717987560630938</v>
      </c>
      <c r="F379">
        <v>9.6242949957613337</v>
      </c>
      <c r="G379">
        <f t="shared" si="5"/>
        <v>5.9524962396982399</v>
      </c>
      <c r="H379">
        <v>0.40580189169109832</v>
      </c>
      <c r="I379" t="s">
        <v>80</v>
      </c>
    </row>
    <row r="380" spans="1:9" x14ac:dyDescent="0.35">
      <c r="A380" t="s">
        <v>74</v>
      </c>
      <c r="B380" t="s">
        <v>51</v>
      </c>
      <c r="C380" t="s">
        <v>38</v>
      </c>
      <c r="D380">
        <v>2017</v>
      </c>
      <c r="E380">
        <v>4.8263025218790556</v>
      </c>
      <c r="F380">
        <v>9.6242949957613337</v>
      </c>
      <c r="G380">
        <f t="shared" si="5"/>
        <v>4.7979924738822781</v>
      </c>
      <c r="H380">
        <v>0.40580189169109832</v>
      </c>
      <c r="I380" t="s">
        <v>80</v>
      </c>
    </row>
    <row r="381" spans="1:9" x14ac:dyDescent="0.35">
      <c r="A381" t="s">
        <v>74</v>
      </c>
      <c r="B381" t="s">
        <v>52</v>
      </c>
      <c r="C381" t="s">
        <v>40</v>
      </c>
      <c r="D381">
        <v>2017</v>
      </c>
      <c r="E381">
        <v>3.9509452446526701</v>
      </c>
      <c r="F381">
        <v>9.6242949957613337</v>
      </c>
      <c r="G381">
        <f t="shared" si="5"/>
        <v>5.6733497511086632</v>
      </c>
      <c r="H381">
        <v>0.40580189169109832</v>
      </c>
      <c r="I381" t="s">
        <v>80</v>
      </c>
    </row>
    <row r="382" spans="1:9" x14ac:dyDescent="0.35">
      <c r="A382" t="s">
        <v>75</v>
      </c>
      <c r="B382" t="s">
        <v>49</v>
      </c>
      <c r="C382" t="s">
        <v>38</v>
      </c>
      <c r="D382">
        <v>2017</v>
      </c>
      <c r="E382">
        <v>0.90288361690229468</v>
      </c>
      <c r="F382">
        <v>1.6777714333363121</v>
      </c>
      <c r="G382">
        <f t="shared" si="5"/>
        <v>0.77488781643401738</v>
      </c>
      <c r="H382">
        <v>0.14949041730184481</v>
      </c>
      <c r="I382" t="s">
        <v>80</v>
      </c>
    </row>
    <row r="383" spans="1:9" x14ac:dyDescent="0.35">
      <c r="A383" t="s">
        <v>75</v>
      </c>
      <c r="B383" t="s">
        <v>50</v>
      </c>
      <c r="C383" t="s">
        <v>40</v>
      </c>
      <c r="D383">
        <v>2017</v>
      </c>
      <c r="E383">
        <v>1.33546021526687</v>
      </c>
      <c r="F383">
        <v>1.6777714333363121</v>
      </c>
      <c r="G383">
        <f t="shared" si="5"/>
        <v>0.34231121806944209</v>
      </c>
      <c r="H383">
        <v>0.14949041730184481</v>
      </c>
      <c r="I383" t="s">
        <v>80</v>
      </c>
    </row>
    <row r="384" spans="1:9" x14ac:dyDescent="0.35">
      <c r="A384" t="s">
        <v>75</v>
      </c>
      <c r="B384" t="s">
        <v>51</v>
      </c>
      <c r="C384" t="s">
        <v>38</v>
      </c>
      <c r="D384">
        <v>2017</v>
      </c>
      <c r="E384">
        <v>1.454734323287576</v>
      </c>
      <c r="F384">
        <v>1.6777714333363121</v>
      </c>
      <c r="G384">
        <f t="shared" si="5"/>
        <v>0.22303711004873605</v>
      </c>
      <c r="H384">
        <v>0.14949041730184481</v>
      </c>
      <c r="I384" t="s">
        <v>80</v>
      </c>
    </row>
    <row r="385" spans="1:9" x14ac:dyDescent="0.35">
      <c r="A385" t="s">
        <v>75</v>
      </c>
      <c r="B385" t="s">
        <v>52</v>
      </c>
      <c r="C385" t="s">
        <v>40</v>
      </c>
      <c r="D385">
        <v>2017</v>
      </c>
      <c r="E385">
        <v>0.92886361941262319</v>
      </c>
      <c r="F385">
        <v>1.6777714333363121</v>
      </c>
      <c r="G385">
        <f t="shared" si="5"/>
        <v>0.74890781392368888</v>
      </c>
      <c r="H385">
        <v>0.14949041730184481</v>
      </c>
      <c r="I385" t="s">
        <v>80</v>
      </c>
    </row>
    <row r="386" spans="1:9" x14ac:dyDescent="0.35">
      <c r="A386" t="s">
        <v>76</v>
      </c>
      <c r="B386" t="s">
        <v>49</v>
      </c>
      <c r="C386" t="s">
        <v>38</v>
      </c>
      <c r="D386">
        <v>2017</v>
      </c>
      <c r="E386">
        <v>1.6517530585588249</v>
      </c>
      <c r="F386">
        <v>2.7431906089065579</v>
      </c>
      <c r="G386">
        <f t="shared" ref="G386:G449" si="6">IF(OR(F386="",E386=""),"",F386-E386)</f>
        <v>1.0914375503477329</v>
      </c>
      <c r="H386">
        <v>0.18168337186651121</v>
      </c>
      <c r="I386" t="s">
        <v>80</v>
      </c>
    </row>
    <row r="387" spans="1:9" x14ac:dyDescent="0.35">
      <c r="A387" t="s">
        <v>76</v>
      </c>
      <c r="B387" t="s">
        <v>50</v>
      </c>
      <c r="C387" t="s">
        <v>40</v>
      </c>
      <c r="D387">
        <v>2017</v>
      </c>
      <c r="E387">
        <v>1.9694041267229729</v>
      </c>
      <c r="F387">
        <v>2.7431906089065579</v>
      </c>
      <c r="G387">
        <f t="shared" si="6"/>
        <v>0.77378648218358492</v>
      </c>
      <c r="H387">
        <v>0.18168337186651121</v>
      </c>
      <c r="I387" t="s">
        <v>80</v>
      </c>
    </row>
    <row r="388" spans="1:9" x14ac:dyDescent="0.35">
      <c r="A388" t="s">
        <v>76</v>
      </c>
      <c r="B388" t="s">
        <v>51</v>
      </c>
      <c r="C388" t="s">
        <v>38</v>
      </c>
      <c r="D388">
        <v>2017</v>
      </c>
      <c r="E388">
        <v>3.2081591137887999</v>
      </c>
      <c r="F388">
        <v>2.7431906089065579</v>
      </c>
      <c r="G388">
        <f t="shared" si="6"/>
        <v>-0.46496850488224206</v>
      </c>
      <c r="H388">
        <v>0.18168337186651121</v>
      </c>
      <c r="I388" t="s">
        <v>80</v>
      </c>
    </row>
    <row r="389" spans="1:9" x14ac:dyDescent="0.35">
      <c r="A389" t="s">
        <v>76</v>
      </c>
      <c r="B389" t="s">
        <v>52</v>
      </c>
      <c r="C389" t="s">
        <v>40</v>
      </c>
      <c r="D389">
        <v>2017</v>
      </c>
      <c r="E389">
        <v>2.1108256212513781</v>
      </c>
      <c r="F389">
        <v>2.7431906089065579</v>
      </c>
      <c r="G389">
        <f t="shared" si="6"/>
        <v>0.63236498765517979</v>
      </c>
      <c r="H389">
        <v>0.18168337186651121</v>
      </c>
      <c r="I389" t="s">
        <v>80</v>
      </c>
    </row>
    <row r="390" spans="1:9" x14ac:dyDescent="0.35">
      <c r="A390" t="s">
        <v>36</v>
      </c>
      <c r="B390" t="s">
        <v>51</v>
      </c>
      <c r="C390" t="s">
        <v>38</v>
      </c>
      <c r="D390">
        <v>2018</v>
      </c>
      <c r="E390">
        <v>2.3931358040782502</v>
      </c>
      <c r="F390">
        <v>2.3622453086648898</v>
      </c>
      <c r="G390">
        <f t="shared" si="6"/>
        <v>-3.0890495413360419E-2</v>
      </c>
      <c r="H390">
        <v>0.15970830024254651</v>
      </c>
      <c r="I390" t="s">
        <v>80</v>
      </c>
    </row>
    <row r="391" spans="1:9" x14ac:dyDescent="0.35">
      <c r="A391" t="s">
        <v>36</v>
      </c>
      <c r="B391" t="s">
        <v>52</v>
      </c>
      <c r="C391" t="s">
        <v>40</v>
      </c>
      <c r="D391">
        <v>2018</v>
      </c>
      <c r="E391">
        <v>1.65788346393998</v>
      </c>
      <c r="F391">
        <v>2.3622453086648898</v>
      </c>
      <c r="G391">
        <f t="shared" si="6"/>
        <v>0.70436184472490981</v>
      </c>
      <c r="H391">
        <v>0.15970830024254651</v>
      </c>
      <c r="I391" t="s">
        <v>80</v>
      </c>
    </row>
    <row r="392" spans="1:9" x14ac:dyDescent="0.35">
      <c r="A392" t="s">
        <v>36</v>
      </c>
      <c r="B392" t="s">
        <v>53</v>
      </c>
      <c r="C392" t="s">
        <v>38</v>
      </c>
      <c r="D392">
        <v>2018</v>
      </c>
      <c r="E392">
        <v>2.740700342709967</v>
      </c>
      <c r="F392">
        <v>2.3622453086648898</v>
      </c>
      <c r="G392">
        <f t="shared" si="6"/>
        <v>-0.37845503404507719</v>
      </c>
      <c r="H392">
        <v>0.15970830024254651</v>
      </c>
      <c r="I392" t="s">
        <v>80</v>
      </c>
    </row>
    <row r="393" spans="1:9" x14ac:dyDescent="0.35">
      <c r="A393" t="s">
        <v>36</v>
      </c>
      <c r="B393" t="s">
        <v>54</v>
      </c>
      <c r="C393" t="s">
        <v>40</v>
      </c>
      <c r="D393">
        <v>2018</v>
      </c>
      <c r="E393">
        <v>2.8029630500962628</v>
      </c>
      <c r="F393">
        <v>2.3622453086648898</v>
      </c>
      <c r="G393">
        <f t="shared" si="6"/>
        <v>-0.44071774143137299</v>
      </c>
      <c r="H393">
        <v>0.15970830024254651</v>
      </c>
      <c r="I393" t="s">
        <v>80</v>
      </c>
    </row>
    <row r="394" spans="1:9" x14ac:dyDescent="0.35">
      <c r="A394" t="s">
        <v>69</v>
      </c>
      <c r="B394" t="s">
        <v>51</v>
      </c>
      <c r="C394" t="s">
        <v>38</v>
      </c>
      <c r="D394">
        <v>2018</v>
      </c>
      <c r="E394">
        <v>2.5372488700963869</v>
      </c>
      <c r="F394">
        <v>2.367158610415725</v>
      </c>
      <c r="G394">
        <f t="shared" si="6"/>
        <v>-0.17009025968066194</v>
      </c>
      <c r="H394">
        <v>0.1479568305506872</v>
      </c>
      <c r="I394" t="s">
        <v>80</v>
      </c>
    </row>
    <row r="395" spans="1:9" x14ac:dyDescent="0.35">
      <c r="A395" t="s">
        <v>69</v>
      </c>
      <c r="B395" t="s">
        <v>52</v>
      </c>
      <c r="C395" t="s">
        <v>40</v>
      </c>
      <c r="D395">
        <v>2018</v>
      </c>
      <c r="E395">
        <v>2.3641938543665701</v>
      </c>
      <c r="F395">
        <v>2.367158610415725</v>
      </c>
      <c r="G395">
        <f t="shared" si="6"/>
        <v>2.9647560491548042E-3</v>
      </c>
      <c r="H395">
        <v>0.1479568305506872</v>
      </c>
      <c r="I395" t="s">
        <v>80</v>
      </c>
    </row>
    <row r="396" spans="1:9" x14ac:dyDescent="0.35">
      <c r="A396" t="s">
        <v>69</v>
      </c>
      <c r="B396" t="s">
        <v>53</v>
      </c>
      <c r="C396" t="s">
        <v>38</v>
      </c>
      <c r="D396">
        <v>2018</v>
      </c>
      <c r="E396">
        <v>2.5579730614092582</v>
      </c>
      <c r="F396">
        <v>2.367158610415725</v>
      </c>
      <c r="G396">
        <f t="shared" si="6"/>
        <v>-0.19081445099353322</v>
      </c>
      <c r="H396">
        <v>0.1479568305506872</v>
      </c>
      <c r="I396" t="s">
        <v>80</v>
      </c>
    </row>
    <row r="397" spans="1:9" x14ac:dyDescent="0.35">
      <c r="A397" t="s">
        <v>69</v>
      </c>
      <c r="B397" t="s">
        <v>54</v>
      </c>
      <c r="C397" t="s">
        <v>40</v>
      </c>
      <c r="D397">
        <v>2018</v>
      </c>
      <c r="E397">
        <v>2.8513007726971522</v>
      </c>
      <c r="F397">
        <v>2.367158610415725</v>
      </c>
      <c r="G397">
        <f t="shared" si="6"/>
        <v>-0.48414216228142726</v>
      </c>
      <c r="H397">
        <v>0.1479568305506872</v>
      </c>
      <c r="I397" t="s">
        <v>80</v>
      </c>
    </row>
    <row r="398" spans="1:9" x14ac:dyDescent="0.35">
      <c r="A398" t="s">
        <v>73</v>
      </c>
      <c r="B398" t="s">
        <v>51</v>
      </c>
      <c r="C398" t="s">
        <v>38</v>
      </c>
      <c r="D398">
        <v>2018</v>
      </c>
      <c r="E398">
        <v>1.745757461080699</v>
      </c>
      <c r="F398">
        <v>1.5720137685547519</v>
      </c>
      <c r="G398">
        <f t="shared" si="6"/>
        <v>-0.17374369252594701</v>
      </c>
      <c r="H398">
        <v>0.15168226831207221</v>
      </c>
      <c r="I398" t="s">
        <v>80</v>
      </c>
    </row>
    <row r="399" spans="1:9" x14ac:dyDescent="0.35">
      <c r="A399" t="s">
        <v>73</v>
      </c>
      <c r="B399" t="s">
        <v>52</v>
      </c>
      <c r="C399" t="s">
        <v>40</v>
      </c>
      <c r="D399">
        <v>2018</v>
      </c>
      <c r="E399">
        <v>1.72584962487905</v>
      </c>
      <c r="F399">
        <v>1.5720137685547519</v>
      </c>
      <c r="G399">
        <f t="shared" si="6"/>
        <v>-0.15383585632429808</v>
      </c>
      <c r="H399">
        <v>0.15168226831207221</v>
      </c>
      <c r="I399" t="s">
        <v>80</v>
      </c>
    </row>
    <row r="400" spans="1:9" x14ac:dyDescent="0.35">
      <c r="A400" t="s">
        <v>73</v>
      </c>
      <c r="B400" t="s">
        <v>53</v>
      </c>
      <c r="C400" t="s">
        <v>38</v>
      </c>
      <c r="D400">
        <v>2018</v>
      </c>
      <c r="E400">
        <v>1.6664324661772369</v>
      </c>
      <c r="F400">
        <v>1.5720137685547519</v>
      </c>
      <c r="G400">
        <f t="shared" si="6"/>
        <v>-9.4418697622485004E-2</v>
      </c>
      <c r="H400">
        <v>0.15168226831207221</v>
      </c>
      <c r="I400" t="s">
        <v>80</v>
      </c>
    </row>
    <row r="401" spans="1:9" x14ac:dyDescent="0.35">
      <c r="A401" t="s">
        <v>73</v>
      </c>
      <c r="B401" t="s">
        <v>54</v>
      </c>
      <c r="C401" t="s">
        <v>40</v>
      </c>
      <c r="D401">
        <v>2018</v>
      </c>
      <c r="E401">
        <v>1.989603282667241</v>
      </c>
      <c r="F401">
        <v>1.5720137685547519</v>
      </c>
      <c r="G401">
        <f t="shared" si="6"/>
        <v>-0.41758951411248901</v>
      </c>
      <c r="H401">
        <v>0.15168226831207221</v>
      </c>
      <c r="I401" t="s">
        <v>80</v>
      </c>
    </row>
    <row r="402" spans="1:9" x14ac:dyDescent="0.35">
      <c r="A402" t="s">
        <v>74</v>
      </c>
      <c r="B402" t="s">
        <v>51</v>
      </c>
      <c r="C402" t="s">
        <v>38</v>
      </c>
      <c r="D402">
        <v>2018</v>
      </c>
      <c r="E402">
        <v>3.9055452515839528</v>
      </c>
      <c r="F402">
        <v>7.4446874521163222</v>
      </c>
      <c r="G402">
        <f t="shared" si="6"/>
        <v>3.5391422005323694</v>
      </c>
      <c r="H402">
        <v>0.19086473467152659</v>
      </c>
      <c r="I402" t="s">
        <v>80</v>
      </c>
    </row>
    <row r="403" spans="1:9" x14ac:dyDescent="0.35">
      <c r="A403" t="s">
        <v>74</v>
      </c>
      <c r="B403" t="s">
        <v>52</v>
      </c>
      <c r="C403" t="s">
        <v>40</v>
      </c>
      <c r="D403">
        <v>2018</v>
      </c>
      <c r="E403">
        <v>3.6432271266646499</v>
      </c>
      <c r="F403">
        <v>7.4446874521163222</v>
      </c>
      <c r="G403">
        <f t="shared" si="6"/>
        <v>3.8014603254516723</v>
      </c>
      <c r="H403">
        <v>0.19086473467152659</v>
      </c>
      <c r="I403" t="s">
        <v>80</v>
      </c>
    </row>
    <row r="404" spans="1:9" x14ac:dyDescent="0.35">
      <c r="A404" t="s">
        <v>74</v>
      </c>
      <c r="B404" t="s">
        <v>53</v>
      </c>
      <c r="C404" t="s">
        <v>38</v>
      </c>
      <c r="D404">
        <v>2018</v>
      </c>
      <c r="E404">
        <v>7.8117760082768486</v>
      </c>
      <c r="F404">
        <v>7.4446874521163222</v>
      </c>
      <c r="G404">
        <f t="shared" si="6"/>
        <v>-0.36708855616052638</v>
      </c>
      <c r="H404">
        <v>0.19086473467152659</v>
      </c>
      <c r="I404" t="s">
        <v>80</v>
      </c>
    </row>
    <row r="405" spans="1:9" x14ac:dyDescent="0.35">
      <c r="A405" t="s">
        <v>74</v>
      </c>
      <c r="B405" t="s">
        <v>54</v>
      </c>
      <c r="C405" t="s">
        <v>40</v>
      </c>
      <c r="D405">
        <v>2018</v>
      </c>
      <c r="E405">
        <v>5.6808928025538163</v>
      </c>
      <c r="F405">
        <v>7.4446874521163222</v>
      </c>
      <c r="G405">
        <f t="shared" si="6"/>
        <v>1.7637946495625059</v>
      </c>
      <c r="H405">
        <v>0.19086473467152659</v>
      </c>
      <c r="I405" t="s">
        <v>80</v>
      </c>
    </row>
    <row r="406" spans="1:9" x14ac:dyDescent="0.35">
      <c r="A406" t="s">
        <v>75</v>
      </c>
      <c r="B406" t="s">
        <v>51</v>
      </c>
      <c r="C406" t="s">
        <v>38</v>
      </c>
      <c r="D406">
        <v>2018</v>
      </c>
      <c r="E406">
        <v>1.301033595779133</v>
      </c>
      <c r="F406">
        <v>0.67915616097696463</v>
      </c>
      <c r="G406">
        <f t="shared" si="6"/>
        <v>-0.62187743480216839</v>
      </c>
      <c r="H406">
        <v>0.1458968049432269</v>
      </c>
      <c r="I406" t="s">
        <v>80</v>
      </c>
    </row>
    <row r="407" spans="1:9" x14ac:dyDescent="0.35">
      <c r="A407" t="s">
        <v>75</v>
      </c>
      <c r="B407" t="s">
        <v>52</v>
      </c>
      <c r="C407" t="s">
        <v>40</v>
      </c>
      <c r="D407">
        <v>2018</v>
      </c>
      <c r="E407">
        <v>1.1322194305175119</v>
      </c>
      <c r="F407">
        <v>0.67915616097696463</v>
      </c>
      <c r="G407">
        <f t="shared" si="6"/>
        <v>-0.45306326954054732</v>
      </c>
      <c r="H407">
        <v>0.1458968049432269</v>
      </c>
      <c r="I407" t="s">
        <v>80</v>
      </c>
    </row>
    <row r="408" spans="1:9" x14ac:dyDescent="0.35">
      <c r="A408" t="s">
        <v>75</v>
      </c>
      <c r="B408" t="s">
        <v>53</v>
      </c>
      <c r="C408" t="s">
        <v>38</v>
      </c>
      <c r="D408">
        <v>2018</v>
      </c>
      <c r="E408">
        <v>1.148974792689472</v>
      </c>
      <c r="F408">
        <v>0.67915616097696463</v>
      </c>
      <c r="G408">
        <f t="shared" si="6"/>
        <v>-0.46981863171250737</v>
      </c>
      <c r="H408">
        <v>0.1458968049432269</v>
      </c>
      <c r="I408" t="s">
        <v>80</v>
      </c>
    </row>
    <row r="409" spans="1:9" x14ac:dyDescent="0.35">
      <c r="A409" t="s">
        <v>75</v>
      </c>
      <c r="B409" t="s">
        <v>54</v>
      </c>
      <c r="C409" t="s">
        <v>40</v>
      </c>
      <c r="D409">
        <v>2018</v>
      </c>
      <c r="E409">
        <v>1.453547985332837</v>
      </c>
      <c r="F409">
        <v>0.67915616097696463</v>
      </c>
      <c r="G409">
        <f t="shared" si="6"/>
        <v>-0.77439182435587239</v>
      </c>
      <c r="H409">
        <v>0.1458968049432269</v>
      </c>
      <c r="I409" t="s">
        <v>80</v>
      </c>
    </row>
    <row r="410" spans="1:9" x14ac:dyDescent="0.35">
      <c r="A410" t="s">
        <v>76</v>
      </c>
      <c r="B410" t="s">
        <v>51</v>
      </c>
      <c r="C410" t="s">
        <v>38</v>
      </c>
      <c r="D410">
        <v>2018</v>
      </c>
      <c r="E410">
        <v>2.719855882122268</v>
      </c>
      <c r="F410">
        <v>2.2276489335745251</v>
      </c>
      <c r="G410">
        <f t="shared" si="6"/>
        <v>-0.49220694854774294</v>
      </c>
      <c r="H410">
        <v>0.17426099357607169</v>
      </c>
      <c r="I410" t="s">
        <v>80</v>
      </c>
    </row>
    <row r="411" spans="1:9" x14ac:dyDescent="0.35">
      <c r="A411" t="s">
        <v>76</v>
      </c>
      <c r="B411" t="s">
        <v>52</v>
      </c>
      <c r="C411" t="s">
        <v>40</v>
      </c>
      <c r="D411">
        <v>2018</v>
      </c>
      <c r="E411">
        <v>1.81696463155987</v>
      </c>
      <c r="F411">
        <v>2.2276489335745251</v>
      </c>
      <c r="G411">
        <f t="shared" si="6"/>
        <v>0.41068430201465511</v>
      </c>
      <c r="H411">
        <v>0.17426099357607169</v>
      </c>
      <c r="I411" t="s">
        <v>80</v>
      </c>
    </row>
    <row r="412" spans="1:9" x14ac:dyDescent="0.35">
      <c r="A412" t="s">
        <v>76</v>
      </c>
      <c r="B412" t="s">
        <v>53</v>
      </c>
      <c r="C412" t="s">
        <v>38</v>
      </c>
      <c r="D412">
        <v>2018</v>
      </c>
      <c r="E412">
        <v>2.836804692292016</v>
      </c>
      <c r="F412">
        <v>2.2276489335745251</v>
      </c>
      <c r="G412">
        <f t="shared" si="6"/>
        <v>-0.60915575871749095</v>
      </c>
      <c r="H412">
        <v>0.17426099357607169</v>
      </c>
      <c r="I412" t="s">
        <v>80</v>
      </c>
    </row>
    <row r="413" spans="1:9" x14ac:dyDescent="0.35">
      <c r="A413" t="s">
        <v>76</v>
      </c>
      <c r="B413" t="s">
        <v>54</v>
      </c>
      <c r="C413" t="s">
        <v>40</v>
      </c>
      <c r="D413">
        <v>2018</v>
      </c>
      <c r="E413">
        <v>2.9504045313044398</v>
      </c>
      <c r="F413">
        <v>2.2276489335745251</v>
      </c>
      <c r="G413">
        <f t="shared" si="6"/>
        <v>-0.72275559772991471</v>
      </c>
      <c r="H413">
        <v>0.17426099357607169</v>
      </c>
      <c r="I413" t="s">
        <v>80</v>
      </c>
    </row>
    <row r="414" spans="1:9" x14ac:dyDescent="0.35">
      <c r="A414" t="s">
        <v>36</v>
      </c>
      <c r="B414" t="s">
        <v>53</v>
      </c>
      <c r="C414" t="s">
        <v>38</v>
      </c>
      <c r="D414">
        <v>2019</v>
      </c>
      <c r="E414">
        <v>1.956993039697497</v>
      </c>
      <c r="F414">
        <v>1.6857084827373969</v>
      </c>
      <c r="G414">
        <f t="shared" si="6"/>
        <v>-0.27128455696010012</v>
      </c>
      <c r="H414">
        <v>0.16885807361071789</v>
      </c>
      <c r="I414" t="s">
        <v>80</v>
      </c>
    </row>
    <row r="415" spans="1:9" x14ac:dyDescent="0.35">
      <c r="A415" t="s">
        <v>36</v>
      </c>
      <c r="B415" t="s">
        <v>54</v>
      </c>
      <c r="C415" t="s">
        <v>40</v>
      </c>
      <c r="D415">
        <v>2019</v>
      </c>
      <c r="E415">
        <v>2.158686474515914</v>
      </c>
      <c r="F415">
        <v>1.6857084827373969</v>
      </c>
      <c r="G415">
        <f t="shared" si="6"/>
        <v>-0.47297799177851707</v>
      </c>
      <c r="H415">
        <v>0.16885807361071789</v>
      </c>
      <c r="I415" t="s">
        <v>80</v>
      </c>
    </row>
    <row r="416" spans="1:9" x14ac:dyDescent="0.35">
      <c r="A416" t="s">
        <v>36</v>
      </c>
      <c r="B416" t="s">
        <v>55</v>
      </c>
      <c r="C416" t="s">
        <v>38</v>
      </c>
      <c r="D416">
        <v>2019</v>
      </c>
      <c r="E416">
        <v>1.548243112232184</v>
      </c>
      <c r="F416">
        <v>1.6857084827373969</v>
      </c>
      <c r="G416">
        <f t="shared" si="6"/>
        <v>0.1374653705052129</v>
      </c>
      <c r="H416">
        <v>0.16885807361071789</v>
      </c>
      <c r="I416" t="s">
        <v>80</v>
      </c>
    </row>
    <row r="417" spans="1:9" x14ac:dyDescent="0.35">
      <c r="A417" t="s">
        <v>36</v>
      </c>
      <c r="B417" t="s">
        <v>56</v>
      </c>
      <c r="C417" t="s">
        <v>40</v>
      </c>
      <c r="D417">
        <v>2019</v>
      </c>
      <c r="E417">
        <v>1.5232710630633359</v>
      </c>
      <c r="F417">
        <v>1.6857084827373969</v>
      </c>
      <c r="G417">
        <f t="shared" si="6"/>
        <v>0.162437419674061</v>
      </c>
      <c r="H417">
        <v>0.16885807361071789</v>
      </c>
      <c r="I417" t="s">
        <v>80</v>
      </c>
    </row>
    <row r="418" spans="1:9" x14ac:dyDescent="0.35">
      <c r="A418" t="s">
        <v>73</v>
      </c>
      <c r="B418" t="s">
        <v>53</v>
      </c>
      <c r="C418" t="s">
        <v>38</v>
      </c>
      <c r="D418">
        <v>2019</v>
      </c>
      <c r="E418">
        <v>1.641202261320762</v>
      </c>
      <c r="F418">
        <v>2.0796189403330492</v>
      </c>
      <c r="G418">
        <f t="shared" si="6"/>
        <v>0.4384166790122872</v>
      </c>
      <c r="H418">
        <v>0.15379843721398409</v>
      </c>
      <c r="I418" t="s">
        <v>80</v>
      </c>
    </row>
    <row r="419" spans="1:9" x14ac:dyDescent="0.35">
      <c r="A419" t="s">
        <v>73</v>
      </c>
      <c r="B419" t="s">
        <v>54</v>
      </c>
      <c r="C419" t="s">
        <v>40</v>
      </c>
      <c r="D419">
        <v>2019</v>
      </c>
      <c r="E419">
        <v>1.837933157898797</v>
      </c>
      <c r="F419">
        <v>2.0796189403330492</v>
      </c>
      <c r="G419">
        <f t="shared" si="6"/>
        <v>0.24168578243425221</v>
      </c>
      <c r="H419">
        <v>0.15379843721398409</v>
      </c>
      <c r="I419" t="s">
        <v>80</v>
      </c>
    </row>
    <row r="420" spans="1:9" x14ac:dyDescent="0.35">
      <c r="A420" t="s">
        <v>73</v>
      </c>
      <c r="B420" t="s">
        <v>55</v>
      </c>
      <c r="C420" t="s">
        <v>38</v>
      </c>
      <c r="D420">
        <v>2019</v>
      </c>
      <c r="E420">
        <v>1.2870082454169649</v>
      </c>
      <c r="F420">
        <v>2.0796189403330492</v>
      </c>
      <c r="G420">
        <f t="shared" si="6"/>
        <v>0.79261069491608427</v>
      </c>
      <c r="H420">
        <v>0.15379843721398409</v>
      </c>
      <c r="I420" t="s">
        <v>80</v>
      </c>
    </row>
    <row r="421" spans="1:9" x14ac:dyDescent="0.35">
      <c r="A421" t="s">
        <v>73</v>
      </c>
      <c r="B421" t="s">
        <v>56</v>
      </c>
      <c r="C421" t="s">
        <v>40</v>
      </c>
      <c r="D421">
        <v>2019</v>
      </c>
      <c r="E421">
        <v>1.333589129915191</v>
      </c>
      <c r="F421">
        <v>2.0796189403330492</v>
      </c>
      <c r="G421">
        <f t="shared" si="6"/>
        <v>0.74602981041785821</v>
      </c>
      <c r="H421">
        <v>0.15379843721398409</v>
      </c>
      <c r="I421" t="s">
        <v>80</v>
      </c>
    </row>
    <row r="422" spans="1:9" x14ac:dyDescent="0.35">
      <c r="A422" t="s">
        <v>74</v>
      </c>
      <c r="B422" t="s">
        <v>53</v>
      </c>
      <c r="C422" t="s">
        <v>38</v>
      </c>
      <c r="D422">
        <v>2019</v>
      </c>
      <c r="E422">
        <v>4.5299756937161373</v>
      </c>
      <c r="F422">
        <v>4.8237638263446936</v>
      </c>
      <c r="G422">
        <f t="shared" si="6"/>
        <v>0.2937881326285563</v>
      </c>
      <c r="H422">
        <v>0.26662936464636439</v>
      </c>
      <c r="I422" t="s">
        <v>80</v>
      </c>
    </row>
    <row r="423" spans="1:9" x14ac:dyDescent="0.35">
      <c r="A423" t="s">
        <v>74</v>
      </c>
      <c r="B423" t="s">
        <v>54</v>
      </c>
      <c r="C423" t="s">
        <v>40</v>
      </c>
      <c r="D423">
        <v>2019</v>
      </c>
      <c r="E423">
        <v>4.058674421459818</v>
      </c>
      <c r="F423">
        <v>4.8237638263446936</v>
      </c>
      <c r="G423">
        <f t="shared" si="6"/>
        <v>0.76508940488487553</v>
      </c>
      <c r="H423">
        <v>0.26662936464636439</v>
      </c>
      <c r="I423" t="s">
        <v>80</v>
      </c>
    </row>
    <row r="424" spans="1:9" x14ac:dyDescent="0.35">
      <c r="A424" t="s">
        <v>74</v>
      </c>
      <c r="B424" t="s">
        <v>55</v>
      </c>
      <c r="C424" t="s">
        <v>38</v>
      </c>
      <c r="D424">
        <v>2019</v>
      </c>
      <c r="E424">
        <v>5.6355935792373302</v>
      </c>
      <c r="F424">
        <v>4.8237638263446936</v>
      </c>
      <c r="G424">
        <f t="shared" si="6"/>
        <v>-0.81182975289263659</v>
      </c>
      <c r="H424">
        <v>0.26662936464636439</v>
      </c>
      <c r="I424" t="s">
        <v>80</v>
      </c>
    </row>
    <row r="425" spans="1:9" x14ac:dyDescent="0.35">
      <c r="A425" t="s">
        <v>74</v>
      </c>
      <c r="B425" t="s">
        <v>56</v>
      </c>
      <c r="C425" t="s">
        <v>40</v>
      </c>
      <c r="D425">
        <v>2019</v>
      </c>
      <c r="E425">
        <v>3.759569376747196</v>
      </c>
      <c r="F425">
        <v>4.8237638263446936</v>
      </c>
      <c r="G425">
        <f t="shared" si="6"/>
        <v>1.0641944495974975</v>
      </c>
      <c r="H425">
        <v>0.26662936464636439</v>
      </c>
      <c r="I425" t="s">
        <v>80</v>
      </c>
    </row>
    <row r="426" spans="1:9" x14ac:dyDescent="0.35">
      <c r="A426" t="s">
        <v>75</v>
      </c>
      <c r="B426" t="s">
        <v>53</v>
      </c>
      <c r="C426" t="s">
        <v>38</v>
      </c>
      <c r="D426">
        <v>2019</v>
      </c>
      <c r="E426">
        <v>1.1508168253350211</v>
      </c>
      <c r="F426">
        <v>0.41751152968335331</v>
      </c>
      <c r="G426">
        <f t="shared" si="6"/>
        <v>-0.73330529565166769</v>
      </c>
      <c r="H426">
        <v>0.14739048347028469</v>
      </c>
      <c r="I426" t="s">
        <v>80</v>
      </c>
    </row>
    <row r="427" spans="1:9" x14ac:dyDescent="0.35">
      <c r="A427" t="s">
        <v>75</v>
      </c>
      <c r="B427" t="s">
        <v>54</v>
      </c>
      <c r="C427" t="s">
        <v>40</v>
      </c>
      <c r="D427">
        <v>2019</v>
      </c>
      <c r="E427">
        <v>1.208894526316961</v>
      </c>
      <c r="F427">
        <v>0.41751152968335331</v>
      </c>
      <c r="G427">
        <f t="shared" si="6"/>
        <v>-0.79138299663360767</v>
      </c>
      <c r="H427">
        <v>0.14739048347028469</v>
      </c>
      <c r="I427" t="s">
        <v>80</v>
      </c>
    </row>
    <row r="428" spans="1:9" x14ac:dyDescent="0.35">
      <c r="A428" t="s">
        <v>75</v>
      </c>
      <c r="B428" t="s">
        <v>55</v>
      </c>
      <c r="C428" t="s">
        <v>38</v>
      </c>
      <c r="D428">
        <v>2019</v>
      </c>
      <c r="E428">
        <v>0.1046834039854172</v>
      </c>
      <c r="F428">
        <v>0.41751152968335331</v>
      </c>
      <c r="G428">
        <f t="shared" si="6"/>
        <v>0.31282812569793611</v>
      </c>
      <c r="H428">
        <v>0.14739048347028469</v>
      </c>
      <c r="I428" t="s">
        <v>80</v>
      </c>
    </row>
    <row r="429" spans="1:9" x14ac:dyDescent="0.35">
      <c r="A429" t="s">
        <v>75</v>
      </c>
      <c r="B429" t="s">
        <v>56</v>
      </c>
      <c r="C429" t="s">
        <v>40</v>
      </c>
      <c r="D429">
        <v>2019</v>
      </c>
      <c r="E429">
        <v>0.1006276066420453</v>
      </c>
      <c r="F429">
        <v>0.41751152968335331</v>
      </c>
      <c r="G429">
        <f t="shared" si="6"/>
        <v>0.31688392304130802</v>
      </c>
      <c r="H429">
        <v>0.14739048347028469</v>
      </c>
      <c r="I429" t="s">
        <v>80</v>
      </c>
    </row>
    <row r="430" spans="1:9" x14ac:dyDescent="0.35">
      <c r="A430" t="s">
        <v>76</v>
      </c>
      <c r="B430" t="s">
        <v>53</v>
      </c>
      <c r="C430" t="s">
        <v>38</v>
      </c>
      <c r="D430">
        <v>2019</v>
      </c>
      <c r="E430">
        <v>2.3973855170303038</v>
      </c>
      <c r="F430">
        <v>2.2687921571426761</v>
      </c>
      <c r="G430">
        <f t="shared" si="6"/>
        <v>-0.12859335988762766</v>
      </c>
      <c r="H430">
        <v>0.17313412187867469</v>
      </c>
      <c r="I430" t="s">
        <v>80</v>
      </c>
    </row>
    <row r="431" spans="1:9" x14ac:dyDescent="0.35">
      <c r="A431" t="s">
        <v>76</v>
      </c>
      <c r="B431" t="s">
        <v>54</v>
      </c>
      <c r="C431" t="s">
        <v>40</v>
      </c>
      <c r="D431">
        <v>2019</v>
      </c>
      <c r="E431">
        <v>2.5903398154754731</v>
      </c>
      <c r="F431">
        <v>2.2687921571426761</v>
      </c>
      <c r="G431">
        <f t="shared" si="6"/>
        <v>-0.32154765833279697</v>
      </c>
      <c r="H431">
        <v>0.17313412187867469</v>
      </c>
      <c r="I431" t="s">
        <v>80</v>
      </c>
    </row>
    <row r="432" spans="1:9" x14ac:dyDescent="0.35">
      <c r="A432" t="s">
        <v>76</v>
      </c>
      <c r="B432" t="s">
        <v>55</v>
      </c>
      <c r="C432" t="s">
        <v>38</v>
      </c>
      <c r="D432">
        <v>2019</v>
      </c>
      <c r="E432">
        <v>1.699934171052897</v>
      </c>
      <c r="F432">
        <v>2.2687921571426761</v>
      </c>
      <c r="G432">
        <f t="shared" si="6"/>
        <v>0.56885798608977911</v>
      </c>
      <c r="H432">
        <v>0.17313412187867469</v>
      </c>
      <c r="I432" t="s">
        <v>80</v>
      </c>
    </row>
    <row r="433" spans="1:9" x14ac:dyDescent="0.35">
      <c r="A433" t="s">
        <v>76</v>
      </c>
      <c r="B433" t="s">
        <v>56</v>
      </c>
      <c r="C433" t="s">
        <v>40</v>
      </c>
      <c r="D433">
        <v>2019</v>
      </c>
      <c r="E433">
        <v>1.627911133653104</v>
      </c>
      <c r="F433">
        <v>2.2687921571426761</v>
      </c>
      <c r="G433">
        <f t="shared" si="6"/>
        <v>0.6408810234895721</v>
      </c>
      <c r="H433">
        <v>0.17313412187867469</v>
      </c>
      <c r="I433" t="s">
        <v>80</v>
      </c>
    </row>
    <row r="434" spans="1:9" x14ac:dyDescent="0.35">
      <c r="A434" t="s">
        <v>36</v>
      </c>
      <c r="B434" t="s">
        <v>55</v>
      </c>
      <c r="C434" t="s">
        <v>38</v>
      </c>
      <c r="D434">
        <v>2020</v>
      </c>
      <c r="E434">
        <v>1.3947816095145389</v>
      </c>
      <c r="F434">
        <v>-6.5900132771165296</v>
      </c>
      <c r="G434">
        <f t="shared" si="6"/>
        <v>-7.9847948866310681</v>
      </c>
      <c r="H434">
        <v>0.17076349956742379</v>
      </c>
      <c r="I434" t="s">
        <v>80</v>
      </c>
    </row>
    <row r="435" spans="1:9" x14ac:dyDescent="0.35">
      <c r="A435" t="s">
        <v>36</v>
      </c>
      <c r="B435" t="s">
        <v>56</v>
      </c>
      <c r="C435" t="s">
        <v>40</v>
      </c>
      <c r="D435">
        <v>2020</v>
      </c>
      <c r="E435">
        <v>1.6306467331163921</v>
      </c>
      <c r="F435">
        <v>-6.5900132771165296</v>
      </c>
      <c r="G435">
        <f t="shared" si="6"/>
        <v>-8.2206600102329226</v>
      </c>
      <c r="H435">
        <v>0.17076349956742379</v>
      </c>
      <c r="I435" t="s">
        <v>80</v>
      </c>
    </row>
    <row r="436" spans="1:9" x14ac:dyDescent="0.35">
      <c r="A436" t="s">
        <v>36</v>
      </c>
      <c r="B436" t="s">
        <v>57</v>
      </c>
      <c r="C436" t="s">
        <v>38</v>
      </c>
      <c r="D436">
        <v>2020</v>
      </c>
      <c r="E436">
        <v>-7.0511951651758391</v>
      </c>
      <c r="F436">
        <v>-6.5900132771165296</v>
      </c>
      <c r="G436">
        <f t="shared" si="6"/>
        <v>0.46118188805930949</v>
      </c>
      <c r="H436">
        <v>0.17076349956742379</v>
      </c>
      <c r="I436" t="s">
        <v>80</v>
      </c>
    </row>
    <row r="437" spans="1:9" x14ac:dyDescent="0.35">
      <c r="A437" t="s">
        <v>36</v>
      </c>
      <c r="B437" t="s">
        <v>58</v>
      </c>
      <c r="C437" t="s">
        <v>40</v>
      </c>
      <c r="D437">
        <v>2020</v>
      </c>
      <c r="E437">
        <v>-5.5131277655310118</v>
      </c>
      <c r="F437">
        <v>-6.5900132771165296</v>
      </c>
      <c r="G437">
        <f t="shared" si="6"/>
        <v>-1.0768855115855178</v>
      </c>
      <c r="H437">
        <v>0.17076349956742379</v>
      </c>
      <c r="I437" t="s">
        <v>80</v>
      </c>
    </row>
    <row r="438" spans="1:9" x14ac:dyDescent="0.35">
      <c r="A438" t="s">
        <v>73</v>
      </c>
      <c r="B438" t="s">
        <v>55</v>
      </c>
      <c r="C438" t="s">
        <v>38</v>
      </c>
      <c r="D438">
        <v>2020</v>
      </c>
      <c r="E438">
        <v>1.285387661815784</v>
      </c>
      <c r="F438">
        <v>-7.9120138942178206</v>
      </c>
      <c r="G438">
        <f t="shared" si="6"/>
        <v>-9.1974015560336042</v>
      </c>
      <c r="H438">
        <v>0.16587155074328949</v>
      </c>
      <c r="I438" t="s">
        <v>80</v>
      </c>
    </row>
    <row r="439" spans="1:9" x14ac:dyDescent="0.35">
      <c r="A439" t="s">
        <v>73</v>
      </c>
      <c r="B439" t="s">
        <v>56</v>
      </c>
      <c r="C439" t="s">
        <v>40</v>
      </c>
      <c r="D439">
        <v>2020</v>
      </c>
      <c r="E439">
        <v>1.503749975943047</v>
      </c>
      <c r="F439">
        <v>-7.9120138942178206</v>
      </c>
      <c r="G439">
        <f t="shared" si="6"/>
        <v>-9.4157638701608679</v>
      </c>
      <c r="H439">
        <v>0.16587155074328949</v>
      </c>
      <c r="I439" t="s">
        <v>80</v>
      </c>
    </row>
    <row r="440" spans="1:9" x14ac:dyDescent="0.35">
      <c r="A440" t="s">
        <v>73</v>
      </c>
      <c r="B440" t="s">
        <v>57</v>
      </c>
      <c r="C440" t="s">
        <v>38</v>
      </c>
      <c r="D440">
        <v>2020</v>
      </c>
      <c r="E440">
        <v>-9.3511426009976422</v>
      </c>
      <c r="F440">
        <v>-7.9120138942178206</v>
      </c>
      <c r="G440">
        <f t="shared" si="6"/>
        <v>1.4391287067798215</v>
      </c>
      <c r="H440">
        <v>0.16587155074328949</v>
      </c>
      <c r="I440" t="s">
        <v>80</v>
      </c>
    </row>
    <row r="441" spans="1:9" x14ac:dyDescent="0.35">
      <c r="A441" t="s">
        <v>73</v>
      </c>
      <c r="B441" t="s">
        <v>58</v>
      </c>
      <c r="C441" t="s">
        <v>40</v>
      </c>
      <c r="D441">
        <v>2020</v>
      </c>
      <c r="E441">
        <v>-8.2482980854368328</v>
      </c>
      <c r="F441">
        <v>-7.9120138942178206</v>
      </c>
      <c r="G441">
        <f t="shared" si="6"/>
        <v>0.33628419121901221</v>
      </c>
      <c r="H441">
        <v>0.16587155074328949</v>
      </c>
      <c r="I441" t="s">
        <v>80</v>
      </c>
    </row>
    <row r="442" spans="1:9" x14ac:dyDescent="0.35">
      <c r="A442" t="s">
        <v>74</v>
      </c>
      <c r="B442" t="s">
        <v>55</v>
      </c>
      <c r="C442" t="s">
        <v>38</v>
      </c>
      <c r="D442">
        <v>2020</v>
      </c>
      <c r="E442">
        <v>3.528571869780794</v>
      </c>
      <c r="F442">
        <v>6.9863814303713827</v>
      </c>
      <c r="G442">
        <f t="shared" si="6"/>
        <v>3.4578095605905887</v>
      </c>
      <c r="H442">
        <v>0.3780372329247822</v>
      </c>
      <c r="I442" t="s">
        <v>80</v>
      </c>
    </row>
    <row r="443" spans="1:9" x14ac:dyDescent="0.35">
      <c r="A443" t="s">
        <v>74</v>
      </c>
      <c r="B443" t="s">
        <v>56</v>
      </c>
      <c r="C443" t="s">
        <v>40</v>
      </c>
      <c r="D443">
        <v>2020</v>
      </c>
      <c r="E443">
        <v>3.3676156234285992</v>
      </c>
      <c r="F443">
        <v>6.9863814303713827</v>
      </c>
      <c r="G443">
        <f t="shared" si="6"/>
        <v>3.6187658069427835</v>
      </c>
      <c r="H443">
        <v>0.3780372329247822</v>
      </c>
      <c r="I443" t="s">
        <v>80</v>
      </c>
    </row>
    <row r="444" spans="1:9" x14ac:dyDescent="0.35">
      <c r="A444" t="s">
        <v>74</v>
      </c>
      <c r="B444" t="s">
        <v>57</v>
      </c>
      <c r="C444" t="s">
        <v>38</v>
      </c>
      <c r="D444">
        <v>2020</v>
      </c>
      <c r="E444">
        <v>-2.3373996171914708</v>
      </c>
      <c r="F444">
        <v>6.9863814303713827</v>
      </c>
      <c r="G444">
        <f t="shared" si="6"/>
        <v>9.3237810475628535</v>
      </c>
      <c r="H444">
        <v>0.3780372329247822</v>
      </c>
      <c r="I444" t="s">
        <v>80</v>
      </c>
    </row>
    <row r="445" spans="1:9" x14ac:dyDescent="0.35">
      <c r="A445" t="s">
        <v>74</v>
      </c>
      <c r="B445" t="s">
        <v>58</v>
      </c>
      <c r="C445" t="s">
        <v>40</v>
      </c>
      <c r="D445">
        <v>2020</v>
      </c>
      <c r="E445">
        <v>-7.9470480138547073</v>
      </c>
      <c r="F445">
        <v>6.9863814303713827</v>
      </c>
      <c r="G445">
        <f t="shared" si="6"/>
        <v>14.933429444226089</v>
      </c>
      <c r="H445">
        <v>0.3780372329247822</v>
      </c>
      <c r="I445" t="s">
        <v>80</v>
      </c>
    </row>
    <row r="446" spans="1:9" x14ac:dyDescent="0.35">
      <c r="A446" t="s">
        <v>75</v>
      </c>
      <c r="B446" t="s">
        <v>55</v>
      </c>
      <c r="C446" t="s">
        <v>38</v>
      </c>
      <c r="D446">
        <v>2020</v>
      </c>
      <c r="E446">
        <v>0.43236292909316631</v>
      </c>
      <c r="F446">
        <v>-9.3783767522421471</v>
      </c>
      <c r="G446">
        <f t="shared" si="6"/>
        <v>-9.8107396813353134</v>
      </c>
      <c r="H446">
        <v>0.15574566778244739</v>
      </c>
      <c r="I446" t="s">
        <v>80</v>
      </c>
    </row>
    <row r="447" spans="1:9" x14ac:dyDescent="0.35">
      <c r="A447" t="s">
        <v>75</v>
      </c>
      <c r="B447" t="s">
        <v>56</v>
      </c>
      <c r="C447" t="s">
        <v>40</v>
      </c>
      <c r="D447">
        <v>2020</v>
      </c>
      <c r="E447">
        <v>0.71178912334750599</v>
      </c>
      <c r="F447">
        <v>-9.3783767522421471</v>
      </c>
      <c r="G447">
        <f t="shared" si="6"/>
        <v>-10.090165875589653</v>
      </c>
      <c r="H447">
        <v>0.15574566778244739</v>
      </c>
      <c r="I447" t="s">
        <v>80</v>
      </c>
    </row>
    <row r="448" spans="1:9" x14ac:dyDescent="0.35">
      <c r="A448" t="s">
        <v>75</v>
      </c>
      <c r="B448" t="s">
        <v>57</v>
      </c>
      <c r="C448" t="s">
        <v>38</v>
      </c>
      <c r="D448">
        <v>2020</v>
      </c>
      <c r="E448">
        <v>-9.8515454699187543</v>
      </c>
      <c r="F448">
        <v>-9.3783767522421471</v>
      </c>
      <c r="G448">
        <f t="shared" si="6"/>
        <v>0.47316871767660729</v>
      </c>
      <c r="H448">
        <v>0.15574566778244739</v>
      </c>
      <c r="I448" t="s">
        <v>80</v>
      </c>
    </row>
    <row r="449" spans="1:9" x14ac:dyDescent="0.35">
      <c r="A449" t="s">
        <v>75</v>
      </c>
      <c r="B449" t="s">
        <v>58</v>
      </c>
      <c r="C449" t="s">
        <v>40</v>
      </c>
      <c r="D449">
        <v>2020</v>
      </c>
      <c r="E449">
        <v>-9.517990850094149</v>
      </c>
      <c r="F449">
        <v>-9.3783767522421471</v>
      </c>
      <c r="G449">
        <f t="shared" si="6"/>
        <v>0.13961409785200196</v>
      </c>
      <c r="H449">
        <v>0.15574566778244739</v>
      </c>
      <c r="I449" t="s">
        <v>80</v>
      </c>
    </row>
    <row r="450" spans="1:9" x14ac:dyDescent="0.35">
      <c r="A450" t="s">
        <v>76</v>
      </c>
      <c r="B450" t="s">
        <v>55</v>
      </c>
      <c r="C450" t="s">
        <v>38</v>
      </c>
      <c r="D450">
        <v>2020</v>
      </c>
      <c r="E450">
        <v>1.2831214058191649</v>
      </c>
      <c r="F450">
        <v>-3.9039509434828492</v>
      </c>
      <c r="G450">
        <f t="shared" ref="G450:G513" si="7">IF(OR(F450="",E450=""),"",F450-E450)</f>
        <v>-5.1870723493020137</v>
      </c>
      <c r="H450">
        <v>0.18034013840432031</v>
      </c>
      <c r="I450" t="s">
        <v>80</v>
      </c>
    </row>
    <row r="451" spans="1:9" x14ac:dyDescent="0.35">
      <c r="A451" t="s">
        <v>76</v>
      </c>
      <c r="B451" t="s">
        <v>56</v>
      </c>
      <c r="C451" t="s">
        <v>40</v>
      </c>
      <c r="D451">
        <v>2020</v>
      </c>
      <c r="E451">
        <v>1.619436814413677</v>
      </c>
      <c r="F451">
        <v>-3.9039509434828492</v>
      </c>
      <c r="G451">
        <f t="shared" si="7"/>
        <v>-5.5233877578965265</v>
      </c>
      <c r="H451">
        <v>0.18034013840432031</v>
      </c>
      <c r="I451" t="s">
        <v>80</v>
      </c>
    </row>
    <row r="452" spans="1:9" x14ac:dyDescent="0.35">
      <c r="A452" t="s">
        <v>76</v>
      </c>
      <c r="B452" t="s">
        <v>57</v>
      </c>
      <c r="C452" t="s">
        <v>38</v>
      </c>
      <c r="D452">
        <v>2020</v>
      </c>
      <c r="E452">
        <v>-5.3222217587985954</v>
      </c>
      <c r="F452">
        <v>-3.9039509434828492</v>
      </c>
      <c r="G452">
        <f t="shared" si="7"/>
        <v>1.4182708153157462</v>
      </c>
      <c r="H452">
        <v>0.18034013840432031</v>
      </c>
      <c r="I452" t="s">
        <v>80</v>
      </c>
    </row>
    <row r="453" spans="1:9" x14ac:dyDescent="0.35">
      <c r="A453" t="s">
        <v>76</v>
      </c>
      <c r="B453" t="s">
        <v>58</v>
      </c>
      <c r="C453" t="s">
        <v>40</v>
      </c>
      <c r="D453">
        <v>2020</v>
      </c>
      <c r="E453">
        <v>-6.8478963820636896</v>
      </c>
      <c r="F453">
        <v>-3.9039509434828492</v>
      </c>
      <c r="G453">
        <f t="shared" si="7"/>
        <v>2.9439454385808403</v>
      </c>
      <c r="H453">
        <v>0.18034013840432031</v>
      </c>
      <c r="I453" t="s">
        <v>80</v>
      </c>
    </row>
    <row r="454" spans="1:9" x14ac:dyDescent="0.35">
      <c r="A454" t="s">
        <v>77</v>
      </c>
      <c r="B454" t="s">
        <v>55</v>
      </c>
      <c r="C454" t="s">
        <v>38</v>
      </c>
      <c r="D454">
        <v>2020</v>
      </c>
      <c r="E454">
        <v>1.699885517193356</v>
      </c>
      <c r="F454">
        <v>-8.5609032033360464</v>
      </c>
      <c r="G454">
        <f t="shared" si="7"/>
        <v>-10.260788720529403</v>
      </c>
      <c r="H454">
        <v>0.14810212813728671</v>
      </c>
      <c r="I454" t="s">
        <v>80</v>
      </c>
    </row>
    <row r="455" spans="1:9" x14ac:dyDescent="0.35">
      <c r="A455" t="s">
        <v>77</v>
      </c>
      <c r="B455" t="s">
        <v>56</v>
      </c>
      <c r="C455" t="s">
        <v>40</v>
      </c>
      <c r="D455">
        <v>2020</v>
      </c>
      <c r="E455">
        <v>1.7153996309464681</v>
      </c>
      <c r="F455">
        <v>-8.5609032033360464</v>
      </c>
      <c r="G455">
        <f t="shared" si="7"/>
        <v>-10.276302834282514</v>
      </c>
      <c r="H455">
        <v>0.14810212813728671</v>
      </c>
      <c r="I455" t="s">
        <v>80</v>
      </c>
    </row>
    <row r="456" spans="1:9" x14ac:dyDescent="0.35">
      <c r="A456" t="s">
        <v>77</v>
      </c>
      <c r="B456" t="s">
        <v>57</v>
      </c>
      <c r="C456" t="s">
        <v>38</v>
      </c>
      <c r="D456">
        <v>2020</v>
      </c>
      <c r="E456">
        <v>-9.2905567939445373</v>
      </c>
      <c r="F456">
        <v>-8.5609032033360464</v>
      </c>
      <c r="G456">
        <f t="shared" si="7"/>
        <v>0.72965359060849089</v>
      </c>
      <c r="H456">
        <v>0.14810212813728671</v>
      </c>
      <c r="I456" t="s">
        <v>80</v>
      </c>
    </row>
    <row r="457" spans="1:9" x14ac:dyDescent="0.35">
      <c r="A457" t="s">
        <v>77</v>
      </c>
      <c r="B457" t="s">
        <v>58</v>
      </c>
      <c r="C457" t="s">
        <v>40</v>
      </c>
      <c r="D457">
        <v>2020</v>
      </c>
      <c r="E457">
        <v>-6.7651809613411107</v>
      </c>
      <c r="F457">
        <v>-8.5609032033360464</v>
      </c>
      <c r="G457">
        <f t="shared" si="7"/>
        <v>-1.7957222419949357</v>
      </c>
      <c r="H457">
        <v>0.14810212813728671</v>
      </c>
      <c r="I457" t="s">
        <v>80</v>
      </c>
    </row>
    <row r="458" spans="1:9" x14ac:dyDescent="0.35">
      <c r="A458" t="s">
        <v>36</v>
      </c>
      <c r="B458" t="s">
        <v>57</v>
      </c>
      <c r="C458" t="s">
        <v>38</v>
      </c>
      <c r="D458">
        <v>2021</v>
      </c>
      <c r="E458">
        <v>4.1159384107752661</v>
      </c>
      <c r="F458">
        <v>4.8848712783015431</v>
      </c>
      <c r="G458">
        <f t="shared" si="7"/>
        <v>0.76893286752627699</v>
      </c>
      <c r="H458">
        <v>0.1559916018212551</v>
      </c>
      <c r="I458" t="s">
        <v>80</v>
      </c>
    </row>
    <row r="459" spans="1:9" x14ac:dyDescent="0.35">
      <c r="A459" t="s">
        <v>36</v>
      </c>
      <c r="B459" t="s">
        <v>58</v>
      </c>
      <c r="C459" t="s">
        <v>40</v>
      </c>
      <c r="D459">
        <v>2021</v>
      </c>
      <c r="E459">
        <v>5.0052790018873416</v>
      </c>
      <c r="F459">
        <v>4.8848712783015431</v>
      </c>
      <c r="G459">
        <f t="shared" si="7"/>
        <v>-0.12040772358579854</v>
      </c>
      <c r="H459">
        <v>0.1559916018212551</v>
      </c>
      <c r="I459" t="s">
        <v>80</v>
      </c>
    </row>
    <row r="460" spans="1:9" x14ac:dyDescent="0.35">
      <c r="A460" t="s">
        <v>36</v>
      </c>
      <c r="B460" t="s">
        <v>59</v>
      </c>
      <c r="C460" t="s">
        <v>38</v>
      </c>
      <c r="D460">
        <v>2021</v>
      </c>
      <c r="E460">
        <v>4.4031542878007812</v>
      </c>
      <c r="F460">
        <v>4.8848712783015431</v>
      </c>
      <c r="G460">
        <f t="shared" si="7"/>
        <v>0.48171699050076189</v>
      </c>
      <c r="H460">
        <v>0.1559916018212551</v>
      </c>
      <c r="I460" t="s">
        <v>80</v>
      </c>
    </row>
    <row r="461" spans="1:9" x14ac:dyDescent="0.35">
      <c r="A461" t="s">
        <v>36</v>
      </c>
      <c r="B461" t="s">
        <v>60</v>
      </c>
      <c r="C461" t="s">
        <v>40</v>
      </c>
      <c r="D461">
        <v>2021</v>
      </c>
      <c r="E461">
        <v>3.407915196652112</v>
      </c>
      <c r="F461">
        <v>4.8848712783015431</v>
      </c>
      <c r="G461">
        <f t="shared" si="7"/>
        <v>1.4769560816494312</v>
      </c>
      <c r="H461">
        <v>0.1559916018212551</v>
      </c>
      <c r="I461" t="s">
        <v>80</v>
      </c>
    </row>
    <row r="462" spans="1:9" x14ac:dyDescent="0.35">
      <c r="A462" t="s">
        <v>67</v>
      </c>
      <c r="B462" t="s">
        <v>57</v>
      </c>
      <c r="C462" t="s">
        <v>38</v>
      </c>
      <c r="D462">
        <v>2021</v>
      </c>
      <c r="E462">
        <v>4.1239049795648741</v>
      </c>
      <c r="F462">
        <v>6.0667175798443678</v>
      </c>
      <c r="G462">
        <f t="shared" si="7"/>
        <v>1.9428126002794937</v>
      </c>
      <c r="H462">
        <v>0.14637497707145941</v>
      </c>
      <c r="I462" t="s">
        <v>80</v>
      </c>
    </row>
    <row r="463" spans="1:9" x14ac:dyDescent="0.35">
      <c r="A463" t="s">
        <v>67</v>
      </c>
      <c r="B463" t="s">
        <v>58</v>
      </c>
      <c r="C463" t="s">
        <v>40</v>
      </c>
      <c r="D463">
        <v>2021</v>
      </c>
      <c r="E463">
        <v>6.6899129841448302</v>
      </c>
      <c r="F463">
        <v>6.0667175798443678</v>
      </c>
      <c r="G463">
        <f t="shared" si="7"/>
        <v>-0.62319540430046239</v>
      </c>
      <c r="H463">
        <v>0.14637497707145941</v>
      </c>
      <c r="I463" t="s">
        <v>80</v>
      </c>
    </row>
    <row r="464" spans="1:9" x14ac:dyDescent="0.35">
      <c r="A464" t="s">
        <v>67</v>
      </c>
      <c r="B464" t="s">
        <v>59</v>
      </c>
      <c r="C464" t="s">
        <v>38</v>
      </c>
      <c r="D464">
        <v>2021</v>
      </c>
      <c r="E464">
        <v>5.9836029339416452</v>
      </c>
      <c r="F464">
        <v>6.0667175798443678</v>
      </c>
      <c r="G464">
        <f t="shared" si="7"/>
        <v>8.311464590272255E-2</v>
      </c>
      <c r="H464">
        <v>0.14637497707145941</v>
      </c>
      <c r="I464" t="s">
        <v>80</v>
      </c>
    </row>
    <row r="465" spans="1:9" x14ac:dyDescent="0.35">
      <c r="A465" t="s">
        <v>67</v>
      </c>
      <c r="B465" t="s">
        <v>60</v>
      </c>
      <c r="C465" t="s">
        <v>40</v>
      </c>
      <c r="D465">
        <v>2021</v>
      </c>
      <c r="E465">
        <v>4.5423071463688514</v>
      </c>
      <c r="F465">
        <v>6.0667175798443678</v>
      </c>
      <c r="G465">
        <f t="shared" si="7"/>
        <v>1.5244104334755164</v>
      </c>
      <c r="H465">
        <v>0.14637497707145941</v>
      </c>
      <c r="I465" t="s">
        <v>80</v>
      </c>
    </row>
    <row r="466" spans="1:9" x14ac:dyDescent="0.35">
      <c r="A466" t="s">
        <v>69</v>
      </c>
      <c r="B466" t="s">
        <v>57</v>
      </c>
      <c r="C466" t="s">
        <v>38</v>
      </c>
      <c r="D466">
        <v>2021</v>
      </c>
      <c r="E466">
        <v>5.3508536215682634</v>
      </c>
      <c r="F466">
        <v>6.4693143142877041</v>
      </c>
      <c r="G466">
        <f t="shared" si="7"/>
        <v>1.1184606927194407</v>
      </c>
      <c r="H466">
        <v>0.15242426670940859</v>
      </c>
      <c r="I466" t="s">
        <v>80</v>
      </c>
    </row>
    <row r="467" spans="1:9" x14ac:dyDescent="0.35">
      <c r="A467" t="s">
        <v>69</v>
      </c>
      <c r="B467" t="s">
        <v>58</v>
      </c>
      <c r="C467" t="s">
        <v>40</v>
      </c>
      <c r="D467">
        <v>2021</v>
      </c>
      <c r="E467">
        <v>6.9761759541974167</v>
      </c>
      <c r="F467">
        <v>6.4693143142877041</v>
      </c>
      <c r="G467">
        <f t="shared" si="7"/>
        <v>-0.50686163990971256</v>
      </c>
      <c r="H467">
        <v>0.15242426670940859</v>
      </c>
      <c r="I467" t="s">
        <v>80</v>
      </c>
    </row>
    <row r="468" spans="1:9" x14ac:dyDescent="0.35">
      <c r="A468" t="s">
        <v>69</v>
      </c>
      <c r="B468" t="s">
        <v>59</v>
      </c>
      <c r="C468" t="s">
        <v>38</v>
      </c>
      <c r="D468">
        <v>2021</v>
      </c>
      <c r="E468">
        <v>4.6234510847103616</v>
      </c>
      <c r="F468">
        <v>6.4693143142877041</v>
      </c>
      <c r="G468">
        <f t="shared" si="7"/>
        <v>1.8458632295773425</v>
      </c>
      <c r="H468">
        <v>0.15242426670940859</v>
      </c>
      <c r="I468" t="s">
        <v>80</v>
      </c>
    </row>
    <row r="469" spans="1:9" x14ac:dyDescent="0.35">
      <c r="A469" t="s">
        <v>69</v>
      </c>
      <c r="B469" t="s">
        <v>60</v>
      </c>
      <c r="C469" t="s">
        <v>40</v>
      </c>
      <c r="D469">
        <v>2021</v>
      </c>
      <c r="E469">
        <v>5.8812532644924698</v>
      </c>
      <c r="F469">
        <v>6.4693143142877041</v>
      </c>
      <c r="G469">
        <f t="shared" si="7"/>
        <v>0.58806104979523433</v>
      </c>
      <c r="H469">
        <v>0.15242426670940859</v>
      </c>
      <c r="I469" t="s">
        <v>80</v>
      </c>
    </row>
    <row r="470" spans="1:9" x14ac:dyDescent="0.35">
      <c r="A470" t="s">
        <v>73</v>
      </c>
      <c r="B470" t="s">
        <v>57</v>
      </c>
      <c r="C470" t="s">
        <v>38</v>
      </c>
      <c r="D470">
        <v>2021</v>
      </c>
      <c r="E470">
        <v>5.7952659026178077</v>
      </c>
      <c r="F470">
        <v>6.5701884772546428</v>
      </c>
      <c r="G470">
        <f t="shared" si="7"/>
        <v>0.77492257463683512</v>
      </c>
      <c r="H470">
        <v>0.16207230967799771</v>
      </c>
      <c r="I470" t="s">
        <v>80</v>
      </c>
    </row>
    <row r="471" spans="1:9" x14ac:dyDescent="0.35">
      <c r="A471" t="s">
        <v>73</v>
      </c>
      <c r="B471" t="s">
        <v>58</v>
      </c>
      <c r="C471" t="s">
        <v>40</v>
      </c>
      <c r="D471">
        <v>2021</v>
      </c>
      <c r="E471">
        <v>7.4011344913377686</v>
      </c>
      <c r="F471">
        <v>6.5701884772546428</v>
      </c>
      <c r="G471">
        <f t="shared" si="7"/>
        <v>-0.83094601408312574</v>
      </c>
      <c r="H471">
        <v>0.16207230967799771</v>
      </c>
      <c r="I471" t="s">
        <v>80</v>
      </c>
    </row>
    <row r="472" spans="1:9" x14ac:dyDescent="0.35">
      <c r="A472" t="s">
        <v>73</v>
      </c>
      <c r="B472" t="s">
        <v>59</v>
      </c>
      <c r="C472" t="s">
        <v>38</v>
      </c>
      <c r="D472">
        <v>2021</v>
      </c>
      <c r="E472">
        <v>6.5425794292067074</v>
      </c>
      <c r="F472">
        <v>6.5701884772546428</v>
      </c>
      <c r="G472">
        <f t="shared" si="7"/>
        <v>2.7609048047935403E-2</v>
      </c>
      <c r="H472">
        <v>0.16207230967799771</v>
      </c>
      <c r="I472" t="s">
        <v>80</v>
      </c>
    </row>
    <row r="473" spans="1:9" x14ac:dyDescent="0.35">
      <c r="A473" t="s">
        <v>73</v>
      </c>
      <c r="B473" t="s">
        <v>60</v>
      </c>
      <c r="C473" t="s">
        <v>40</v>
      </c>
      <c r="D473">
        <v>2021</v>
      </c>
      <c r="E473">
        <v>5.7147026734028614</v>
      </c>
      <c r="F473">
        <v>6.5701884772546428</v>
      </c>
      <c r="G473">
        <f t="shared" si="7"/>
        <v>0.85548580385178141</v>
      </c>
      <c r="H473">
        <v>0.16207230967799771</v>
      </c>
      <c r="I473" t="s">
        <v>80</v>
      </c>
    </row>
    <row r="474" spans="1:9" x14ac:dyDescent="0.35">
      <c r="A474" t="s">
        <v>74</v>
      </c>
      <c r="B474" t="s">
        <v>57</v>
      </c>
      <c r="C474" t="s">
        <v>38</v>
      </c>
      <c r="D474">
        <v>2021</v>
      </c>
      <c r="E474">
        <v>2.947813244873676</v>
      </c>
      <c r="F474">
        <v>15.1246997065809</v>
      </c>
      <c r="G474">
        <f t="shared" si="7"/>
        <v>12.176886461707223</v>
      </c>
      <c r="H474">
        <v>0.19515385353486889</v>
      </c>
      <c r="I474" t="s">
        <v>80</v>
      </c>
    </row>
    <row r="475" spans="1:9" x14ac:dyDescent="0.35">
      <c r="A475" t="s">
        <v>74</v>
      </c>
      <c r="B475" t="s">
        <v>58</v>
      </c>
      <c r="C475" t="s">
        <v>40</v>
      </c>
      <c r="D475">
        <v>2021</v>
      </c>
      <c r="E475">
        <v>6.0844415228506374</v>
      </c>
      <c r="F475">
        <v>15.1246997065809</v>
      </c>
      <c r="G475">
        <f t="shared" si="7"/>
        <v>9.0402581837302627</v>
      </c>
      <c r="H475">
        <v>0.19515385353486889</v>
      </c>
      <c r="I475" t="s">
        <v>80</v>
      </c>
    </row>
    <row r="476" spans="1:9" x14ac:dyDescent="0.35">
      <c r="A476" t="s">
        <v>74</v>
      </c>
      <c r="B476" t="s">
        <v>59</v>
      </c>
      <c r="C476" t="s">
        <v>38</v>
      </c>
      <c r="D476">
        <v>2021</v>
      </c>
      <c r="E476">
        <v>14.562981111404421</v>
      </c>
      <c r="F476">
        <v>15.1246997065809</v>
      </c>
      <c r="G476">
        <f t="shared" si="7"/>
        <v>0.5617185951764796</v>
      </c>
      <c r="H476">
        <v>0.19515385353486889</v>
      </c>
      <c r="I476" t="s">
        <v>80</v>
      </c>
    </row>
    <row r="477" spans="1:9" x14ac:dyDescent="0.35">
      <c r="A477" t="s">
        <v>74</v>
      </c>
      <c r="B477" t="s">
        <v>60</v>
      </c>
      <c r="C477" t="s">
        <v>40</v>
      </c>
      <c r="D477">
        <v>2021</v>
      </c>
      <c r="E477">
        <v>4.5993257541988797</v>
      </c>
      <c r="F477">
        <v>15.1246997065809</v>
      </c>
      <c r="G477">
        <f t="shared" si="7"/>
        <v>10.52537395238202</v>
      </c>
      <c r="H477">
        <v>0.19515385353486889</v>
      </c>
      <c r="I477" t="s">
        <v>80</v>
      </c>
    </row>
    <row r="478" spans="1:9" x14ac:dyDescent="0.35">
      <c r="A478" t="s">
        <v>76</v>
      </c>
      <c r="B478" t="s">
        <v>57</v>
      </c>
      <c r="C478" t="s">
        <v>38</v>
      </c>
      <c r="D478">
        <v>2021</v>
      </c>
      <c r="E478">
        <v>2.161323818880434</v>
      </c>
      <c r="F478">
        <v>6.0197643563294596</v>
      </c>
      <c r="G478">
        <f t="shared" si="7"/>
        <v>3.8584405374490256</v>
      </c>
      <c r="H478">
        <v>0.17060593737291579</v>
      </c>
      <c r="I478" t="s">
        <v>80</v>
      </c>
    </row>
    <row r="479" spans="1:9" x14ac:dyDescent="0.35">
      <c r="A479" t="s">
        <v>76</v>
      </c>
      <c r="B479" t="s">
        <v>58</v>
      </c>
      <c r="C479" t="s">
        <v>40</v>
      </c>
      <c r="D479">
        <v>2021</v>
      </c>
      <c r="E479">
        <v>4.963640025345617</v>
      </c>
      <c r="F479">
        <v>6.0197643563294596</v>
      </c>
      <c r="G479">
        <f t="shared" si="7"/>
        <v>1.0561243309838426</v>
      </c>
      <c r="H479">
        <v>0.17060593737291579</v>
      </c>
      <c r="I479" t="s">
        <v>80</v>
      </c>
    </row>
    <row r="480" spans="1:9" x14ac:dyDescent="0.35">
      <c r="A480" t="s">
        <v>76</v>
      </c>
      <c r="B480" t="s">
        <v>59</v>
      </c>
      <c r="C480" t="s">
        <v>38</v>
      </c>
      <c r="D480">
        <v>2021</v>
      </c>
      <c r="E480">
        <v>3.9728248180522558</v>
      </c>
      <c r="F480">
        <v>6.0197643563294596</v>
      </c>
      <c r="G480">
        <f t="shared" si="7"/>
        <v>2.0469395382772038</v>
      </c>
      <c r="H480">
        <v>0.17060593737291579</v>
      </c>
      <c r="I480" t="s">
        <v>80</v>
      </c>
    </row>
    <row r="481" spans="1:9" x14ac:dyDescent="0.35">
      <c r="A481" t="s">
        <v>76</v>
      </c>
      <c r="B481" t="s">
        <v>60</v>
      </c>
      <c r="C481" t="s">
        <v>40</v>
      </c>
      <c r="D481">
        <v>2021</v>
      </c>
      <c r="E481">
        <v>2.3382369164345769</v>
      </c>
      <c r="F481">
        <v>6.0197643563294596</v>
      </c>
      <c r="G481">
        <f t="shared" si="7"/>
        <v>3.6815274398948827</v>
      </c>
      <c r="H481">
        <v>0.17060593737291579</v>
      </c>
      <c r="I481" t="s">
        <v>80</v>
      </c>
    </row>
    <row r="482" spans="1:9" x14ac:dyDescent="0.35">
      <c r="A482" t="s">
        <v>77</v>
      </c>
      <c r="B482" t="s">
        <v>57</v>
      </c>
      <c r="C482" t="s">
        <v>38</v>
      </c>
      <c r="D482">
        <v>2021</v>
      </c>
      <c r="E482">
        <v>5.3606609364002189</v>
      </c>
      <c r="F482">
        <v>5.4098373027499997</v>
      </c>
      <c r="G482">
        <f t="shared" si="7"/>
        <v>4.9176366349780842E-2</v>
      </c>
      <c r="H482">
        <v>0.15193398171114969</v>
      </c>
      <c r="I482" t="s">
        <v>80</v>
      </c>
    </row>
    <row r="483" spans="1:9" x14ac:dyDescent="0.35">
      <c r="A483" t="s">
        <v>77</v>
      </c>
      <c r="B483" t="s">
        <v>58</v>
      </c>
      <c r="C483" t="s">
        <v>40</v>
      </c>
      <c r="D483">
        <v>2021</v>
      </c>
      <c r="E483">
        <v>5.8179091621113344</v>
      </c>
      <c r="F483">
        <v>5.4098373027499997</v>
      </c>
      <c r="G483">
        <f t="shared" si="7"/>
        <v>-0.40807185936133461</v>
      </c>
      <c r="H483">
        <v>0.15193398171114969</v>
      </c>
      <c r="I483" t="s">
        <v>80</v>
      </c>
    </row>
    <row r="484" spans="1:9" x14ac:dyDescent="0.35">
      <c r="A484" t="s">
        <v>77</v>
      </c>
      <c r="B484" t="s">
        <v>59</v>
      </c>
      <c r="C484" t="s">
        <v>38</v>
      </c>
      <c r="D484">
        <v>2021</v>
      </c>
      <c r="E484">
        <v>4.5428064601391371</v>
      </c>
      <c r="F484">
        <v>5.4098373027499997</v>
      </c>
      <c r="G484">
        <f t="shared" si="7"/>
        <v>0.86703084261086261</v>
      </c>
      <c r="H484">
        <v>0.15193398171114969</v>
      </c>
      <c r="I484" t="s">
        <v>80</v>
      </c>
    </row>
    <row r="485" spans="1:9" x14ac:dyDescent="0.35">
      <c r="A485" t="s">
        <v>77</v>
      </c>
      <c r="B485" t="s">
        <v>60</v>
      </c>
      <c r="C485" t="s">
        <v>40</v>
      </c>
      <c r="D485">
        <v>2021</v>
      </c>
      <c r="E485">
        <v>3.9441078773994498</v>
      </c>
      <c r="F485">
        <v>5.4098373027499997</v>
      </c>
      <c r="G485">
        <f t="shared" si="7"/>
        <v>1.46572942535055</v>
      </c>
      <c r="H485">
        <v>0.15193398171114969</v>
      </c>
      <c r="I485" t="s">
        <v>80</v>
      </c>
    </row>
    <row r="486" spans="1:9" x14ac:dyDescent="0.35">
      <c r="A486" t="s">
        <v>36</v>
      </c>
      <c r="B486" t="s">
        <v>59</v>
      </c>
      <c r="C486" t="s">
        <v>38</v>
      </c>
      <c r="D486">
        <v>2022</v>
      </c>
      <c r="E486">
        <v>4.8883580526853274</v>
      </c>
      <c r="F486">
        <v>5.2899005620960757</v>
      </c>
      <c r="G486">
        <f t="shared" si="7"/>
        <v>0.40154250941074832</v>
      </c>
      <c r="H486">
        <v>0.15603500394963879</v>
      </c>
      <c r="I486" t="s">
        <v>80</v>
      </c>
    </row>
    <row r="487" spans="1:9" x14ac:dyDescent="0.35">
      <c r="A487" t="s">
        <v>36</v>
      </c>
      <c r="B487" t="s">
        <v>60</v>
      </c>
      <c r="C487" t="s">
        <v>40</v>
      </c>
      <c r="D487">
        <v>2022</v>
      </c>
      <c r="E487">
        <v>4.2814646537613577</v>
      </c>
      <c r="F487">
        <v>5.2899005620960757</v>
      </c>
      <c r="G487">
        <f t="shared" si="7"/>
        <v>1.0084359083347181</v>
      </c>
      <c r="H487">
        <v>0.15603500394963879</v>
      </c>
      <c r="I487" t="s">
        <v>80</v>
      </c>
    </row>
    <row r="488" spans="1:9" x14ac:dyDescent="0.35">
      <c r="A488" t="s">
        <v>36</v>
      </c>
      <c r="B488" t="s">
        <v>61</v>
      </c>
      <c r="C488" t="s">
        <v>38</v>
      </c>
      <c r="D488">
        <v>2022</v>
      </c>
      <c r="E488">
        <v>4.6469116666415733</v>
      </c>
      <c r="F488">
        <v>5.2899005620960757</v>
      </c>
      <c r="G488">
        <f t="shared" si="7"/>
        <v>0.64298889545450244</v>
      </c>
      <c r="H488">
        <v>0.15603500394963879</v>
      </c>
      <c r="I488" t="s">
        <v>80</v>
      </c>
    </row>
    <row r="489" spans="1:9" x14ac:dyDescent="0.35">
      <c r="A489" t="s">
        <v>36</v>
      </c>
      <c r="B489" t="s">
        <v>62</v>
      </c>
      <c r="C489" t="s">
        <v>40</v>
      </c>
      <c r="D489">
        <v>2022</v>
      </c>
      <c r="E489">
        <v>3.9196460068068979</v>
      </c>
      <c r="F489">
        <v>5.2899005620960757</v>
      </c>
      <c r="G489">
        <f t="shared" si="7"/>
        <v>1.3702545552891778</v>
      </c>
      <c r="H489">
        <v>0.15603500394963879</v>
      </c>
      <c r="I489" t="s">
        <v>80</v>
      </c>
    </row>
    <row r="490" spans="1:9" x14ac:dyDescent="0.35">
      <c r="A490" t="s">
        <v>67</v>
      </c>
      <c r="B490" t="s">
        <v>59</v>
      </c>
      <c r="C490" t="s">
        <v>38</v>
      </c>
      <c r="D490">
        <v>2022</v>
      </c>
      <c r="E490">
        <v>2.6471364529380592</v>
      </c>
      <c r="F490">
        <v>3.945716681463399</v>
      </c>
      <c r="G490">
        <f t="shared" si="7"/>
        <v>1.2985802285253398</v>
      </c>
      <c r="H490">
        <v>0.14806210436677841</v>
      </c>
      <c r="I490" t="s">
        <v>80</v>
      </c>
    </row>
    <row r="491" spans="1:9" x14ac:dyDescent="0.35">
      <c r="A491" t="s">
        <v>67</v>
      </c>
      <c r="B491" t="s">
        <v>60</v>
      </c>
      <c r="C491" t="s">
        <v>40</v>
      </c>
      <c r="D491">
        <v>2022</v>
      </c>
      <c r="E491">
        <v>3.671117125209777</v>
      </c>
      <c r="F491">
        <v>3.945716681463399</v>
      </c>
      <c r="G491">
        <f t="shared" si="7"/>
        <v>0.27459955625362209</v>
      </c>
      <c r="H491">
        <v>0.14806210436677841</v>
      </c>
      <c r="I491" t="s">
        <v>80</v>
      </c>
    </row>
    <row r="492" spans="1:9" x14ac:dyDescent="0.35">
      <c r="A492" t="s">
        <v>67</v>
      </c>
      <c r="B492" t="s">
        <v>61</v>
      </c>
      <c r="C492" t="s">
        <v>38</v>
      </c>
      <c r="D492">
        <v>2022</v>
      </c>
      <c r="E492">
        <v>2.8171147512312089</v>
      </c>
      <c r="F492">
        <v>3.945716681463399</v>
      </c>
      <c r="G492">
        <f t="shared" si="7"/>
        <v>1.1286019302321901</v>
      </c>
      <c r="H492">
        <v>0.14806210436677841</v>
      </c>
      <c r="I492" t="s">
        <v>80</v>
      </c>
    </row>
    <row r="493" spans="1:9" x14ac:dyDescent="0.35">
      <c r="A493" t="s">
        <v>67</v>
      </c>
      <c r="B493" t="s">
        <v>62</v>
      </c>
      <c r="C493" t="s">
        <v>40</v>
      </c>
      <c r="D493">
        <v>2022</v>
      </c>
      <c r="E493">
        <v>2.0165795618690252</v>
      </c>
      <c r="F493">
        <v>3.945716681463399</v>
      </c>
      <c r="G493">
        <f t="shared" si="7"/>
        <v>1.9291371195943738</v>
      </c>
      <c r="H493">
        <v>0.14806210436677841</v>
      </c>
      <c r="I493" t="s">
        <v>80</v>
      </c>
    </row>
    <row r="494" spans="1:9" x14ac:dyDescent="0.35">
      <c r="A494" t="s">
        <v>73</v>
      </c>
      <c r="B494" t="s">
        <v>59</v>
      </c>
      <c r="C494" t="s">
        <v>38</v>
      </c>
      <c r="D494">
        <v>2022</v>
      </c>
      <c r="E494">
        <v>3.7661475579403141</v>
      </c>
      <c r="F494">
        <v>2.761671160127166</v>
      </c>
      <c r="G494">
        <f t="shared" si="7"/>
        <v>-1.0044763978131481</v>
      </c>
      <c r="H494">
        <v>0.1686231784194008</v>
      </c>
      <c r="I494" t="s">
        <v>80</v>
      </c>
    </row>
    <row r="495" spans="1:9" x14ac:dyDescent="0.35">
      <c r="A495" t="s">
        <v>73</v>
      </c>
      <c r="B495" t="s">
        <v>60</v>
      </c>
      <c r="C495" t="s">
        <v>40</v>
      </c>
      <c r="D495">
        <v>2022</v>
      </c>
      <c r="E495">
        <v>4.2114770737248453</v>
      </c>
      <c r="F495">
        <v>2.761671160127166</v>
      </c>
      <c r="G495">
        <f t="shared" si="7"/>
        <v>-1.4498059135976793</v>
      </c>
      <c r="H495">
        <v>0.1686231784194008</v>
      </c>
      <c r="I495" t="s">
        <v>80</v>
      </c>
    </row>
    <row r="496" spans="1:9" x14ac:dyDescent="0.35">
      <c r="A496" t="s">
        <v>73</v>
      </c>
      <c r="B496" t="s">
        <v>61</v>
      </c>
      <c r="C496" t="s">
        <v>38</v>
      </c>
      <c r="D496">
        <v>2022</v>
      </c>
      <c r="E496">
        <v>2.6294584401195249</v>
      </c>
      <c r="F496">
        <v>2.761671160127166</v>
      </c>
      <c r="G496">
        <f t="shared" si="7"/>
        <v>0.13221272000764106</v>
      </c>
      <c r="H496">
        <v>0.1686231784194008</v>
      </c>
      <c r="I496" t="s">
        <v>80</v>
      </c>
    </row>
    <row r="497" spans="1:9" x14ac:dyDescent="0.35">
      <c r="A497" t="s">
        <v>73</v>
      </c>
      <c r="B497" t="s">
        <v>62</v>
      </c>
      <c r="C497" t="s">
        <v>40</v>
      </c>
      <c r="D497">
        <v>2022</v>
      </c>
      <c r="E497">
        <v>3.0989524183168582</v>
      </c>
      <c r="F497">
        <v>2.761671160127166</v>
      </c>
      <c r="G497">
        <f t="shared" si="7"/>
        <v>-0.33728125818969223</v>
      </c>
      <c r="H497">
        <v>0.1686231784194008</v>
      </c>
      <c r="I497" t="s">
        <v>80</v>
      </c>
    </row>
    <row r="498" spans="1:9" x14ac:dyDescent="0.35">
      <c r="A498" t="s">
        <v>74</v>
      </c>
      <c r="B498" t="s">
        <v>59</v>
      </c>
      <c r="C498" t="s">
        <v>38</v>
      </c>
      <c r="D498">
        <v>2022</v>
      </c>
      <c r="E498">
        <v>5.0918722980731523</v>
      </c>
      <c r="F498">
        <v>7.9894443369245964</v>
      </c>
      <c r="G498">
        <f t="shared" si="7"/>
        <v>2.8975720388514441</v>
      </c>
      <c r="H498">
        <v>0.25178245429196833</v>
      </c>
      <c r="I498" t="s">
        <v>80</v>
      </c>
    </row>
    <row r="499" spans="1:9" x14ac:dyDescent="0.35">
      <c r="A499" t="s">
        <v>74</v>
      </c>
      <c r="B499" t="s">
        <v>60</v>
      </c>
      <c r="C499" t="s">
        <v>40</v>
      </c>
      <c r="D499">
        <v>2022</v>
      </c>
      <c r="E499">
        <v>4.9759868399277041</v>
      </c>
      <c r="F499">
        <v>7.9894443369245964</v>
      </c>
      <c r="G499">
        <f t="shared" si="7"/>
        <v>3.0134574969968924</v>
      </c>
      <c r="H499">
        <v>0.25178245429196833</v>
      </c>
      <c r="I499" t="s">
        <v>80</v>
      </c>
    </row>
    <row r="500" spans="1:9" x14ac:dyDescent="0.35">
      <c r="A500" t="s">
        <v>74</v>
      </c>
      <c r="B500" t="s">
        <v>61</v>
      </c>
      <c r="C500" t="s">
        <v>38</v>
      </c>
      <c r="D500">
        <v>2022</v>
      </c>
      <c r="E500">
        <v>7.8710837662645083</v>
      </c>
      <c r="F500">
        <v>7.9894443369245964</v>
      </c>
      <c r="G500">
        <f t="shared" si="7"/>
        <v>0.11836057066008809</v>
      </c>
      <c r="H500">
        <v>0.25178245429196833</v>
      </c>
      <c r="I500" t="s">
        <v>80</v>
      </c>
    </row>
    <row r="501" spans="1:9" x14ac:dyDescent="0.35">
      <c r="A501" t="s">
        <v>74</v>
      </c>
      <c r="B501" t="s">
        <v>62</v>
      </c>
      <c r="C501" t="s">
        <v>40</v>
      </c>
      <c r="D501">
        <v>2022</v>
      </c>
      <c r="E501">
        <v>5.3816861962496354</v>
      </c>
      <c r="F501">
        <v>7.9894443369245964</v>
      </c>
      <c r="G501">
        <f t="shared" si="7"/>
        <v>2.607758140674961</v>
      </c>
      <c r="H501">
        <v>0.25178245429196833</v>
      </c>
      <c r="I501" t="s">
        <v>80</v>
      </c>
    </row>
    <row r="502" spans="1:9" x14ac:dyDescent="0.35">
      <c r="A502" t="s">
        <v>76</v>
      </c>
      <c r="B502" t="s">
        <v>59</v>
      </c>
      <c r="C502" t="s">
        <v>38</v>
      </c>
      <c r="D502">
        <v>2022</v>
      </c>
      <c r="E502">
        <v>3.3489770835561039</v>
      </c>
      <c r="F502">
        <v>4.8892912104023152</v>
      </c>
      <c r="G502">
        <f t="shared" si="7"/>
        <v>1.5403141268462113</v>
      </c>
      <c r="H502">
        <v>0.1723953161408304</v>
      </c>
      <c r="I502" t="s">
        <v>80</v>
      </c>
    </row>
    <row r="503" spans="1:9" x14ac:dyDescent="0.35">
      <c r="A503" t="s">
        <v>76</v>
      </c>
      <c r="B503" t="s">
        <v>60</v>
      </c>
      <c r="C503" t="s">
        <v>40</v>
      </c>
      <c r="D503">
        <v>2022</v>
      </c>
      <c r="E503">
        <v>3.5790486712876879</v>
      </c>
      <c r="F503">
        <v>4.8892912104023152</v>
      </c>
      <c r="G503">
        <f t="shared" si="7"/>
        <v>1.3102425391146273</v>
      </c>
      <c r="H503">
        <v>0.1723953161408304</v>
      </c>
      <c r="I503" t="s">
        <v>80</v>
      </c>
    </row>
    <row r="504" spans="1:9" x14ac:dyDescent="0.35">
      <c r="A504" t="s">
        <v>76</v>
      </c>
      <c r="B504" t="s">
        <v>61</v>
      </c>
      <c r="C504" t="s">
        <v>38</v>
      </c>
      <c r="D504">
        <v>2022</v>
      </c>
      <c r="E504">
        <v>4.6490196630740721</v>
      </c>
      <c r="F504">
        <v>4.8892912104023152</v>
      </c>
      <c r="G504">
        <f t="shared" si="7"/>
        <v>0.24027154732824307</v>
      </c>
      <c r="H504">
        <v>0.1723953161408304</v>
      </c>
      <c r="I504" t="s">
        <v>80</v>
      </c>
    </row>
    <row r="505" spans="1:9" x14ac:dyDescent="0.35">
      <c r="A505" t="s">
        <v>76</v>
      </c>
      <c r="B505" t="s">
        <v>62</v>
      </c>
      <c r="C505" t="s">
        <v>40</v>
      </c>
      <c r="D505">
        <v>2022</v>
      </c>
      <c r="E505">
        <v>3.271330674458595</v>
      </c>
      <c r="F505">
        <v>4.8892912104023152</v>
      </c>
      <c r="G505">
        <f t="shared" si="7"/>
        <v>1.6179605359437201</v>
      </c>
      <c r="H505">
        <v>0.1723953161408304</v>
      </c>
      <c r="I505" t="s">
        <v>80</v>
      </c>
    </row>
    <row r="506" spans="1:9" x14ac:dyDescent="0.35">
      <c r="A506" t="s">
        <v>36</v>
      </c>
      <c r="B506" t="s">
        <v>61</v>
      </c>
      <c r="C506" t="s">
        <v>38</v>
      </c>
      <c r="D506">
        <v>2023</v>
      </c>
      <c r="E506">
        <v>0.30335623159960518</v>
      </c>
      <c r="F506">
        <v>-0.6768389272940647</v>
      </c>
      <c r="G506">
        <f t="shared" si="7"/>
        <v>-0.98019515889366993</v>
      </c>
      <c r="H506">
        <v>0.1673103527784183</v>
      </c>
      <c r="I506" t="s">
        <v>80</v>
      </c>
    </row>
    <row r="507" spans="1:9" x14ac:dyDescent="0.35">
      <c r="A507" t="s">
        <v>36</v>
      </c>
      <c r="B507" t="s">
        <v>62</v>
      </c>
      <c r="C507" t="s">
        <v>40</v>
      </c>
      <c r="D507">
        <v>2023</v>
      </c>
      <c r="E507">
        <v>1.874018674886258</v>
      </c>
      <c r="F507">
        <v>-0.6768389272940647</v>
      </c>
      <c r="G507">
        <f t="shared" si="7"/>
        <v>-2.5508576021803226</v>
      </c>
      <c r="H507">
        <v>0.1673103527784183</v>
      </c>
      <c r="I507" t="s">
        <v>80</v>
      </c>
    </row>
    <row r="508" spans="1:9" x14ac:dyDescent="0.35">
      <c r="A508" t="s">
        <v>36</v>
      </c>
      <c r="B508" t="s">
        <v>63</v>
      </c>
      <c r="C508" t="s">
        <v>38</v>
      </c>
      <c r="D508">
        <v>2023</v>
      </c>
      <c r="E508">
        <v>-0.54656439605949014</v>
      </c>
      <c r="F508">
        <v>-0.6768389272940647</v>
      </c>
      <c r="G508">
        <f t="shared" si="7"/>
        <v>-0.13027453123457455</v>
      </c>
      <c r="H508">
        <v>0.1673103527784183</v>
      </c>
      <c r="I508" t="s">
        <v>80</v>
      </c>
    </row>
    <row r="509" spans="1:9" x14ac:dyDescent="0.35">
      <c r="A509" t="s">
        <v>36</v>
      </c>
      <c r="B509" t="s">
        <v>64</v>
      </c>
      <c r="C509" t="s">
        <v>40</v>
      </c>
      <c r="D509">
        <v>2023</v>
      </c>
      <c r="E509">
        <v>0.39339786418057798</v>
      </c>
      <c r="F509">
        <v>-0.6768389272940647</v>
      </c>
      <c r="G509">
        <f t="shared" si="7"/>
        <v>-1.0702367914746427</v>
      </c>
      <c r="H509">
        <v>0.1673103527784183</v>
      </c>
      <c r="I509" t="s">
        <v>80</v>
      </c>
    </row>
    <row r="510" spans="1:9" x14ac:dyDescent="0.35">
      <c r="A510" t="s">
        <v>67</v>
      </c>
      <c r="B510" t="s">
        <v>61</v>
      </c>
      <c r="C510" t="s">
        <v>38</v>
      </c>
      <c r="D510">
        <v>2023</v>
      </c>
      <c r="E510">
        <v>0.1608186912456899</v>
      </c>
      <c r="F510">
        <v>1.5491827810755261</v>
      </c>
      <c r="G510">
        <f t="shared" si="7"/>
        <v>1.3883640898298362</v>
      </c>
      <c r="H510">
        <v>0.14690436069296811</v>
      </c>
      <c r="I510" t="s">
        <v>80</v>
      </c>
    </row>
    <row r="511" spans="1:9" x14ac:dyDescent="0.35">
      <c r="A511" t="s">
        <v>67</v>
      </c>
      <c r="B511" t="s">
        <v>62</v>
      </c>
      <c r="C511" t="s">
        <v>40</v>
      </c>
      <c r="D511">
        <v>2023</v>
      </c>
      <c r="E511">
        <v>1.7766240808305469</v>
      </c>
      <c r="F511">
        <v>1.5491827810755261</v>
      </c>
      <c r="G511">
        <f t="shared" si="7"/>
        <v>-0.22744129975502081</v>
      </c>
      <c r="H511">
        <v>0.14690436069296811</v>
      </c>
      <c r="I511" t="s">
        <v>80</v>
      </c>
    </row>
    <row r="512" spans="1:9" x14ac:dyDescent="0.35">
      <c r="A512" t="s">
        <v>67</v>
      </c>
      <c r="B512" t="s">
        <v>63</v>
      </c>
      <c r="C512" t="s">
        <v>38</v>
      </c>
      <c r="D512">
        <v>2023</v>
      </c>
      <c r="E512">
        <v>1.44096095579862</v>
      </c>
      <c r="F512">
        <v>1.5491827810755261</v>
      </c>
      <c r="G512">
        <f t="shared" si="7"/>
        <v>0.10822182527690605</v>
      </c>
      <c r="H512">
        <v>0.14690436069296811</v>
      </c>
      <c r="I512" t="s">
        <v>80</v>
      </c>
    </row>
    <row r="513" spans="1:9" x14ac:dyDescent="0.35">
      <c r="A513" t="s">
        <v>67</v>
      </c>
      <c r="B513" t="s">
        <v>64</v>
      </c>
      <c r="C513" t="s">
        <v>40</v>
      </c>
      <c r="D513">
        <v>2023</v>
      </c>
      <c r="E513">
        <v>1.2330728065618859</v>
      </c>
      <c r="F513">
        <v>1.5491827810755261</v>
      </c>
      <c r="G513">
        <f t="shared" si="7"/>
        <v>0.3161099745136402</v>
      </c>
      <c r="H513">
        <v>0.14690436069296811</v>
      </c>
      <c r="I513" t="s">
        <v>80</v>
      </c>
    </row>
    <row r="514" spans="1:9" x14ac:dyDescent="0.35">
      <c r="A514" t="s">
        <v>69</v>
      </c>
      <c r="B514" t="s">
        <v>61</v>
      </c>
      <c r="C514" t="s">
        <v>38</v>
      </c>
      <c r="D514">
        <v>2023</v>
      </c>
      <c r="E514">
        <v>0.95503996038659444</v>
      </c>
      <c r="F514">
        <v>2.4309784639696339</v>
      </c>
      <c r="G514">
        <f t="shared" ref="G514:G549" si="8">IF(OR(F514="",E514=""),"",F514-E514)</f>
        <v>1.4759385035830395</v>
      </c>
      <c r="H514">
        <v>0.14973134678937389</v>
      </c>
      <c r="I514" t="s">
        <v>80</v>
      </c>
    </row>
    <row r="515" spans="1:9" x14ac:dyDescent="0.35">
      <c r="A515" t="s">
        <v>69</v>
      </c>
      <c r="B515" t="s">
        <v>62</v>
      </c>
      <c r="C515" t="s">
        <v>40</v>
      </c>
      <c r="D515">
        <v>2023</v>
      </c>
      <c r="E515">
        <v>3.3729684974310499</v>
      </c>
      <c r="F515">
        <v>2.4309784639696339</v>
      </c>
      <c r="G515">
        <f t="shared" si="8"/>
        <v>-0.94199003346141597</v>
      </c>
      <c r="H515">
        <v>0.14973134678937389</v>
      </c>
      <c r="I515" t="s">
        <v>80</v>
      </c>
    </row>
    <row r="516" spans="1:9" x14ac:dyDescent="0.35">
      <c r="A516" t="s">
        <v>69</v>
      </c>
      <c r="B516" t="s">
        <v>63</v>
      </c>
      <c r="C516" t="s">
        <v>38</v>
      </c>
      <c r="D516">
        <v>2023</v>
      </c>
      <c r="E516">
        <v>2.3654844972287088</v>
      </c>
      <c r="F516">
        <v>2.4309784639696339</v>
      </c>
      <c r="G516">
        <f t="shared" si="8"/>
        <v>6.5493966740925114E-2</v>
      </c>
      <c r="H516">
        <v>0.14973134678937389</v>
      </c>
      <c r="I516" t="s">
        <v>80</v>
      </c>
    </row>
    <row r="517" spans="1:9" x14ac:dyDescent="0.35">
      <c r="A517" t="s">
        <v>69</v>
      </c>
      <c r="B517" t="s">
        <v>64</v>
      </c>
      <c r="C517" t="s">
        <v>40</v>
      </c>
      <c r="D517">
        <v>2023</v>
      </c>
      <c r="E517">
        <v>1.9366811763456671</v>
      </c>
      <c r="F517">
        <v>2.4309784639696339</v>
      </c>
      <c r="G517">
        <f t="shared" si="8"/>
        <v>0.49429728762396685</v>
      </c>
      <c r="H517">
        <v>0.14973134678937389</v>
      </c>
      <c r="I517" t="s">
        <v>80</v>
      </c>
    </row>
    <row r="518" spans="1:9" x14ac:dyDescent="0.35">
      <c r="A518" t="s">
        <v>73</v>
      </c>
      <c r="B518" t="s">
        <v>61</v>
      </c>
      <c r="C518" t="s">
        <v>38</v>
      </c>
      <c r="D518">
        <v>2023</v>
      </c>
      <c r="E518">
        <v>0.43950651458626311</v>
      </c>
      <c r="F518">
        <v>1.8022470831755071</v>
      </c>
      <c r="G518">
        <f t="shared" si="8"/>
        <v>1.362740568589244</v>
      </c>
      <c r="H518">
        <v>0.17349510563338269</v>
      </c>
      <c r="I518" t="s">
        <v>80</v>
      </c>
    </row>
    <row r="519" spans="1:9" x14ac:dyDescent="0.35">
      <c r="A519" t="s">
        <v>73</v>
      </c>
      <c r="B519" t="s">
        <v>62</v>
      </c>
      <c r="C519" t="s">
        <v>40</v>
      </c>
      <c r="D519">
        <v>2023</v>
      </c>
      <c r="E519">
        <v>1.7691091240616961</v>
      </c>
      <c r="F519">
        <v>1.8022470831755071</v>
      </c>
      <c r="G519">
        <f t="shared" si="8"/>
        <v>3.3137959113811011E-2</v>
      </c>
      <c r="H519">
        <v>0.17349510563338269</v>
      </c>
      <c r="I519" t="s">
        <v>80</v>
      </c>
    </row>
    <row r="520" spans="1:9" x14ac:dyDescent="0.35">
      <c r="A520" t="s">
        <v>73</v>
      </c>
      <c r="B520" t="s">
        <v>63</v>
      </c>
      <c r="C520" t="s">
        <v>38</v>
      </c>
      <c r="D520">
        <v>2023</v>
      </c>
      <c r="E520">
        <v>1.0022762950343991</v>
      </c>
      <c r="F520">
        <v>1.8022470831755071</v>
      </c>
      <c r="G520">
        <f t="shared" si="8"/>
        <v>0.799970788141108</v>
      </c>
      <c r="H520">
        <v>0.17349510563338269</v>
      </c>
      <c r="I520" t="s">
        <v>80</v>
      </c>
    </row>
    <row r="521" spans="1:9" x14ac:dyDescent="0.35">
      <c r="A521" t="s">
        <v>73</v>
      </c>
      <c r="B521" t="s">
        <v>64</v>
      </c>
      <c r="C521" t="s">
        <v>40</v>
      </c>
      <c r="D521">
        <v>2023</v>
      </c>
      <c r="E521">
        <v>0.72426026364131868</v>
      </c>
      <c r="F521">
        <v>1.8022470831755071</v>
      </c>
      <c r="G521">
        <f t="shared" si="8"/>
        <v>1.0779868195341884</v>
      </c>
      <c r="H521">
        <v>0.17349510563338269</v>
      </c>
      <c r="I521" t="s">
        <v>80</v>
      </c>
    </row>
    <row r="522" spans="1:9" x14ac:dyDescent="0.35">
      <c r="A522" t="s">
        <v>74</v>
      </c>
      <c r="B522" t="s">
        <v>61</v>
      </c>
      <c r="C522" t="s">
        <v>38</v>
      </c>
      <c r="D522">
        <v>2023</v>
      </c>
      <c r="E522">
        <v>3.172255506856847</v>
      </c>
      <c r="F522">
        <v>-3.5205103013764418</v>
      </c>
      <c r="G522">
        <f t="shared" si="8"/>
        <v>-6.6927658082332888</v>
      </c>
      <c r="H522">
        <v>0.19374804262614681</v>
      </c>
      <c r="I522" t="s">
        <v>80</v>
      </c>
    </row>
    <row r="523" spans="1:9" x14ac:dyDescent="0.35">
      <c r="A523" t="s">
        <v>74</v>
      </c>
      <c r="B523" t="s">
        <v>62</v>
      </c>
      <c r="C523" t="s">
        <v>40</v>
      </c>
      <c r="D523">
        <v>2023</v>
      </c>
      <c r="E523">
        <v>4.4348314017168322</v>
      </c>
      <c r="F523">
        <v>-3.5205103013764418</v>
      </c>
      <c r="G523">
        <f t="shared" si="8"/>
        <v>-7.955341703093274</v>
      </c>
      <c r="H523">
        <v>0.19374804262614681</v>
      </c>
      <c r="I523" t="s">
        <v>80</v>
      </c>
    </row>
    <row r="524" spans="1:9" x14ac:dyDescent="0.35">
      <c r="A524" t="s">
        <v>74</v>
      </c>
      <c r="B524" t="s">
        <v>63</v>
      </c>
      <c r="C524" t="s">
        <v>38</v>
      </c>
      <c r="D524">
        <v>2023</v>
      </c>
      <c r="E524">
        <v>-0.93495600507882415</v>
      </c>
      <c r="F524">
        <v>-3.5205103013764418</v>
      </c>
      <c r="G524">
        <f t="shared" si="8"/>
        <v>-2.5855542962976177</v>
      </c>
      <c r="H524">
        <v>0.19374804262614681</v>
      </c>
      <c r="I524" t="s">
        <v>80</v>
      </c>
    </row>
    <row r="525" spans="1:9" x14ac:dyDescent="0.35">
      <c r="A525" t="s">
        <v>74</v>
      </c>
      <c r="B525" t="s">
        <v>64</v>
      </c>
      <c r="C525" t="s">
        <v>40</v>
      </c>
      <c r="D525">
        <v>2023</v>
      </c>
      <c r="E525">
        <v>5.5170730455133654</v>
      </c>
      <c r="F525">
        <v>-3.5205103013764418</v>
      </c>
      <c r="G525">
        <f t="shared" si="8"/>
        <v>-9.0375833468898072</v>
      </c>
      <c r="H525">
        <v>0.19374804262614681</v>
      </c>
      <c r="I525" t="s">
        <v>80</v>
      </c>
    </row>
    <row r="526" spans="1:9" x14ac:dyDescent="0.35">
      <c r="A526" t="s">
        <v>76</v>
      </c>
      <c r="B526" t="s">
        <v>61</v>
      </c>
      <c r="C526" t="s">
        <v>38</v>
      </c>
      <c r="D526">
        <v>2023</v>
      </c>
      <c r="E526">
        <v>0.64857323528075828</v>
      </c>
      <c r="F526">
        <v>-0.58469355622177965</v>
      </c>
      <c r="G526">
        <f t="shared" si="8"/>
        <v>-1.2332667915025379</v>
      </c>
      <c r="H526">
        <v>0.16855357686097391</v>
      </c>
      <c r="I526" t="s">
        <v>80</v>
      </c>
    </row>
    <row r="527" spans="1:9" x14ac:dyDescent="0.35">
      <c r="A527" t="s">
        <v>76</v>
      </c>
      <c r="B527" t="s">
        <v>62</v>
      </c>
      <c r="C527" t="s">
        <v>40</v>
      </c>
      <c r="D527">
        <v>2023</v>
      </c>
      <c r="E527">
        <v>1.5682500170195011</v>
      </c>
      <c r="F527">
        <v>-0.58469355622177965</v>
      </c>
      <c r="G527">
        <f t="shared" si="8"/>
        <v>-2.1529435732412807</v>
      </c>
      <c r="H527">
        <v>0.16855357686097391</v>
      </c>
      <c r="I527" t="s">
        <v>80</v>
      </c>
    </row>
    <row r="528" spans="1:9" x14ac:dyDescent="0.35">
      <c r="A528" t="s">
        <v>76</v>
      </c>
      <c r="B528" t="s">
        <v>63</v>
      </c>
      <c r="C528" t="s">
        <v>38</v>
      </c>
      <c r="D528">
        <v>2023</v>
      </c>
      <c r="E528">
        <v>0.5799247285826814</v>
      </c>
      <c r="F528">
        <v>-0.58469355622177965</v>
      </c>
      <c r="G528">
        <f t="shared" si="8"/>
        <v>-1.1646182848044611</v>
      </c>
      <c r="H528">
        <v>0.16855357686097391</v>
      </c>
      <c r="I528" t="s">
        <v>80</v>
      </c>
    </row>
    <row r="529" spans="1:9" x14ac:dyDescent="0.35">
      <c r="A529" t="s">
        <v>76</v>
      </c>
      <c r="B529" t="s">
        <v>64</v>
      </c>
      <c r="C529" t="s">
        <v>40</v>
      </c>
      <c r="D529">
        <v>2023</v>
      </c>
      <c r="E529">
        <v>1.8009941751683021</v>
      </c>
      <c r="F529">
        <v>-0.58469355622177965</v>
      </c>
      <c r="G529">
        <f t="shared" si="8"/>
        <v>-2.3856877313900817</v>
      </c>
      <c r="H529">
        <v>0.16855357686097391</v>
      </c>
      <c r="I529" t="s">
        <v>80</v>
      </c>
    </row>
    <row r="530" spans="1:9" x14ac:dyDescent="0.35">
      <c r="A530" t="s">
        <v>36</v>
      </c>
      <c r="B530" t="s">
        <v>63</v>
      </c>
      <c r="C530" t="s">
        <v>38</v>
      </c>
      <c r="D530">
        <v>2024</v>
      </c>
      <c r="E530">
        <v>1.003014698305593</v>
      </c>
      <c r="F530">
        <v>-0.83360128885911988</v>
      </c>
      <c r="G530">
        <f t="shared" si="8"/>
        <v>-1.8366159871647127</v>
      </c>
      <c r="H530">
        <v>0.17496495406425419</v>
      </c>
      <c r="I530" t="s">
        <v>80</v>
      </c>
    </row>
    <row r="531" spans="1:9" x14ac:dyDescent="0.35">
      <c r="A531" t="s">
        <v>36</v>
      </c>
      <c r="B531" t="s">
        <v>64</v>
      </c>
      <c r="C531" t="s">
        <v>40</v>
      </c>
      <c r="D531">
        <v>2024</v>
      </c>
      <c r="E531">
        <v>1.612734355819456</v>
      </c>
      <c r="F531">
        <v>-0.83360128885911988</v>
      </c>
      <c r="G531">
        <f t="shared" si="8"/>
        <v>-2.4463356446785758</v>
      </c>
      <c r="H531">
        <v>0.17496495406425419</v>
      </c>
      <c r="I531" t="s">
        <v>80</v>
      </c>
    </row>
    <row r="532" spans="1:9" x14ac:dyDescent="0.35">
      <c r="A532" t="s">
        <v>36</v>
      </c>
      <c r="B532" t="s">
        <v>65</v>
      </c>
      <c r="C532" t="s">
        <v>38</v>
      </c>
      <c r="D532">
        <v>2024</v>
      </c>
      <c r="E532">
        <v>-0.62164843681992155</v>
      </c>
      <c r="F532">
        <v>-0.83360128885911988</v>
      </c>
      <c r="G532">
        <f t="shared" si="8"/>
        <v>-0.21195285203919834</v>
      </c>
      <c r="H532">
        <v>0.17496495406425419</v>
      </c>
      <c r="I532" t="s">
        <v>80</v>
      </c>
    </row>
    <row r="533" spans="1:9" x14ac:dyDescent="0.35">
      <c r="A533" t="s">
        <v>36</v>
      </c>
      <c r="B533" t="s">
        <v>66</v>
      </c>
      <c r="C533" t="s">
        <v>40</v>
      </c>
      <c r="D533">
        <v>2024</v>
      </c>
      <c r="E533">
        <v>0.29111977378135651</v>
      </c>
      <c r="F533">
        <v>-0.83360128885911988</v>
      </c>
      <c r="G533">
        <f t="shared" si="8"/>
        <v>-1.1247210626404764</v>
      </c>
      <c r="H533">
        <v>0.17496495406425419</v>
      </c>
      <c r="I533" t="s">
        <v>80</v>
      </c>
    </row>
    <row r="534" spans="1:9" x14ac:dyDescent="0.35">
      <c r="A534" t="s">
        <v>67</v>
      </c>
      <c r="B534" t="s">
        <v>63</v>
      </c>
      <c r="C534" t="s">
        <v>38</v>
      </c>
      <c r="D534">
        <v>2024</v>
      </c>
      <c r="E534">
        <v>1.366814397179428</v>
      </c>
      <c r="F534">
        <v>1.0917584184985489</v>
      </c>
      <c r="G534">
        <f t="shared" si="8"/>
        <v>-0.27505597868087905</v>
      </c>
      <c r="H534">
        <v>0.16444982264139649</v>
      </c>
      <c r="I534" t="s">
        <v>80</v>
      </c>
    </row>
    <row r="535" spans="1:9" x14ac:dyDescent="0.35">
      <c r="A535" t="s">
        <v>67</v>
      </c>
      <c r="B535" t="s">
        <v>64</v>
      </c>
      <c r="C535" t="s">
        <v>40</v>
      </c>
      <c r="D535">
        <v>2024</v>
      </c>
      <c r="E535">
        <v>1.3611844962323929</v>
      </c>
      <c r="F535">
        <v>1.0917584184985489</v>
      </c>
      <c r="G535">
        <f t="shared" si="8"/>
        <v>-0.26942607773384397</v>
      </c>
      <c r="H535">
        <v>0.16444982264139649</v>
      </c>
      <c r="I535" t="s">
        <v>80</v>
      </c>
    </row>
    <row r="536" spans="1:9" x14ac:dyDescent="0.35">
      <c r="A536" t="s">
        <v>67</v>
      </c>
      <c r="B536" t="s">
        <v>65</v>
      </c>
      <c r="C536" t="s">
        <v>38</v>
      </c>
      <c r="D536">
        <v>2024</v>
      </c>
      <c r="E536">
        <v>1.144309940913812</v>
      </c>
      <c r="F536">
        <v>1.0917584184985489</v>
      </c>
      <c r="G536">
        <f t="shared" si="8"/>
        <v>-5.2551522415263063E-2</v>
      </c>
      <c r="H536">
        <v>0.16444982264139649</v>
      </c>
      <c r="I536" t="s">
        <v>80</v>
      </c>
    </row>
    <row r="537" spans="1:9" x14ac:dyDescent="0.35">
      <c r="A537" t="s">
        <v>67</v>
      </c>
      <c r="B537" t="s">
        <v>66</v>
      </c>
      <c r="C537" t="s">
        <v>40</v>
      </c>
      <c r="D537">
        <v>2024</v>
      </c>
      <c r="E537">
        <v>1.2741731353000501</v>
      </c>
      <c r="F537">
        <v>1.0917584184985489</v>
      </c>
      <c r="G537">
        <f t="shared" si="8"/>
        <v>-0.18241471680150112</v>
      </c>
      <c r="H537">
        <v>0.16444982264139649</v>
      </c>
      <c r="I537" t="s">
        <v>80</v>
      </c>
    </row>
    <row r="538" spans="1:9" x14ac:dyDescent="0.35">
      <c r="A538" t="s">
        <v>69</v>
      </c>
      <c r="B538" t="s">
        <v>63</v>
      </c>
      <c r="C538" t="s">
        <v>38</v>
      </c>
      <c r="D538">
        <v>2024</v>
      </c>
      <c r="E538">
        <v>1.660542743130144</v>
      </c>
      <c r="F538">
        <v>3.3969031373447791</v>
      </c>
      <c r="G538">
        <f t="shared" si="8"/>
        <v>1.7363603942146351</v>
      </c>
      <c r="H538">
        <v>0.1495725835123897</v>
      </c>
      <c r="I538" t="s">
        <v>80</v>
      </c>
    </row>
    <row r="539" spans="1:9" x14ac:dyDescent="0.35">
      <c r="A539" t="s">
        <v>69</v>
      </c>
      <c r="B539" t="s">
        <v>64</v>
      </c>
      <c r="C539" t="s">
        <v>40</v>
      </c>
      <c r="D539">
        <v>2024</v>
      </c>
      <c r="E539">
        <v>1.9648768473316871</v>
      </c>
      <c r="F539">
        <v>3.3969031373447791</v>
      </c>
      <c r="G539">
        <f t="shared" si="8"/>
        <v>1.432026290013092</v>
      </c>
      <c r="H539">
        <v>0.1495725835123897</v>
      </c>
      <c r="I539" t="s">
        <v>80</v>
      </c>
    </row>
    <row r="540" spans="1:9" x14ac:dyDescent="0.35">
      <c r="A540" t="s">
        <v>69</v>
      </c>
      <c r="B540" t="s">
        <v>65</v>
      </c>
      <c r="C540" t="s">
        <v>38</v>
      </c>
      <c r="D540">
        <v>2024</v>
      </c>
      <c r="E540">
        <v>2.966936931003072</v>
      </c>
      <c r="F540">
        <v>3.3969031373447791</v>
      </c>
      <c r="G540">
        <f t="shared" si="8"/>
        <v>0.42996620634170712</v>
      </c>
      <c r="H540">
        <v>0.1495725835123897</v>
      </c>
      <c r="I540" t="s">
        <v>80</v>
      </c>
    </row>
    <row r="541" spans="1:9" x14ac:dyDescent="0.35">
      <c r="A541" t="s">
        <v>69</v>
      </c>
      <c r="B541" t="s">
        <v>66</v>
      </c>
      <c r="C541" t="s">
        <v>40</v>
      </c>
      <c r="D541">
        <v>2024</v>
      </c>
      <c r="E541">
        <v>2.1447304612078222</v>
      </c>
      <c r="F541">
        <v>3.3969031373447791</v>
      </c>
      <c r="G541">
        <f t="shared" si="8"/>
        <v>1.2521726761369569</v>
      </c>
      <c r="H541">
        <v>0.1495725835123897</v>
      </c>
      <c r="I541" t="s">
        <v>80</v>
      </c>
    </row>
    <row r="542" spans="1:9" x14ac:dyDescent="0.35">
      <c r="A542" t="s">
        <v>73</v>
      </c>
      <c r="B542" t="s">
        <v>63</v>
      </c>
      <c r="C542" t="s">
        <v>38</v>
      </c>
      <c r="D542">
        <v>2024</v>
      </c>
      <c r="E542">
        <v>1.2470954330068731</v>
      </c>
      <c r="F542">
        <v>1.4144828845553741</v>
      </c>
      <c r="G542">
        <f t="shared" si="8"/>
        <v>0.16738745154850099</v>
      </c>
      <c r="H542">
        <v>0.18372354991229151</v>
      </c>
      <c r="I542" t="s">
        <v>80</v>
      </c>
    </row>
    <row r="543" spans="1:9" x14ac:dyDescent="0.35">
      <c r="A543" t="s">
        <v>73</v>
      </c>
      <c r="B543" t="s">
        <v>64</v>
      </c>
      <c r="C543" t="s">
        <v>40</v>
      </c>
      <c r="D543">
        <v>2024</v>
      </c>
      <c r="E543">
        <v>1.41860461240253</v>
      </c>
      <c r="F543">
        <v>1.4144828845553741</v>
      </c>
      <c r="G543">
        <f t="shared" si="8"/>
        <v>-4.1217278471559204E-3</v>
      </c>
      <c r="H543">
        <v>0.18372354991229151</v>
      </c>
      <c r="I543" t="s">
        <v>80</v>
      </c>
    </row>
    <row r="544" spans="1:9" x14ac:dyDescent="0.35">
      <c r="A544" t="s">
        <v>73</v>
      </c>
      <c r="B544" t="s">
        <v>65</v>
      </c>
      <c r="C544" t="s">
        <v>38</v>
      </c>
      <c r="D544">
        <v>2024</v>
      </c>
      <c r="E544">
        <v>1.13903040986485</v>
      </c>
      <c r="F544">
        <v>1.4144828845553741</v>
      </c>
      <c r="G544">
        <f t="shared" si="8"/>
        <v>0.27545247469052403</v>
      </c>
      <c r="H544">
        <v>0.18372354991229151</v>
      </c>
      <c r="I544" t="s">
        <v>80</v>
      </c>
    </row>
    <row r="545" spans="1:9" x14ac:dyDescent="0.35">
      <c r="A545" t="s">
        <v>73</v>
      </c>
      <c r="B545" t="s">
        <v>66</v>
      </c>
      <c r="C545" t="s">
        <v>40</v>
      </c>
      <c r="D545">
        <v>2024</v>
      </c>
      <c r="E545">
        <v>0.72851910514837304</v>
      </c>
      <c r="F545">
        <v>1.4144828845553741</v>
      </c>
      <c r="G545">
        <f t="shared" si="8"/>
        <v>0.68596377940700104</v>
      </c>
      <c r="H545">
        <v>0.18372354991229151</v>
      </c>
      <c r="I545" t="s">
        <v>80</v>
      </c>
    </row>
    <row r="546" spans="1:9" x14ac:dyDescent="0.35">
      <c r="A546" t="s">
        <v>76</v>
      </c>
      <c r="B546" t="s">
        <v>63</v>
      </c>
      <c r="C546" t="s">
        <v>38</v>
      </c>
      <c r="D546">
        <v>2024</v>
      </c>
      <c r="E546">
        <v>1.090974188365412</v>
      </c>
      <c r="F546">
        <v>1.058640812818894</v>
      </c>
      <c r="G546">
        <f t="shared" si="8"/>
        <v>-3.2333375546518051E-2</v>
      </c>
      <c r="H546">
        <v>0.16819795598684001</v>
      </c>
      <c r="I546" t="s">
        <v>80</v>
      </c>
    </row>
    <row r="547" spans="1:9" x14ac:dyDescent="0.35">
      <c r="A547" t="s">
        <v>76</v>
      </c>
      <c r="B547" t="s">
        <v>64</v>
      </c>
      <c r="C547" t="s">
        <v>40</v>
      </c>
      <c r="D547">
        <v>2024</v>
      </c>
      <c r="E547">
        <v>1.181076174566176</v>
      </c>
      <c r="F547">
        <v>1.058640812818894</v>
      </c>
      <c r="G547">
        <f t="shared" si="8"/>
        <v>-0.12243536174728198</v>
      </c>
      <c r="H547">
        <v>0.16819795598684001</v>
      </c>
      <c r="I547" t="s">
        <v>80</v>
      </c>
    </row>
    <row r="548" spans="1:9" x14ac:dyDescent="0.35">
      <c r="A548" t="s">
        <v>76</v>
      </c>
      <c r="B548" t="s">
        <v>65</v>
      </c>
      <c r="C548" t="s">
        <v>38</v>
      </c>
      <c r="D548">
        <v>2024</v>
      </c>
      <c r="E548">
        <v>0.84134331866276835</v>
      </c>
      <c r="F548">
        <v>1.058640812818894</v>
      </c>
      <c r="G548">
        <f t="shared" si="8"/>
        <v>0.21729749415612565</v>
      </c>
      <c r="H548">
        <v>0.16819795598684001</v>
      </c>
      <c r="I548" t="s">
        <v>80</v>
      </c>
    </row>
    <row r="549" spans="1:9" x14ac:dyDescent="0.35">
      <c r="A549" t="s">
        <v>76</v>
      </c>
      <c r="B549" t="s">
        <v>66</v>
      </c>
      <c r="C549" t="s">
        <v>40</v>
      </c>
      <c r="D549">
        <v>2024</v>
      </c>
      <c r="E549">
        <v>0.76042118074215459</v>
      </c>
      <c r="F549">
        <v>1.058640812818894</v>
      </c>
      <c r="G549">
        <f t="shared" si="8"/>
        <v>0.2982196320767394</v>
      </c>
      <c r="H549">
        <v>0.16819795598684001</v>
      </c>
      <c r="I549" t="s">
        <v>80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5</v>
      </c>
      <c r="I1" s="2" t="s">
        <v>78</v>
      </c>
      <c r="J1" s="2" t="s">
        <v>81</v>
      </c>
    </row>
    <row r="2" spans="1:10" x14ac:dyDescent="0.35">
      <c r="A2" t="s">
        <v>67</v>
      </c>
      <c r="B2" t="s">
        <v>57</v>
      </c>
      <c r="C2" t="s">
        <v>38</v>
      </c>
      <c r="D2">
        <v>2020</v>
      </c>
      <c r="E2">
        <v>-8.420158667688538</v>
      </c>
      <c r="F2">
        <v>-4.9116764965584894</v>
      </c>
      <c r="G2">
        <f t="shared" ref="G2:G33" si="0">IF(OR(F2="",E2=""),"",F2-E2)</f>
        <v>3.5084821711300487</v>
      </c>
      <c r="H2">
        <v>0.14451633046915729</v>
      </c>
      <c r="I2" t="s">
        <v>79</v>
      </c>
      <c r="J2">
        <v>2020</v>
      </c>
    </row>
    <row r="3" spans="1:10" x14ac:dyDescent="0.35">
      <c r="A3" t="s">
        <v>67</v>
      </c>
      <c r="B3" t="s">
        <v>58</v>
      </c>
      <c r="C3" t="s">
        <v>40</v>
      </c>
      <c r="D3">
        <v>2020</v>
      </c>
      <c r="E3">
        <v>-7.1575995247655024</v>
      </c>
      <c r="F3">
        <v>-4.9116764965584894</v>
      </c>
      <c r="G3">
        <f t="shared" si="0"/>
        <v>2.2459230282070131</v>
      </c>
      <c r="H3">
        <v>0.14451633046915729</v>
      </c>
      <c r="I3" t="s">
        <v>79</v>
      </c>
      <c r="J3">
        <v>2020</v>
      </c>
    </row>
    <row r="4" spans="1:10" x14ac:dyDescent="0.35">
      <c r="A4" t="s">
        <v>68</v>
      </c>
      <c r="B4" t="s">
        <v>57</v>
      </c>
      <c r="C4" t="s">
        <v>38</v>
      </c>
      <c r="D4">
        <v>2020</v>
      </c>
      <c r="E4">
        <v>-5.5682040725027582</v>
      </c>
      <c r="F4">
        <v>-4.5019012679871278</v>
      </c>
      <c r="G4">
        <f t="shared" si="0"/>
        <v>1.0663028045156304</v>
      </c>
      <c r="H4">
        <v>8.1815293370048725E-2</v>
      </c>
      <c r="I4" t="s">
        <v>79</v>
      </c>
      <c r="J4">
        <v>2020</v>
      </c>
    </row>
    <row r="5" spans="1:10" x14ac:dyDescent="0.35">
      <c r="A5" t="s">
        <v>68</v>
      </c>
      <c r="B5" t="s">
        <v>58</v>
      </c>
      <c r="C5" t="s">
        <v>40</v>
      </c>
      <c r="D5">
        <v>2020</v>
      </c>
      <c r="E5">
        <v>-6.4695771848944261</v>
      </c>
      <c r="F5">
        <v>-4.5019012679871278</v>
      </c>
      <c r="G5">
        <f t="shared" si="0"/>
        <v>1.9676759169072984</v>
      </c>
      <c r="H5">
        <v>8.1815293370048725E-2</v>
      </c>
      <c r="I5" t="s">
        <v>79</v>
      </c>
      <c r="J5">
        <v>2020</v>
      </c>
    </row>
    <row r="6" spans="1:10" x14ac:dyDescent="0.35">
      <c r="A6" t="s">
        <v>69</v>
      </c>
      <c r="B6" t="s">
        <v>57</v>
      </c>
      <c r="C6" t="s">
        <v>38</v>
      </c>
      <c r="D6">
        <v>2020</v>
      </c>
      <c r="E6">
        <v>-12.410533977614319</v>
      </c>
      <c r="F6">
        <v>-11.58616521695834</v>
      </c>
      <c r="G6">
        <f t="shared" si="0"/>
        <v>0.82436876065597886</v>
      </c>
      <c r="H6">
        <v>0.14433972800453609</v>
      </c>
      <c r="I6" t="s">
        <v>79</v>
      </c>
      <c r="J6">
        <v>2020</v>
      </c>
    </row>
    <row r="7" spans="1:10" x14ac:dyDescent="0.35">
      <c r="A7" t="s">
        <v>69</v>
      </c>
      <c r="B7" t="s">
        <v>58</v>
      </c>
      <c r="C7" t="s">
        <v>40</v>
      </c>
      <c r="D7">
        <v>2020</v>
      </c>
      <c r="E7">
        <v>-9.3843459766278272</v>
      </c>
      <c r="F7">
        <v>-11.58616521695834</v>
      </c>
      <c r="G7">
        <f t="shared" si="0"/>
        <v>-2.2018192403305132</v>
      </c>
      <c r="H7">
        <v>0.14433972800453609</v>
      </c>
      <c r="I7" t="s">
        <v>79</v>
      </c>
      <c r="J7">
        <v>2020</v>
      </c>
    </row>
    <row r="8" spans="1:10" x14ac:dyDescent="0.35">
      <c r="A8" t="s">
        <v>70</v>
      </c>
      <c r="B8" t="s">
        <v>57</v>
      </c>
      <c r="C8" t="s">
        <v>38</v>
      </c>
      <c r="D8">
        <v>2020</v>
      </c>
      <c r="E8">
        <v>-4.2712767573150012</v>
      </c>
      <c r="F8">
        <v>-2.5216639551613449</v>
      </c>
      <c r="G8">
        <f t="shared" si="0"/>
        <v>1.7496128021536563</v>
      </c>
      <c r="H8">
        <v>0.1073708050236772</v>
      </c>
      <c r="I8" t="s">
        <v>79</v>
      </c>
      <c r="J8">
        <v>2020</v>
      </c>
    </row>
    <row r="9" spans="1:10" x14ac:dyDescent="0.35">
      <c r="A9" t="s">
        <v>70</v>
      </c>
      <c r="B9" t="s">
        <v>58</v>
      </c>
      <c r="C9" t="s">
        <v>40</v>
      </c>
      <c r="D9">
        <v>2020</v>
      </c>
      <c r="E9">
        <v>-6.3340086382144829</v>
      </c>
      <c r="F9">
        <v>-2.5216639551613449</v>
      </c>
      <c r="G9">
        <f t="shared" si="0"/>
        <v>3.812344683053138</v>
      </c>
      <c r="H9">
        <v>0.1073708050236772</v>
      </c>
      <c r="I9" t="s">
        <v>79</v>
      </c>
      <c r="J9">
        <v>2020</v>
      </c>
    </row>
    <row r="10" spans="1:10" x14ac:dyDescent="0.35">
      <c r="A10" t="s">
        <v>67</v>
      </c>
      <c r="B10" t="s">
        <v>61</v>
      </c>
      <c r="C10" t="s">
        <v>38</v>
      </c>
      <c r="D10">
        <v>2022</v>
      </c>
      <c r="E10">
        <v>2.8171147512312089</v>
      </c>
      <c r="F10">
        <v>3.945716681463399</v>
      </c>
      <c r="G10">
        <f t="shared" si="0"/>
        <v>1.1286019302321901</v>
      </c>
      <c r="H10">
        <v>0.14806210436677841</v>
      </c>
      <c r="I10" t="s">
        <v>79</v>
      </c>
      <c r="J10">
        <v>2022</v>
      </c>
    </row>
    <row r="11" spans="1:10" x14ac:dyDescent="0.35">
      <c r="A11" t="s">
        <v>67</v>
      </c>
      <c r="B11" t="s">
        <v>62</v>
      </c>
      <c r="C11" t="s">
        <v>40</v>
      </c>
      <c r="D11">
        <v>2022</v>
      </c>
      <c r="E11">
        <v>2.0165795618690252</v>
      </c>
      <c r="F11">
        <v>3.945716681463399</v>
      </c>
      <c r="G11">
        <f t="shared" si="0"/>
        <v>1.9291371195943738</v>
      </c>
      <c r="H11">
        <v>0.14806210436677841</v>
      </c>
      <c r="I11" t="s">
        <v>79</v>
      </c>
      <c r="J11">
        <v>2022</v>
      </c>
    </row>
    <row r="12" spans="1:10" x14ac:dyDescent="0.35">
      <c r="A12" t="s">
        <v>68</v>
      </c>
      <c r="B12" t="s">
        <v>61</v>
      </c>
      <c r="C12" t="s">
        <v>38</v>
      </c>
      <c r="D12">
        <v>2022</v>
      </c>
      <c r="E12">
        <v>1.55845355711639</v>
      </c>
      <c r="F12">
        <v>1.931834126476093</v>
      </c>
      <c r="G12">
        <f t="shared" si="0"/>
        <v>0.37338056935970299</v>
      </c>
      <c r="H12">
        <v>8.4524514070205975E-2</v>
      </c>
      <c r="I12" t="s">
        <v>79</v>
      </c>
      <c r="J12">
        <v>2022</v>
      </c>
    </row>
    <row r="13" spans="1:10" x14ac:dyDescent="0.35">
      <c r="A13" t="s">
        <v>68</v>
      </c>
      <c r="B13" t="s">
        <v>62</v>
      </c>
      <c r="C13" t="s">
        <v>40</v>
      </c>
      <c r="D13">
        <v>2022</v>
      </c>
      <c r="E13">
        <v>1.5579683422439761</v>
      </c>
      <c r="F13">
        <v>1.931834126476093</v>
      </c>
      <c r="G13">
        <f t="shared" si="0"/>
        <v>0.37386578423211692</v>
      </c>
      <c r="H13">
        <v>8.4524514070205975E-2</v>
      </c>
      <c r="I13" t="s">
        <v>79</v>
      </c>
      <c r="J13">
        <v>2022</v>
      </c>
    </row>
    <row r="14" spans="1:10" x14ac:dyDescent="0.35">
      <c r="A14" t="s">
        <v>69</v>
      </c>
      <c r="B14" t="s">
        <v>61</v>
      </c>
      <c r="C14" t="s">
        <v>38</v>
      </c>
      <c r="D14">
        <v>2022</v>
      </c>
      <c r="E14">
        <v>4.547669246739372</v>
      </c>
      <c r="F14">
        <v>6.1757125573772758</v>
      </c>
      <c r="G14">
        <f t="shared" si="0"/>
        <v>1.6280433106379038</v>
      </c>
      <c r="H14">
        <v>0.14409521444535101</v>
      </c>
      <c r="I14" t="s">
        <v>79</v>
      </c>
      <c r="J14">
        <v>2022</v>
      </c>
    </row>
    <row r="15" spans="1:10" x14ac:dyDescent="0.35">
      <c r="A15" t="s">
        <v>69</v>
      </c>
      <c r="B15" t="s">
        <v>62</v>
      </c>
      <c r="C15" t="s">
        <v>40</v>
      </c>
      <c r="D15">
        <v>2022</v>
      </c>
      <c r="E15">
        <v>4.0260894815609127</v>
      </c>
      <c r="F15">
        <v>6.1757125573772758</v>
      </c>
      <c r="G15">
        <f t="shared" si="0"/>
        <v>2.149623075816363</v>
      </c>
      <c r="H15">
        <v>0.14409521444535101</v>
      </c>
      <c r="I15" t="s">
        <v>79</v>
      </c>
      <c r="J15">
        <v>2022</v>
      </c>
    </row>
    <row r="16" spans="1:10" x14ac:dyDescent="0.35">
      <c r="A16" t="s">
        <v>70</v>
      </c>
      <c r="B16" t="s">
        <v>61</v>
      </c>
      <c r="C16" t="s">
        <v>38</v>
      </c>
      <c r="D16">
        <v>2022</v>
      </c>
      <c r="E16">
        <v>2.327853537647107</v>
      </c>
      <c r="F16">
        <v>0.76006291556467176</v>
      </c>
      <c r="G16">
        <f t="shared" si="0"/>
        <v>-1.5677906220824354</v>
      </c>
      <c r="H16">
        <v>9.9421084704448506E-2</v>
      </c>
      <c r="I16" t="s">
        <v>79</v>
      </c>
      <c r="J16">
        <v>2022</v>
      </c>
    </row>
    <row r="17" spans="1:10" x14ac:dyDescent="0.35">
      <c r="A17" t="s">
        <v>70</v>
      </c>
      <c r="B17" t="s">
        <v>62</v>
      </c>
      <c r="C17" t="s">
        <v>40</v>
      </c>
      <c r="D17">
        <v>2022</v>
      </c>
      <c r="E17">
        <v>1.603112304026943</v>
      </c>
      <c r="F17">
        <v>0.76006291556467176</v>
      </c>
      <c r="G17">
        <f t="shared" si="0"/>
        <v>-0.84304938846227129</v>
      </c>
      <c r="H17">
        <v>9.9421084704448506E-2</v>
      </c>
      <c r="I17" t="s">
        <v>79</v>
      </c>
      <c r="J17">
        <v>2022</v>
      </c>
    </row>
    <row r="18" spans="1:10" x14ac:dyDescent="0.35">
      <c r="A18" t="s">
        <v>75</v>
      </c>
      <c r="B18" t="s">
        <v>61</v>
      </c>
      <c r="C18" t="s">
        <v>38</v>
      </c>
      <c r="D18">
        <v>2022</v>
      </c>
      <c r="E18">
        <v>3.8268920279536989</v>
      </c>
      <c r="F18">
        <v>4.8546134866977511</v>
      </c>
      <c r="G18">
        <f t="shared" si="0"/>
        <v>1.0277214587440522</v>
      </c>
      <c r="H18">
        <v>0.12232868683850651</v>
      </c>
      <c r="I18" t="s">
        <v>79</v>
      </c>
      <c r="J18">
        <v>2022</v>
      </c>
    </row>
    <row r="19" spans="1:10" x14ac:dyDescent="0.35">
      <c r="A19" t="s">
        <v>75</v>
      </c>
      <c r="B19" t="s">
        <v>62</v>
      </c>
      <c r="C19" t="s">
        <v>40</v>
      </c>
      <c r="D19">
        <v>2022</v>
      </c>
      <c r="E19">
        <v>2.4256542804822261</v>
      </c>
      <c r="F19">
        <v>4.8546134866977511</v>
      </c>
      <c r="G19">
        <f t="shared" si="0"/>
        <v>2.428959206215525</v>
      </c>
      <c r="H19">
        <v>0.12232868683850651</v>
      </c>
      <c r="I19" t="s">
        <v>79</v>
      </c>
      <c r="J19">
        <v>2022</v>
      </c>
    </row>
    <row r="20" spans="1:10" x14ac:dyDescent="0.35">
      <c r="A20" t="s">
        <v>77</v>
      </c>
      <c r="B20" t="s">
        <v>61</v>
      </c>
      <c r="C20" t="s">
        <v>38</v>
      </c>
      <c r="D20">
        <v>2022</v>
      </c>
      <c r="E20">
        <v>6.5861251608809734</v>
      </c>
      <c r="F20">
        <v>6.7526124502433778</v>
      </c>
      <c r="G20">
        <f t="shared" si="0"/>
        <v>0.16648728936240431</v>
      </c>
      <c r="H20">
        <v>0.14461475316746991</v>
      </c>
      <c r="I20" t="s">
        <v>79</v>
      </c>
      <c r="J20">
        <v>2022</v>
      </c>
    </row>
    <row r="21" spans="1:10" x14ac:dyDescent="0.35">
      <c r="A21" t="s">
        <v>77</v>
      </c>
      <c r="B21" t="s">
        <v>62</v>
      </c>
      <c r="C21" t="s">
        <v>40</v>
      </c>
      <c r="D21">
        <v>2022</v>
      </c>
      <c r="E21">
        <v>5.8054687081874778</v>
      </c>
      <c r="F21">
        <v>6.7526124502433778</v>
      </c>
      <c r="G21">
        <f t="shared" si="0"/>
        <v>0.94714374205589991</v>
      </c>
      <c r="H21">
        <v>0.14461475316746991</v>
      </c>
      <c r="I21" t="s">
        <v>79</v>
      </c>
      <c r="J21">
        <v>2022</v>
      </c>
    </row>
    <row r="22" spans="1:10" x14ac:dyDescent="0.35">
      <c r="A22" t="s">
        <v>68</v>
      </c>
      <c r="B22" t="s">
        <v>71</v>
      </c>
      <c r="C22" t="s">
        <v>38</v>
      </c>
      <c r="D22">
        <v>2025</v>
      </c>
      <c r="E22">
        <v>0.17068748819852869</v>
      </c>
      <c r="F22">
        <v>0.34025588112837718</v>
      </c>
      <c r="G22">
        <f t="shared" si="0"/>
        <v>0.16956839292984849</v>
      </c>
      <c r="H22">
        <v>8.6916760469719023E-2</v>
      </c>
      <c r="I22" t="s">
        <v>79</v>
      </c>
      <c r="J22">
        <v>2024</v>
      </c>
    </row>
    <row r="23" spans="1:10" x14ac:dyDescent="0.35">
      <c r="A23" t="s">
        <v>68</v>
      </c>
      <c r="B23" t="s">
        <v>72</v>
      </c>
      <c r="C23" t="s">
        <v>40</v>
      </c>
      <c r="D23">
        <v>2025</v>
      </c>
      <c r="E23">
        <v>-2.9831521216272531E-2</v>
      </c>
      <c r="F23">
        <v>0.34025588112837718</v>
      </c>
      <c r="G23">
        <f t="shared" si="0"/>
        <v>0.37008740234464971</v>
      </c>
      <c r="H23">
        <v>8.6916760469719023E-2</v>
      </c>
      <c r="I23" t="s">
        <v>79</v>
      </c>
      <c r="J23">
        <v>2024</v>
      </c>
    </row>
    <row r="24" spans="1:10" x14ac:dyDescent="0.35">
      <c r="A24" t="s">
        <v>70</v>
      </c>
      <c r="B24" t="s">
        <v>71</v>
      </c>
      <c r="C24" t="s">
        <v>38</v>
      </c>
      <c r="D24">
        <v>2025</v>
      </c>
      <c r="E24">
        <v>7.5720238361931536E-2</v>
      </c>
      <c r="F24">
        <v>0.79990149121373022</v>
      </c>
      <c r="G24">
        <f t="shared" si="0"/>
        <v>0.72418125285179868</v>
      </c>
      <c r="H24">
        <v>0.14071954748750329</v>
      </c>
      <c r="I24" t="s">
        <v>79</v>
      </c>
      <c r="J24">
        <v>2024</v>
      </c>
    </row>
    <row r="25" spans="1:10" x14ac:dyDescent="0.35">
      <c r="A25" t="s">
        <v>70</v>
      </c>
      <c r="B25" t="s">
        <v>72</v>
      </c>
      <c r="C25" t="s">
        <v>40</v>
      </c>
      <c r="D25">
        <v>2025</v>
      </c>
      <c r="E25">
        <v>0.97596362509042578</v>
      </c>
      <c r="F25">
        <v>0.79990149121373022</v>
      </c>
      <c r="G25">
        <f t="shared" si="0"/>
        <v>-0.17606213387669556</v>
      </c>
      <c r="H25">
        <v>0.14071954748750329</v>
      </c>
      <c r="I25" t="s">
        <v>79</v>
      </c>
      <c r="J25">
        <v>2024</v>
      </c>
    </row>
    <row r="26" spans="1:10" x14ac:dyDescent="0.35">
      <c r="A26" t="s">
        <v>74</v>
      </c>
      <c r="B26" t="s">
        <v>71</v>
      </c>
      <c r="C26" t="s">
        <v>38</v>
      </c>
      <c r="D26">
        <v>2025</v>
      </c>
      <c r="E26">
        <v>10.65081995793598</v>
      </c>
      <c r="F26">
        <v>7.7791754385506806</v>
      </c>
      <c r="G26">
        <f t="shared" si="0"/>
        <v>-2.8716445193852991</v>
      </c>
      <c r="H26">
        <v>9.6012028645875991E-2</v>
      </c>
      <c r="I26" t="s">
        <v>79</v>
      </c>
      <c r="J26">
        <v>2024</v>
      </c>
    </row>
    <row r="27" spans="1:10" x14ac:dyDescent="0.35">
      <c r="A27" t="s">
        <v>74</v>
      </c>
      <c r="B27" t="s">
        <v>72</v>
      </c>
      <c r="C27" t="s">
        <v>40</v>
      </c>
      <c r="D27">
        <v>2025</v>
      </c>
      <c r="E27">
        <v>3.377198218825495</v>
      </c>
      <c r="F27">
        <v>7.7791754385506806</v>
      </c>
      <c r="G27">
        <f t="shared" si="0"/>
        <v>4.4019772197251861</v>
      </c>
      <c r="H27">
        <v>9.6012028645875991E-2</v>
      </c>
      <c r="I27" t="s">
        <v>79</v>
      </c>
      <c r="J27">
        <v>2024</v>
      </c>
    </row>
    <row r="28" spans="1:10" x14ac:dyDescent="0.35">
      <c r="A28" t="s">
        <v>75</v>
      </c>
      <c r="B28" t="s">
        <v>71</v>
      </c>
      <c r="C28" t="s">
        <v>38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0.1181932096010781</v>
      </c>
      <c r="I28" t="s">
        <v>79</v>
      </c>
      <c r="J28">
        <v>2024</v>
      </c>
    </row>
    <row r="29" spans="1:10" x14ac:dyDescent="0.35">
      <c r="A29" t="s">
        <v>75</v>
      </c>
      <c r="B29" t="s">
        <v>72</v>
      </c>
      <c r="C29" t="s">
        <v>40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0.1181932096010781</v>
      </c>
      <c r="I29" t="s">
        <v>79</v>
      </c>
      <c r="J29">
        <v>2024</v>
      </c>
    </row>
    <row r="30" spans="1:10" x14ac:dyDescent="0.35">
      <c r="A30" t="s">
        <v>77</v>
      </c>
      <c r="B30" t="s">
        <v>71</v>
      </c>
      <c r="C30" t="s">
        <v>38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8.6782381012711671E-2</v>
      </c>
      <c r="I30" t="s">
        <v>79</v>
      </c>
      <c r="J30">
        <v>2024</v>
      </c>
    </row>
    <row r="31" spans="1:10" x14ac:dyDescent="0.35">
      <c r="A31" t="s">
        <v>77</v>
      </c>
      <c r="B31" t="s">
        <v>72</v>
      </c>
      <c r="C31" t="s">
        <v>40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8.6782381012711671E-2</v>
      </c>
      <c r="I31" t="s">
        <v>79</v>
      </c>
      <c r="J31">
        <v>2024</v>
      </c>
    </row>
    <row r="32" spans="1:10" x14ac:dyDescent="0.35">
      <c r="A32" t="s">
        <v>36</v>
      </c>
      <c r="B32" t="s">
        <v>57</v>
      </c>
      <c r="C32" t="s">
        <v>38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0.17076349956742379</v>
      </c>
      <c r="I32" t="s">
        <v>80</v>
      </c>
      <c r="J32">
        <v>2020</v>
      </c>
    </row>
    <row r="33" spans="1:10" x14ac:dyDescent="0.35">
      <c r="A33" t="s">
        <v>36</v>
      </c>
      <c r="B33" t="s">
        <v>58</v>
      </c>
      <c r="C33" t="s">
        <v>40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0.17076349956742379</v>
      </c>
      <c r="I33" t="s">
        <v>80</v>
      </c>
      <c r="J33">
        <v>2020</v>
      </c>
    </row>
    <row r="34" spans="1:10" x14ac:dyDescent="0.35">
      <c r="A34" t="s">
        <v>73</v>
      </c>
      <c r="B34" t="s">
        <v>57</v>
      </c>
      <c r="C34" t="s">
        <v>38</v>
      </c>
      <c r="D34">
        <v>2020</v>
      </c>
      <c r="E34">
        <v>-9.3511426009976422</v>
      </c>
      <c r="F34">
        <v>-7.9120138942178206</v>
      </c>
      <c r="G34">
        <f t="shared" ref="G34:G61" si="1">IF(OR(F34="",E34=""),"",F34-E34)</f>
        <v>1.4391287067798215</v>
      </c>
      <c r="H34">
        <v>0.16587155074328949</v>
      </c>
      <c r="I34" t="s">
        <v>80</v>
      </c>
      <c r="J34">
        <v>2020</v>
      </c>
    </row>
    <row r="35" spans="1:10" x14ac:dyDescent="0.35">
      <c r="A35" t="s">
        <v>73</v>
      </c>
      <c r="B35" t="s">
        <v>58</v>
      </c>
      <c r="C35" t="s">
        <v>40</v>
      </c>
      <c r="D35">
        <v>2020</v>
      </c>
      <c r="E35">
        <v>-8.2482980854368328</v>
      </c>
      <c r="F35">
        <v>-7.9120138942178206</v>
      </c>
      <c r="G35">
        <f t="shared" si="1"/>
        <v>0.33628419121901221</v>
      </c>
      <c r="H35">
        <v>0.16587155074328949</v>
      </c>
      <c r="I35" t="s">
        <v>80</v>
      </c>
      <c r="J35">
        <v>2020</v>
      </c>
    </row>
    <row r="36" spans="1:10" x14ac:dyDescent="0.35">
      <c r="A36" t="s">
        <v>74</v>
      </c>
      <c r="B36" t="s">
        <v>57</v>
      </c>
      <c r="C36" t="s">
        <v>38</v>
      </c>
      <c r="D36">
        <v>2020</v>
      </c>
      <c r="E36">
        <v>-2.3373996171914708</v>
      </c>
      <c r="F36">
        <v>6.9863814303713827</v>
      </c>
      <c r="G36">
        <f t="shared" si="1"/>
        <v>9.3237810475628535</v>
      </c>
      <c r="H36">
        <v>0.3780372329247822</v>
      </c>
      <c r="I36" t="s">
        <v>80</v>
      </c>
      <c r="J36">
        <v>2020</v>
      </c>
    </row>
    <row r="37" spans="1:10" x14ac:dyDescent="0.35">
      <c r="A37" t="s">
        <v>74</v>
      </c>
      <c r="B37" t="s">
        <v>58</v>
      </c>
      <c r="C37" t="s">
        <v>40</v>
      </c>
      <c r="D37">
        <v>2020</v>
      </c>
      <c r="E37">
        <v>-7.9470480138547073</v>
      </c>
      <c r="F37">
        <v>6.9863814303713827</v>
      </c>
      <c r="G37">
        <f t="shared" si="1"/>
        <v>14.933429444226089</v>
      </c>
      <c r="H37">
        <v>0.3780372329247822</v>
      </c>
      <c r="I37" t="s">
        <v>80</v>
      </c>
      <c r="J37">
        <v>2020</v>
      </c>
    </row>
    <row r="38" spans="1:10" x14ac:dyDescent="0.35">
      <c r="A38" t="s">
        <v>75</v>
      </c>
      <c r="B38" t="s">
        <v>57</v>
      </c>
      <c r="C38" t="s">
        <v>38</v>
      </c>
      <c r="D38">
        <v>2020</v>
      </c>
      <c r="E38">
        <v>-9.8515454699187543</v>
      </c>
      <c r="F38">
        <v>-9.3783767522421471</v>
      </c>
      <c r="G38">
        <f t="shared" si="1"/>
        <v>0.47316871767660729</v>
      </c>
      <c r="H38">
        <v>0.15574566778244739</v>
      </c>
      <c r="I38" t="s">
        <v>80</v>
      </c>
      <c r="J38">
        <v>2020</v>
      </c>
    </row>
    <row r="39" spans="1:10" x14ac:dyDescent="0.35">
      <c r="A39" t="s">
        <v>75</v>
      </c>
      <c r="B39" t="s">
        <v>58</v>
      </c>
      <c r="C39" t="s">
        <v>40</v>
      </c>
      <c r="D39">
        <v>2020</v>
      </c>
      <c r="E39">
        <v>-9.517990850094149</v>
      </c>
      <c r="F39">
        <v>-9.3783767522421471</v>
      </c>
      <c r="G39">
        <f t="shared" si="1"/>
        <v>0.13961409785200196</v>
      </c>
      <c r="H39">
        <v>0.15574566778244739</v>
      </c>
      <c r="I39" t="s">
        <v>80</v>
      </c>
      <c r="J39">
        <v>2020</v>
      </c>
    </row>
    <row r="40" spans="1:10" x14ac:dyDescent="0.35">
      <c r="A40" t="s">
        <v>76</v>
      </c>
      <c r="B40" t="s">
        <v>57</v>
      </c>
      <c r="C40" t="s">
        <v>38</v>
      </c>
      <c r="D40">
        <v>2020</v>
      </c>
      <c r="E40">
        <v>-5.3222217587985954</v>
      </c>
      <c r="F40">
        <v>-3.9039509434828492</v>
      </c>
      <c r="G40">
        <f t="shared" si="1"/>
        <v>1.4182708153157462</v>
      </c>
      <c r="H40">
        <v>0.18034013840432031</v>
      </c>
      <c r="I40" t="s">
        <v>80</v>
      </c>
      <c r="J40">
        <v>2020</v>
      </c>
    </row>
    <row r="41" spans="1:10" x14ac:dyDescent="0.35">
      <c r="A41" t="s">
        <v>76</v>
      </c>
      <c r="B41" t="s">
        <v>58</v>
      </c>
      <c r="C41" t="s">
        <v>40</v>
      </c>
      <c r="D41">
        <v>2020</v>
      </c>
      <c r="E41">
        <v>-6.8478963820636896</v>
      </c>
      <c r="F41">
        <v>-3.9039509434828492</v>
      </c>
      <c r="G41">
        <f t="shared" si="1"/>
        <v>2.9439454385808403</v>
      </c>
      <c r="H41">
        <v>0.18034013840432031</v>
      </c>
      <c r="I41" t="s">
        <v>80</v>
      </c>
      <c r="J41">
        <v>2020</v>
      </c>
    </row>
    <row r="42" spans="1:10" x14ac:dyDescent="0.35">
      <c r="A42" t="s">
        <v>77</v>
      </c>
      <c r="B42" t="s">
        <v>57</v>
      </c>
      <c r="C42" t="s">
        <v>38</v>
      </c>
      <c r="D42">
        <v>2020</v>
      </c>
      <c r="E42">
        <v>-9.2905567939445373</v>
      </c>
      <c r="F42">
        <v>-8.5609032033360464</v>
      </c>
      <c r="G42">
        <f t="shared" si="1"/>
        <v>0.72965359060849089</v>
      </c>
      <c r="H42">
        <v>0.14810212813728671</v>
      </c>
      <c r="I42" t="s">
        <v>80</v>
      </c>
      <c r="J42">
        <v>2020</v>
      </c>
    </row>
    <row r="43" spans="1:10" x14ac:dyDescent="0.35">
      <c r="A43" t="s">
        <v>77</v>
      </c>
      <c r="B43" t="s">
        <v>58</v>
      </c>
      <c r="C43" t="s">
        <v>40</v>
      </c>
      <c r="D43">
        <v>2020</v>
      </c>
      <c r="E43">
        <v>-6.7651809613411107</v>
      </c>
      <c r="F43">
        <v>-8.5609032033360464</v>
      </c>
      <c r="G43">
        <f t="shared" si="1"/>
        <v>-1.7957222419949357</v>
      </c>
      <c r="H43">
        <v>0.14810212813728671</v>
      </c>
      <c r="I43" t="s">
        <v>80</v>
      </c>
      <c r="J43">
        <v>2020</v>
      </c>
    </row>
    <row r="44" spans="1:10" x14ac:dyDescent="0.35">
      <c r="A44" t="s">
        <v>36</v>
      </c>
      <c r="B44" t="s">
        <v>61</v>
      </c>
      <c r="C44" t="s">
        <v>38</v>
      </c>
      <c r="D44">
        <v>2022</v>
      </c>
      <c r="E44">
        <v>4.6469116666415733</v>
      </c>
      <c r="F44">
        <v>5.2899005620960757</v>
      </c>
      <c r="G44">
        <f t="shared" si="1"/>
        <v>0.64298889545450244</v>
      </c>
      <c r="H44">
        <v>0.15603500394963879</v>
      </c>
      <c r="I44" t="s">
        <v>80</v>
      </c>
      <c r="J44">
        <v>2022</v>
      </c>
    </row>
    <row r="45" spans="1:10" x14ac:dyDescent="0.35">
      <c r="A45" t="s">
        <v>36</v>
      </c>
      <c r="B45" t="s">
        <v>62</v>
      </c>
      <c r="C45" t="s">
        <v>40</v>
      </c>
      <c r="D45">
        <v>2022</v>
      </c>
      <c r="E45">
        <v>3.9196460068068979</v>
      </c>
      <c r="F45">
        <v>5.2899005620960757</v>
      </c>
      <c r="G45">
        <f t="shared" si="1"/>
        <v>1.3702545552891778</v>
      </c>
      <c r="H45">
        <v>0.15603500394963879</v>
      </c>
      <c r="I45" t="s">
        <v>80</v>
      </c>
      <c r="J45">
        <v>2022</v>
      </c>
    </row>
    <row r="46" spans="1:10" x14ac:dyDescent="0.35">
      <c r="A46" t="s">
        <v>73</v>
      </c>
      <c r="B46" t="s">
        <v>61</v>
      </c>
      <c r="C46" t="s">
        <v>38</v>
      </c>
      <c r="D46">
        <v>2022</v>
      </c>
      <c r="E46">
        <v>2.6294584401195249</v>
      </c>
      <c r="F46">
        <v>2.761671160127166</v>
      </c>
      <c r="G46">
        <f t="shared" si="1"/>
        <v>0.13221272000764106</v>
      </c>
      <c r="H46">
        <v>0.1686231784194008</v>
      </c>
      <c r="I46" t="s">
        <v>80</v>
      </c>
      <c r="J46">
        <v>2022</v>
      </c>
    </row>
    <row r="47" spans="1:10" x14ac:dyDescent="0.35">
      <c r="A47" t="s">
        <v>73</v>
      </c>
      <c r="B47" t="s">
        <v>62</v>
      </c>
      <c r="C47" t="s">
        <v>40</v>
      </c>
      <c r="D47">
        <v>2022</v>
      </c>
      <c r="E47">
        <v>3.0989524183168582</v>
      </c>
      <c r="F47">
        <v>2.761671160127166</v>
      </c>
      <c r="G47">
        <f t="shared" si="1"/>
        <v>-0.33728125818969223</v>
      </c>
      <c r="H47">
        <v>0.1686231784194008</v>
      </c>
      <c r="I47" t="s">
        <v>80</v>
      </c>
      <c r="J47">
        <v>2022</v>
      </c>
    </row>
    <row r="48" spans="1:10" x14ac:dyDescent="0.35">
      <c r="A48" t="s">
        <v>74</v>
      </c>
      <c r="B48" t="s">
        <v>61</v>
      </c>
      <c r="C48" t="s">
        <v>38</v>
      </c>
      <c r="D48">
        <v>2022</v>
      </c>
      <c r="E48">
        <v>7.8710837662645083</v>
      </c>
      <c r="F48">
        <v>7.9894443369245964</v>
      </c>
      <c r="G48">
        <f t="shared" si="1"/>
        <v>0.11836057066008809</v>
      </c>
      <c r="H48">
        <v>0.25178245429196833</v>
      </c>
      <c r="I48" t="s">
        <v>80</v>
      </c>
      <c r="J48">
        <v>2022</v>
      </c>
    </row>
    <row r="49" spans="1:10" x14ac:dyDescent="0.35">
      <c r="A49" t="s">
        <v>74</v>
      </c>
      <c r="B49" t="s">
        <v>62</v>
      </c>
      <c r="C49" t="s">
        <v>40</v>
      </c>
      <c r="D49">
        <v>2022</v>
      </c>
      <c r="E49">
        <v>5.3816861962496354</v>
      </c>
      <c r="F49">
        <v>7.9894443369245964</v>
      </c>
      <c r="G49">
        <f t="shared" si="1"/>
        <v>2.607758140674961</v>
      </c>
      <c r="H49">
        <v>0.25178245429196833</v>
      </c>
      <c r="I49" t="s">
        <v>80</v>
      </c>
      <c r="J49">
        <v>2022</v>
      </c>
    </row>
    <row r="50" spans="1:10" x14ac:dyDescent="0.35">
      <c r="A50" t="s">
        <v>76</v>
      </c>
      <c r="B50" t="s">
        <v>61</v>
      </c>
      <c r="C50" t="s">
        <v>38</v>
      </c>
      <c r="D50">
        <v>2022</v>
      </c>
      <c r="E50">
        <v>4.6490196630740721</v>
      </c>
      <c r="F50">
        <v>4.8892912104023152</v>
      </c>
      <c r="G50">
        <f t="shared" si="1"/>
        <v>0.24027154732824307</v>
      </c>
      <c r="H50">
        <v>0.1723953161408304</v>
      </c>
      <c r="I50" t="s">
        <v>80</v>
      </c>
      <c r="J50">
        <v>2022</v>
      </c>
    </row>
    <row r="51" spans="1:10" x14ac:dyDescent="0.35">
      <c r="A51" t="s">
        <v>76</v>
      </c>
      <c r="B51" t="s">
        <v>62</v>
      </c>
      <c r="C51" t="s">
        <v>40</v>
      </c>
      <c r="D51">
        <v>2022</v>
      </c>
      <c r="E51">
        <v>3.271330674458595</v>
      </c>
      <c r="F51">
        <v>4.8892912104023152</v>
      </c>
      <c r="G51">
        <f t="shared" si="1"/>
        <v>1.6179605359437201</v>
      </c>
      <c r="H51">
        <v>0.1723953161408304</v>
      </c>
      <c r="I51" t="s">
        <v>80</v>
      </c>
      <c r="J51">
        <v>2022</v>
      </c>
    </row>
    <row r="52" spans="1:10" x14ac:dyDescent="0.35">
      <c r="A52" t="s">
        <v>36</v>
      </c>
      <c r="B52" t="s">
        <v>71</v>
      </c>
      <c r="C52" t="s">
        <v>38</v>
      </c>
      <c r="D52">
        <v>2025</v>
      </c>
      <c r="E52">
        <v>0.31436230025780892</v>
      </c>
      <c r="F52">
        <v>0.95241300208403867</v>
      </c>
      <c r="G52">
        <f t="shared" si="1"/>
        <v>0.6380507018262298</v>
      </c>
      <c r="H52">
        <v>0.17496495406425419</v>
      </c>
      <c r="I52" t="s">
        <v>80</v>
      </c>
      <c r="J52">
        <v>2024</v>
      </c>
    </row>
    <row r="53" spans="1:10" x14ac:dyDescent="0.35">
      <c r="A53" t="s">
        <v>36</v>
      </c>
      <c r="B53" t="s">
        <v>72</v>
      </c>
      <c r="C53" t="s">
        <v>40</v>
      </c>
      <c r="D53">
        <v>2025</v>
      </c>
      <c r="E53">
        <v>-0.28270783018636841</v>
      </c>
      <c r="F53">
        <v>0.95241300208403867</v>
      </c>
      <c r="G53">
        <f t="shared" si="1"/>
        <v>1.235120832270407</v>
      </c>
      <c r="H53">
        <v>0.17496495406425419</v>
      </c>
      <c r="I53" t="s">
        <v>80</v>
      </c>
      <c r="J53">
        <v>2024</v>
      </c>
    </row>
    <row r="54" spans="1:10" x14ac:dyDescent="0.35">
      <c r="A54" t="s">
        <v>67</v>
      </c>
      <c r="B54" t="s">
        <v>71</v>
      </c>
      <c r="C54" t="s">
        <v>38</v>
      </c>
      <c r="D54">
        <v>2025</v>
      </c>
      <c r="E54">
        <v>0.99784735760106713</v>
      </c>
      <c r="F54">
        <v>0.97833513074895262</v>
      </c>
      <c r="G54">
        <f t="shared" si="1"/>
        <v>-1.9512226852114511E-2</v>
      </c>
      <c r="H54">
        <v>0.16444982264139649</v>
      </c>
      <c r="I54" t="s">
        <v>80</v>
      </c>
      <c r="J54">
        <v>2024</v>
      </c>
    </row>
    <row r="55" spans="1:10" x14ac:dyDescent="0.35">
      <c r="A55" t="s">
        <v>67</v>
      </c>
      <c r="B55" t="s">
        <v>72</v>
      </c>
      <c r="C55" t="s">
        <v>40</v>
      </c>
      <c r="D55">
        <v>2025</v>
      </c>
      <c r="E55">
        <v>0.76893815941332377</v>
      </c>
      <c r="F55">
        <v>0.97833513074895262</v>
      </c>
      <c r="G55">
        <f t="shared" si="1"/>
        <v>0.20939697133562885</v>
      </c>
      <c r="H55">
        <v>0.16444982264139649</v>
      </c>
      <c r="I55" t="s">
        <v>80</v>
      </c>
      <c r="J55">
        <v>2024</v>
      </c>
    </row>
    <row r="56" spans="1:10" x14ac:dyDescent="0.35">
      <c r="A56" t="s">
        <v>69</v>
      </c>
      <c r="B56" t="s">
        <v>71</v>
      </c>
      <c r="C56" t="s">
        <v>38</v>
      </c>
      <c r="D56">
        <v>2025</v>
      </c>
      <c r="E56">
        <v>2.8680409593299978</v>
      </c>
      <c r="F56">
        <v>2.7857852243734129</v>
      </c>
      <c r="G56">
        <f t="shared" si="1"/>
        <v>-8.2255734956584892E-2</v>
      </c>
      <c r="H56">
        <v>0.1495725835123897</v>
      </c>
      <c r="I56" t="s">
        <v>80</v>
      </c>
      <c r="J56">
        <v>2024</v>
      </c>
    </row>
    <row r="57" spans="1:10" x14ac:dyDescent="0.35">
      <c r="A57" t="s">
        <v>69</v>
      </c>
      <c r="B57" t="s">
        <v>72</v>
      </c>
      <c r="C57" t="s">
        <v>40</v>
      </c>
      <c r="D57">
        <v>2025</v>
      </c>
      <c r="E57">
        <v>2.5510068501240162</v>
      </c>
      <c r="F57">
        <v>2.7857852243734129</v>
      </c>
      <c r="G57">
        <f t="shared" si="1"/>
        <v>0.23477837424939674</v>
      </c>
      <c r="H57">
        <v>0.1495725835123897</v>
      </c>
      <c r="I57" t="s">
        <v>80</v>
      </c>
      <c r="J57">
        <v>2024</v>
      </c>
    </row>
    <row r="58" spans="1:10" x14ac:dyDescent="0.35">
      <c r="A58" t="s">
        <v>73</v>
      </c>
      <c r="B58" t="s">
        <v>71</v>
      </c>
      <c r="C58" t="s">
        <v>38</v>
      </c>
      <c r="D58">
        <v>2025</v>
      </c>
      <c r="E58">
        <v>0.69714532745484004</v>
      </c>
      <c r="F58">
        <v>0.88561946045636819</v>
      </c>
      <c r="G58">
        <f t="shared" si="1"/>
        <v>0.18847413300152815</v>
      </c>
      <c r="H58">
        <v>0.18372354991229151</v>
      </c>
      <c r="I58" t="s">
        <v>80</v>
      </c>
      <c r="J58">
        <v>2024</v>
      </c>
    </row>
    <row r="59" spans="1:10" x14ac:dyDescent="0.35">
      <c r="A59" t="s">
        <v>73</v>
      </c>
      <c r="B59" t="s">
        <v>72</v>
      </c>
      <c r="C59" t="s">
        <v>40</v>
      </c>
      <c r="D59">
        <v>2025</v>
      </c>
      <c r="E59">
        <v>0.57266269658549085</v>
      </c>
      <c r="F59">
        <v>0.88561946045636819</v>
      </c>
      <c r="G59">
        <f t="shared" si="1"/>
        <v>0.31295676387087734</v>
      </c>
      <c r="H59">
        <v>0.18372354991229151</v>
      </c>
      <c r="I59" t="s">
        <v>80</v>
      </c>
      <c r="J59">
        <v>2024</v>
      </c>
    </row>
    <row r="60" spans="1:10" x14ac:dyDescent="0.35">
      <c r="A60" t="s">
        <v>76</v>
      </c>
      <c r="B60" t="s">
        <v>71</v>
      </c>
      <c r="C60" t="s">
        <v>38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0.16819795598684001</v>
      </c>
      <c r="I60" t="s">
        <v>80</v>
      </c>
      <c r="J60">
        <v>2024</v>
      </c>
    </row>
    <row r="61" spans="1:10" x14ac:dyDescent="0.35">
      <c r="A61" t="s">
        <v>76</v>
      </c>
      <c r="B61" t="s">
        <v>72</v>
      </c>
      <c r="C61" t="s">
        <v>40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0.16819795598684001</v>
      </c>
      <c r="I61" t="s">
        <v>80</v>
      </c>
      <c r="J61">
        <v>2024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I58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6</v>
      </c>
      <c r="I1" s="2" t="s">
        <v>78</v>
      </c>
    </row>
    <row r="2" spans="1:9" x14ac:dyDescent="0.35">
      <c r="A2" t="s">
        <v>67</v>
      </c>
      <c r="B2" t="s">
        <v>37</v>
      </c>
      <c r="C2" t="s">
        <v>38</v>
      </c>
      <c r="D2">
        <v>2011</v>
      </c>
      <c r="E2">
        <v>2.1783942373023502</v>
      </c>
      <c r="F2">
        <v>1.9127519277234819</v>
      </c>
      <c r="G2">
        <f t="shared" ref="G2:G65" si="0">IF(OR(F2="",E2=""),"",F2-E2)</f>
        <v>-0.26564230957886825</v>
      </c>
      <c r="H2">
        <v>1.785334474075977E-3</v>
      </c>
      <c r="I2" t="s">
        <v>79</v>
      </c>
    </row>
    <row r="3" spans="1:9" x14ac:dyDescent="0.35">
      <c r="A3" t="s">
        <v>67</v>
      </c>
      <c r="B3" t="s">
        <v>39</v>
      </c>
      <c r="C3" t="s">
        <v>40</v>
      </c>
      <c r="D3">
        <v>2011</v>
      </c>
      <c r="E3">
        <v>2.356686907237338</v>
      </c>
      <c r="F3">
        <v>1.9127519277234819</v>
      </c>
      <c r="G3">
        <f t="shared" si="0"/>
        <v>-0.44393497951385608</v>
      </c>
      <c r="H3">
        <v>1.785334474075977E-3</v>
      </c>
      <c r="I3" t="s">
        <v>79</v>
      </c>
    </row>
    <row r="4" spans="1:9" x14ac:dyDescent="0.35">
      <c r="A4" t="s">
        <v>69</v>
      </c>
      <c r="B4" t="s">
        <v>37</v>
      </c>
      <c r="C4" t="s">
        <v>38</v>
      </c>
      <c r="D4">
        <v>2011</v>
      </c>
      <c r="E4">
        <v>0.73935243476188628</v>
      </c>
      <c r="F4">
        <v>-0.64197941531252334</v>
      </c>
      <c r="G4">
        <f t="shared" si="0"/>
        <v>-1.3813318500744096</v>
      </c>
      <c r="H4">
        <v>9.8602791112884273E-4</v>
      </c>
      <c r="I4" t="s">
        <v>79</v>
      </c>
    </row>
    <row r="5" spans="1:9" x14ac:dyDescent="0.35">
      <c r="A5" t="s">
        <v>69</v>
      </c>
      <c r="B5" t="s">
        <v>39</v>
      </c>
      <c r="C5" t="s">
        <v>40</v>
      </c>
      <c r="D5">
        <v>2011</v>
      </c>
      <c r="E5">
        <v>0.76223621019062548</v>
      </c>
      <c r="F5">
        <v>-0.64197941531252334</v>
      </c>
      <c r="G5">
        <f t="shared" si="0"/>
        <v>-1.4042156255031488</v>
      </c>
      <c r="H5">
        <v>9.8602791112884273E-4</v>
      </c>
      <c r="I5" t="s">
        <v>79</v>
      </c>
    </row>
    <row r="6" spans="1:9" x14ac:dyDescent="0.35">
      <c r="A6" t="s">
        <v>70</v>
      </c>
      <c r="B6" t="s">
        <v>37</v>
      </c>
      <c r="C6" t="s">
        <v>38</v>
      </c>
      <c r="D6">
        <v>2011</v>
      </c>
      <c r="E6">
        <v>3.0836871961199548</v>
      </c>
      <c r="F6">
        <v>2.3627089602501679</v>
      </c>
      <c r="G6">
        <f t="shared" si="0"/>
        <v>-0.72097823586978693</v>
      </c>
      <c r="H6">
        <v>2.246638775038663E-3</v>
      </c>
      <c r="I6" t="s">
        <v>79</v>
      </c>
    </row>
    <row r="7" spans="1:9" x14ac:dyDescent="0.35">
      <c r="A7" t="s">
        <v>70</v>
      </c>
      <c r="B7" t="s">
        <v>39</v>
      </c>
      <c r="C7" t="s">
        <v>40</v>
      </c>
      <c r="D7">
        <v>2011</v>
      </c>
      <c r="E7">
        <v>3.7117323527364081</v>
      </c>
      <c r="F7">
        <v>2.3627089602501679</v>
      </c>
      <c r="G7">
        <f t="shared" si="0"/>
        <v>-1.3490233924862403</v>
      </c>
      <c r="H7">
        <v>2.246638775038663E-3</v>
      </c>
      <c r="I7" t="s">
        <v>79</v>
      </c>
    </row>
    <row r="8" spans="1:9" x14ac:dyDescent="0.35">
      <c r="A8" t="s">
        <v>77</v>
      </c>
      <c r="B8" t="s">
        <v>37</v>
      </c>
      <c r="C8" t="s">
        <v>38</v>
      </c>
      <c r="D8">
        <v>2011</v>
      </c>
      <c r="E8">
        <v>-1.8696006757531689</v>
      </c>
      <c r="F8">
        <v>-1.7283467654708611</v>
      </c>
      <c r="G8">
        <f t="shared" si="0"/>
        <v>0.14125391028230783</v>
      </c>
      <c r="H8">
        <v>6.8274633981906245E-4</v>
      </c>
      <c r="I8" t="s">
        <v>79</v>
      </c>
    </row>
    <row r="9" spans="1:9" x14ac:dyDescent="0.35">
      <c r="A9" t="s">
        <v>77</v>
      </c>
      <c r="B9" t="s">
        <v>39</v>
      </c>
      <c r="C9" t="s">
        <v>40</v>
      </c>
      <c r="D9">
        <v>2011</v>
      </c>
      <c r="E9">
        <v>-2.2032240541474901</v>
      </c>
      <c r="F9">
        <v>-1.7283467654708611</v>
      </c>
      <c r="G9">
        <f t="shared" si="0"/>
        <v>0.47487728867662904</v>
      </c>
      <c r="H9">
        <v>6.8274633981906245E-4</v>
      </c>
      <c r="I9" t="s">
        <v>79</v>
      </c>
    </row>
    <row r="10" spans="1:9" x14ac:dyDescent="0.35">
      <c r="A10" t="s">
        <v>67</v>
      </c>
      <c r="B10" t="s">
        <v>37</v>
      </c>
      <c r="C10" t="s">
        <v>38</v>
      </c>
      <c r="D10">
        <v>2012</v>
      </c>
      <c r="E10">
        <v>0.94750037204316406</v>
      </c>
      <c r="F10">
        <v>0.2155903836940283</v>
      </c>
      <c r="G10">
        <f t="shared" si="0"/>
        <v>-0.73190998834913579</v>
      </c>
      <c r="H10">
        <v>1.5063974111351539E-3</v>
      </c>
      <c r="I10" t="s">
        <v>79</v>
      </c>
    </row>
    <row r="11" spans="1:9" x14ac:dyDescent="0.35">
      <c r="A11" t="s">
        <v>67</v>
      </c>
      <c r="B11" t="s">
        <v>39</v>
      </c>
      <c r="C11" t="s">
        <v>40</v>
      </c>
      <c r="D11">
        <v>2012</v>
      </c>
      <c r="E11">
        <v>2.2102235249893849</v>
      </c>
      <c r="F11">
        <v>0.2155903836940283</v>
      </c>
      <c r="G11">
        <f t="shared" si="0"/>
        <v>-1.9946331412953566</v>
      </c>
      <c r="H11">
        <v>1.5063974111351539E-3</v>
      </c>
      <c r="I11" t="s">
        <v>79</v>
      </c>
    </row>
    <row r="12" spans="1:9" x14ac:dyDescent="0.35">
      <c r="A12" t="s">
        <v>67</v>
      </c>
      <c r="B12" t="s">
        <v>41</v>
      </c>
      <c r="C12" t="s">
        <v>38</v>
      </c>
      <c r="D12">
        <v>2012</v>
      </c>
      <c r="E12">
        <v>-0.20103838842507879</v>
      </c>
      <c r="F12">
        <v>0.2155903836940283</v>
      </c>
      <c r="G12">
        <f t="shared" si="0"/>
        <v>0.41662877211910709</v>
      </c>
      <c r="H12">
        <v>1.5063974111351539E-3</v>
      </c>
      <c r="I12" t="s">
        <v>79</v>
      </c>
    </row>
    <row r="13" spans="1:9" x14ac:dyDescent="0.35">
      <c r="A13" t="s">
        <v>67</v>
      </c>
      <c r="B13" t="s">
        <v>42</v>
      </c>
      <c r="C13" t="s">
        <v>40</v>
      </c>
      <c r="D13">
        <v>2012</v>
      </c>
      <c r="E13">
        <v>-1.8249929426483739E-2</v>
      </c>
      <c r="F13">
        <v>0.2155903836940283</v>
      </c>
      <c r="G13">
        <f t="shared" si="0"/>
        <v>0.23384031312051204</v>
      </c>
      <c r="H13">
        <v>1.5063974111351539E-3</v>
      </c>
      <c r="I13" t="s">
        <v>79</v>
      </c>
    </row>
    <row r="14" spans="1:9" x14ac:dyDescent="0.35">
      <c r="A14" t="s">
        <v>69</v>
      </c>
      <c r="B14" t="s">
        <v>37</v>
      </c>
      <c r="C14" t="s">
        <v>38</v>
      </c>
      <c r="D14">
        <v>2012</v>
      </c>
      <c r="E14">
        <v>0.65087819203448749</v>
      </c>
      <c r="F14">
        <v>-2.906965118995676</v>
      </c>
      <c r="G14">
        <f t="shared" si="0"/>
        <v>-3.5578433110301635</v>
      </c>
      <c r="H14">
        <v>8.5916088536536466E-4</v>
      </c>
      <c r="I14" t="s">
        <v>79</v>
      </c>
    </row>
    <row r="15" spans="1:9" x14ac:dyDescent="0.35">
      <c r="A15" t="s">
        <v>69</v>
      </c>
      <c r="B15" t="s">
        <v>39</v>
      </c>
      <c r="C15" t="s">
        <v>40</v>
      </c>
      <c r="D15">
        <v>2012</v>
      </c>
      <c r="E15">
        <v>1.5110276949649171</v>
      </c>
      <c r="F15">
        <v>-2.906965118995676</v>
      </c>
      <c r="G15">
        <f t="shared" si="0"/>
        <v>-4.4179928139605931</v>
      </c>
      <c r="H15">
        <v>8.5916088536536466E-4</v>
      </c>
      <c r="I15" t="s">
        <v>79</v>
      </c>
    </row>
    <row r="16" spans="1:9" x14ac:dyDescent="0.35">
      <c r="A16" t="s">
        <v>69</v>
      </c>
      <c r="B16" t="s">
        <v>41</v>
      </c>
      <c r="C16" t="s">
        <v>38</v>
      </c>
      <c r="D16">
        <v>2012</v>
      </c>
      <c r="E16">
        <v>-1.438880133100584</v>
      </c>
      <c r="F16">
        <v>-2.906965118995676</v>
      </c>
      <c r="G16">
        <f t="shared" si="0"/>
        <v>-1.468084985895092</v>
      </c>
      <c r="H16">
        <v>8.5916088536536466E-4</v>
      </c>
      <c r="I16" t="s">
        <v>79</v>
      </c>
    </row>
    <row r="17" spans="1:9" x14ac:dyDescent="0.35">
      <c r="A17" t="s">
        <v>69</v>
      </c>
      <c r="B17" t="s">
        <v>42</v>
      </c>
      <c r="C17" t="s">
        <v>40</v>
      </c>
      <c r="D17">
        <v>2012</v>
      </c>
      <c r="E17">
        <v>-1.7627808297010159</v>
      </c>
      <c r="F17">
        <v>-2.906965118995676</v>
      </c>
      <c r="G17">
        <f t="shared" si="0"/>
        <v>-1.1441842892946601</v>
      </c>
      <c r="H17">
        <v>8.5916088536536466E-4</v>
      </c>
      <c r="I17" t="s">
        <v>79</v>
      </c>
    </row>
    <row r="18" spans="1:9" x14ac:dyDescent="0.35">
      <c r="A18" t="s">
        <v>70</v>
      </c>
      <c r="B18" t="s">
        <v>37</v>
      </c>
      <c r="C18" t="s">
        <v>38</v>
      </c>
      <c r="D18">
        <v>2012</v>
      </c>
      <c r="E18">
        <v>1.3616175851251631</v>
      </c>
      <c r="F18">
        <v>-1.535091308900344</v>
      </c>
      <c r="G18">
        <f t="shared" si="0"/>
        <v>-2.8967088940255072</v>
      </c>
      <c r="H18">
        <v>2.221772318620354E-3</v>
      </c>
      <c r="I18" t="s">
        <v>79</v>
      </c>
    </row>
    <row r="19" spans="1:9" x14ac:dyDescent="0.35">
      <c r="A19" t="s">
        <v>70</v>
      </c>
      <c r="B19" t="s">
        <v>39</v>
      </c>
      <c r="C19" t="s">
        <v>40</v>
      </c>
      <c r="D19">
        <v>2012</v>
      </c>
      <c r="E19">
        <v>2.5703100446408111</v>
      </c>
      <c r="F19">
        <v>-1.535091308900344</v>
      </c>
      <c r="G19">
        <f t="shared" si="0"/>
        <v>-4.1054013535411551</v>
      </c>
      <c r="H19">
        <v>2.221772318620354E-3</v>
      </c>
      <c r="I19" t="s">
        <v>79</v>
      </c>
    </row>
    <row r="20" spans="1:9" x14ac:dyDescent="0.35">
      <c r="A20" t="s">
        <v>70</v>
      </c>
      <c r="B20" t="s">
        <v>41</v>
      </c>
      <c r="C20" t="s">
        <v>38</v>
      </c>
      <c r="D20">
        <v>2012</v>
      </c>
      <c r="E20">
        <v>8.5468057722093427E-2</v>
      </c>
      <c r="F20">
        <v>-1.535091308900344</v>
      </c>
      <c r="G20">
        <f t="shared" si="0"/>
        <v>-1.6205593666224374</v>
      </c>
      <c r="H20">
        <v>2.221772318620354E-3</v>
      </c>
      <c r="I20" t="s">
        <v>79</v>
      </c>
    </row>
    <row r="21" spans="1:9" x14ac:dyDescent="0.35">
      <c r="A21" t="s">
        <v>70</v>
      </c>
      <c r="B21" t="s">
        <v>42</v>
      </c>
      <c r="C21" t="s">
        <v>40</v>
      </c>
      <c r="D21">
        <v>2012</v>
      </c>
      <c r="E21">
        <v>0.75750436999100224</v>
      </c>
      <c r="F21">
        <v>-1.535091308900344</v>
      </c>
      <c r="G21">
        <f t="shared" si="0"/>
        <v>-2.2925956788913462</v>
      </c>
      <c r="H21">
        <v>2.221772318620354E-3</v>
      </c>
      <c r="I21" t="s">
        <v>79</v>
      </c>
    </row>
    <row r="22" spans="1:9" x14ac:dyDescent="0.35">
      <c r="A22" t="s">
        <v>75</v>
      </c>
      <c r="B22" t="s">
        <v>37</v>
      </c>
      <c r="C22" t="s">
        <v>38</v>
      </c>
      <c r="D22">
        <v>2012</v>
      </c>
      <c r="E22">
        <v>5.7128352794499897E-2</v>
      </c>
      <c r="F22">
        <v>-3.2265545234223771</v>
      </c>
      <c r="G22">
        <f t="shared" si="0"/>
        <v>-3.283682876216877</v>
      </c>
      <c r="H22">
        <v>1.2453556099924551E-3</v>
      </c>
      <c r="I22" t="s">
        <v>79</v>
      </c>
    </row>
    <row r="23" spans="1:9" x14ac:dyDescent="0.35">
      <c r="A23" t="s">
        <v>75</v>
      </c>
      <c r="B23" t="s">
        <v>39</v>
      </c>
      <c r="C23" t="s">
        <v>40</v>
      </c>
      <c r="D23">
        <v>2012</v>
      </c>
      <c r="E23">
        <v>1.314970893331791</v>
      </c>
      <c r="F23">
        <v>-3.2265545234223771</v>
      </c>
      <c r="G23">
        <f t="shared" si="0"/>
        <v>-4.5415254167541681</v>
      </c>
      <c r="H23">
        <v>1.2453556099924551E-3</v>
      </c>
      <c r="I23" t="s">
        <v>79</v>
      </c>
    </row>
    <row r="24" spans="1:9" x14ac:dyDescent="0.35">
      <c r="A24" t="s">
        <v>75</v>
      </c>
      <c r="B24" t="s">
        <v>41</v>
      </c>
      <c r="C24" t="s">
        <v>38</v>
      </c>
      <c r="D24">
        <v>2012</v>
      </c>
      <c r="E24">
        <v>-2.2867991965167418</v>
      </c>
      <c r="F24">
        <v>-3.2265545234223771</v>
      </c>
      <c r="G24">
        <f t="shared" si="0"/>
        <v>-0.93975532690563535</v>
      </c>
      <c r="H24">
        <v>1.2453556099924551E-3</v>
      </c>
      <c r="I24" t="s">
        <v>79</v>
      </c>
    </row>
    <row r="25" spans="1:9" x14ac:dyDescent="0.35">
      <c r="A25" t="s">
        <v>75</v>
      </c>
      <c r="B25" t="s">
        <v>42</v>
      </c>
      <c r="C25" t="s">
        <v>40</v>
      </c>
      <c r="D25">
        <v>2012</v>
      </c>
      <c r="E25">
        <v>-1.4066091621440899</v>
      </c>
      <c r="F25">
        <v>-3.2265545234223771</v>
      </c>
      <c r="G25">
        <f t="shared" si="0"/>
        <v>-1.8199453612782872</v>
      </c>
      <c r="H25">
        <v>1.2453556099924551E-3</v>
      </c>
      <c r="I25" t="s">
        <v>79</v>
      </c>
    </row>
    <row r="26" spans="1:9" x14ac:dyDescent="0.35">
      <c r="A26" t="s">
        <v>77</v>
      </c>
      <c r="B26" t="s">
        <v>37</v>
      </c>
      <c r="C26" t="s">
        <v>38</v>
      </c>
      <c r="D26">
        <v>2012</v>
      </c>
      <c r="E26">
        <v>-3.035670582279193</v>
      </c>
      <c r="F26">
        <v>-4.1352247921585192</v>
      </c>
      <c r="G26">
        <f t="shared" si="0"/>
        <v>-1.0995542098793263</v>
      </c>
      <c r="H26">
        <v>7.2226219902314333E-4</v>
      </c>
      <c r="I26" t="s">
        <v>79</v>
      </c>
    </row>
    <row r="27" spans="1:9" x14ac:dyDescent="0.35">
      <c r="A27" t="s">
        <v>77</v>
      </c>
      <c r="B27" t="s">
        <v>39</v>
      </c>
      <c r="C27" t="s">
        <v>40</v>
      </c>
      <c r="D27">
        <v>2012</v>
      </c>
      <c r="E27">
        <v>-1.7542339094107959</v>
      </c>
      <c r="F27">
        <v>-4.1352247921585192</v>
      </c>
      <c r="G27">
        <f t="shared" si="0"/>
        <v>-2.3809908827477235</v>
      </c>
      <c r="H27">
        <v>7.2226219902314333E-4</v>
      </c>
      <c r="I27" t="s">
        <v>79</v>
      </c>
    </row>
    <row r="28" spans="1:9" x14ac:dyDescent="0.35">
      <c r="A28" t="s">
        <v>77</v>
      </c>
      <c r="B28" t="s">
        <v>41</v>
      </c>
      <c r="C28" t="s">
        <v>38</v>
      </c>
      <c r="D28">
        <v>2012</v>
      </c>
      <c r="E28">
        <v>-2.9592221038484801</v>
      </c>
      <c r="F28">
        <v>-4.1352247921585192</v>
      </c>
      <c r="G28">
        <f t="shared" si="0"/>
        <v>-1.1760026883100392</v>
      </c>
      <c r="H28">
        <v>7.2226219902314333E-4</v>
      </c>
      <c r="I28" t="s">
        <v>79</v>
      </c>
    </row>
    <row r="29" spans="1:9" x14ac:dyDescent="0.35">
      <c r="A29" t="s">
        <v>77</v>
      </c>
      <c r="B29" t="s">
        <v>42</v>
      </c>
      <c r="C29" t="s">
        <v>40</v>
      </c>
      <c r="D29">
        <v>2012</v>
      </c>
      <c r="E29">
        <v>-3.2622256936120531</v>
      </c>
      <c r="F29">
        <v>-4.1352247921585192</v>
      </c>
      <c r="G29">
        <f t="shared" si="0"/>
        <v>-0.87299909854646618</v>
      </c>
      <c r="H29">
        <v>7.2226219902314333E-4</v>
      </c>
      <c r="I29" t="s">
        <v>79</v>
      </c>
    </row>
    <row r="30" spans="1:9" x14ac:dyDescent="0.35">
      <c r="A30" t="s">
        <v>67</v>
      </c>
      <c r="B30" t="s">
        <v>41</v>
      </c>
      <c r="C30" t="s">
        <v>38</v>
      </c>
      <c r="D30">
        <v>2013</v>
      </c>
      <c r="E30">
        <v>0.74022419318038324</v>
      </c>
      <c r="F30">
        <v>0.30504047757239749</v>
      </c>
      <c r="G30">
        <f t="shared" si="0"/>
        <v>-0.43518371560798574</v>
      </c>
      <c r="H30">
        <v>1.586033074688545E-3</v>
      </c>
      <c r="I30" t="s">
        <v>79</v>
      </c>
    </row>
    <row r="31" spans="1:9" x14ac:dyDescent="0.35">
      <c r="A31" t="s">
        <v>67</v>
      </c>
      <c r="B31" t="s">
        <v>42</v>
      </c>
      <c r="C31" t="s">
        <v>40</v>
      </c>
      <c r="D31">
        <v>2013</v>
      </c>
      <c r="E31">
        <v>1.243358392394422</v>
      </c>
      <c r="F31">
        <v>0.30504047757239749</v>
      </c>
      <c r="G31">
        <f t="shared" si="0"/>
        <v>-0.93831791482202453</v>
      </c>
      <c r="H31">
        <v>1.586033074688545E-3</v>
      </c>
      <c r="I31" t="s">
        <v>79</v>
      </c>
    </row>
    <row r="32" spans="1:9" x14ac:dyDescent="0.35">
      <c r="A32" t="s">
        <v>67</v>
      </c>
      <c r="B32" t="s">
        <v>43</v>
      </c>
      <c r="C32" t="s">
        <v>38</v>
      </c>
      <c r="D32">
        <v>2013</v>
      </c>
      <c r="E32">
        <v>0.1418580624652277</v>
      </c>
      <c r="F32">
        <v>0.30504047757239749</v>
      </c>
      <c r="G32">
        <f t="shared" si="0"/>
        <v>0.1631824151071698</v>
      </c>
      <c r="H32">
        <v>1.586033074688545E-3</v>
      </c>
      <c r="I32" t="s">
        <v>79</v>
      </c>
    </row>
    <row r="33" spans="1:9" x14ac:dyDescent="0.35">
      <c r="A33" t="s">
        <v>67</v>
      </c>
      <c r="B33" t="s">
        <v>44</v>
      </c>
      <c r="C33" t="s">
        <v>40</v>
      </c>
      <c r="D33">
        <v>2013</v>
      </c>
      <c r="E33">
        <v>4.2242834906547337E-2</v>
      </c>
      <c r="F33">
        <v>0.30504047757239749</v>
      </c>
      <c r="G33">
        <f t="shared" si="0"/>
        <v>0.26279764266585015</v>
      </c>
      <c r="H33">
        <v>1.586033074688545E-3</v>
      </c>
      <c r="I33" t="s">
        <v>79</v>
      </c>
    </row>
    <row r="34" spans="1:9" x14ac:dyDescent="0.35">
      <c r="A34" t="s">
        <v>69</v>
      </c>
      <c r="B34" t="s">
        <v>41</v>
      </c>
      <c r="C34" t="s">
        <v>38</v>
      </c>
      <c r="D34">
        <v>2013</v>
      </c>
      <c r="E34">
        <v>-1.4440800286151581</v>
      </c>
      <c r="F34">
        <v>-1.437599419188256</v>
      </c>
      <c r="G34">
        <f t="shared" si="0"/>
        <v>6.4806094269020953E-3</v>
      </c>
      <c r="H34">
        <v>9.4029754192236721E-4</v>
      </c>
      <c r="I34" t="s">
        <v>79</v>
      </c>
    </row>
    <row r="35" spans="1:9" x14ac:dyDescent="0.35">
      <c r="A35" t="s">
        <v>69</v>
      </c>
      <c r="B35" t="s">
        <v>42</v>
      </c>
      <c r="C35" t="s">
        <v>40</v>
      </c>
      <c r="D35">
        <v>2013</v>
      </c>
      <c r="E35">
        <v>-0.3312062646812497</v>
      </c>
      <c r="F35">
        <v>-1.437599419188256</v>
      </c>
      <c r="G35">
        <f t="shared" si="0"/>
        <v>-1.1063931545070063</v>
      </c>
      <c r="H35">
        <v>9.4029754192236721E-4</v>
      </c>
      <c r="I35" t="s">
        <v>79</v>
      </c>
    </row>
    <row r="36" spans="1:9" x14ac:dyDescent="0.35">
      <c r="A36" t="s">
        <v>69</v>
      </c>
      <c r="B36" t="s">
        <v>43</v>
      </c>
      <c r="C36" t="s">
        <v>38</v>
      </c>
      <c r="D36">
        <v>2013</v>
      </c>
      <c r="E36">
        <v>-1.3067912142153639</v>
      </c>
      <c r="F36">
        <v>-1.437599419188256</v>
      </c>
      <c r="G36">
        <f t="shared" si="0"/>
        <v>-0.13080820497289203</v>
      </c>
      <c r="H36">
        <v>9.4029754192236721E-4</v>
      </c>
      <c r="I36" t="s">
        <v>79</v>
      </c>
    </row>
    <row r="37" spans="1:9" x14ac:dyDescent="0.35">
      <c r="A37" t="s">
        <v>69</v>
      </c>
      <c r="B37" t="s">
        <v>44</v>
      </c>
      <c r="C37" t="s">
        <v>40</v>
      </c>
      <c r="D37">
        <v>2013</v>
      </c>
      <c r="E37">
        <v>-1.474157069656223</v>
      </c>
      <c r="F37">
        <v>-1.437599419188256</v>
      </c>
      <c r="G37">
        <f t="shared" si="0"/>
        <v>3.6557650467966996E-2</v>
      </c>
      <c r="H37">
        <v>9.4029754192236721E-4</v>
      </c>
      <c r="I37" t="s">
        <v>79</v>
      </c>
    </row>
    <row r="38" spans="1:9" x14ac:dyDescent="0.35">
      <c r="A38" t="s">
        <v>70</v>
      </c>
      <c r="B38" t="s">
        <v>41</v>
      </c>
      <c r="C38" t="s">
        <v>38</v>
      </c>
      <c r="D38">
        <v>2013</v>
      </c>
      <c r="E38">
        <v>0.81963861469160904</v>
      </c>
      <c r="F38">
        <v>-0.98304238782565612</v>
      </c>
      <c r="G38">
        <f t="shared" si="0"/>
        <v>-1.8026810025172653</v>
      </c>
      <c r="H38">
        <v>2.2729743091563109E-3</v>
      </c>
      <c r="I38" t="s">
        <v>79</v>
      </c>
    </row>
    <row r="39" spans="1:9" x14ac:dyDescent="0.35">
      <c r="A39" t="s">
        <v>70</v>
      </c>
      <c r="B39" t="s">
        <v>42</v>
      </c>
      <c r="C39" t="s">
        <v>40</v>
      </c>
      <c r="D39">
        <v>2013</v>
      </c>
      <c r="E39">
        <v>1.5995384631571461</v>
      </c>
      <c r="F39">
        <v>-0.98304238782565612</v>
      </c>
      <c r="G39">
        <f t="shared" si="0"/>
        <v>-2.5825808509828021</v>
      </c>
      <c r="H39">
        <v>2.2729743091563109E-3</v>
      </c>
      <c r="I39" t="s">
        <v>79</v>
      </c>
    </row>
    <row r="40" spans="1:9" x14ac:dyDescent="0.35">
      <c r="A40" t="s">
        <v>70</v>
      </c>
      <c r="B40" t="s">
        <v>43</v>
      </c>
      <c r="C40" t="s">
        <v>38</v>
      </c>
      <c r="D40">
        <v>2013</v>
      </c>
      <c r="E40">
        <v>-0.64479636656290529</v>
      </c>
      <c r="F40">
        <v>-0.98304238782565612</v>
      </c>
      <c r="G40">
        <f t="shared" si="0"/>
        <v>-0.33824602126275083</v>
      </c>
      <c r="H40">
        <v>2.2729743091563109E-3</v>
      </c>
      <c r="I40" t="s">
        <v>79</v>
      </c>
    </row>
    <row r="41" spans="1:9" x14ac:dyDescent="0.35">
      <c r="A41" t="s">
        <v>70</v>
      </c>
      <c r="B41" t="s">
        <v>44</v>
      </c>
      <c r="C41" t="s">
        <v>40</v>
      </c>
      <c r="D41">
        <v>2013</v>
      </c>
      <c r="E41">
        <v>0.28709236983106567</v>
      </c>
      <c r="F41">
        <v>-0.98304238782565612</v>
      </c>
      <c r="G41">
        <f t="shared" si="0"/>
        <v>-1.2701347576567219</v>
      </c>
      <c r="H41">
        <v>2.2729743091563109E-3</v>
      </c>
      <c r="I41" t="s">
        <v>79</v>
      </c>
    </row>
    <row r="42" spans="1:9" x14ac:dyDescent="0.35">
      <c r="A42" t="s">
        <v>75</v>
      </c>
      <c r="B42" t="s">
        <v>41</v>
      </c>
      <c r="C42" t="s">
        <v>38</v>
      </c>
      <c r="D42">
        <v>2013</v>
      </c>
      <c r="E42">
        <v>-0.54027205249544963</v>
      </c>
      <c r="F42">
        <v>-1.843520911707673</v>
      </c>
      <c r="G42">
        <f t="shared" si="0"/>
        <v>-1.3032488592122233</v>
      </c>
      <c r="H42">
        <v>1.258842609190792E-3</v>
      </c>
      <c r="I42" t="s">
        <v>79</v>
      </c>
    </row>
    <row r="43" spans="1:9" x14ac:dyDescent="0.35">
      <c r="A43" t="s">
        <v>75</v>
      </c>
      <c r="B43" t="s">
        <v>42</v>
      </c>
      <c r="C43" t="s">
        <v>40</v>
      </c>
      <c r="D43">
        <v>2013</v>
      </c>
      <c r="E43">
        <v>0.44387559815419753</v>
      </c>
      <c r="F43">
        <v>-1.843520911707673</v>
      </c>
      <c r="G43">
        <f t="shared" si="0"/>
        <v>-2.2873965098618703</v>
      </c>
      <c r="H43">
        <v>1.258842609190792E-3</v>
      </c>
      <c r="I43" t="s">
        <v>79</v>
      </c>
    </row>
    <row r="44" spans="1:9" x14ac:dyDescent="0.35">
      <c r="A44" t="s">
        <v>75</v>
      </c>
      <c r="B44" t="s">
        <v>43</v>
      </c>
      <c r="C44" t="s">
        <v>38</v>
      </c>
      <c r="D44">
        <v>2013</v>
      </c>
      <c r="E44">
        <v>-1.8298929550776939</v>
      </c>
      <c r="F44">
        <v>-1.843520911707673</v>
      </c>
      <c r="G44">
        <f t="shared" si="0"/>
        <v>-1.3627956629979066E-2</v>
      </c>
      <c r="H44">
        <v>1.258842609190792E-3</v>
      </c>
      <c r="I44" t="s">
        <v>79</v>
      </c>
    </row>
    <row r="45" spans="1:9" x14ac:dyDescent="0.35">
      <c r="A45" t="s">
        <v>75</v>
      </c>
      <c r="B45" t="s">
        <v>44</v>
      </c>
      <c r="C45" t="s">
        <v>40</v>
      </c>
      <c r="D45">
        <v>2013</v>
      </c>
      <c r="E45">
        <v>-1.3409854181595351</v>
      </c>
      <c r="F45">
        <v>-1.843520911707673</v>
      </c>
      <c r="G45">
        <f t="shared" si="0"/>
        <v>-0.50253549354813787</v>
      </c>
      <c r="H45">
        <v>1.258842609190792E-3</v>
      </c>
      <c r="I45" t="s">
        <v>79</v>
      </c>
    </row>
    <row r="46" spans="1:9" x14ac:dyDescent="0.35">
      <c r="A46" t="s">
        <v>77</v>
      </c>
      <c r="B46" t="s">
        <v>41</v>
      </c>
      <c r="C46" t="s">
        <v>38</v>
      </c>
      <c r="D46">
        <v>2013</v>
      </c>
      <c r="E46">
        <v>-0.99451273527885187</v>
      </c>
      <c r="F46">
        <v>-0.98897197690870997</v>
      </c>
      <c r="G46">
        <f t="shared" si="0"/>
        <v>5.5407583701418961E-3</v>
      </c>
      <c r="H46">
        <v>6.1268765363656371E-4</v>
      </c>
      <c r="I46" t="s">
        <v>79</v>
      </c>
    </row>
    <row r="47" spans="1:9" x14ac:dyDescent="0.35">
      <c r="A47" t="s">
        <v>77</v>
      </c>
      <c r="B47" t="s">
        <v>42</v>
      </c>
      <c r="C47" t="s">
        <v>40</v>
      </c>
      <c r="D47">
        <v>2013</v>
      </c>
      <c r="E47">
        <v>0.25474465246075878</v>
      </c>
      <c r="F47">
        <v>-0.98897197690870997</v>
      </c>
      <c r="G47">
        <f t="shared" si="0"/>
        <v>-1.2437166293694688</v>
      </c>
      <c r="H47">
        <v>6.1268765363656371E-4</v>
      </c>
      <c r="I47" t="s">
        <v>79</v>
      </c>
    </row>
    <row r="48" spans="1:9" x14ac:dyDescent="0.35">
      <c r="A48" t="s">
        <v>77</v>
      </c>
      <c r="B48" t="s">
        <v>43</v>
      </c>
      <c r="C48" t="s">
        <v>38</v>
      </c>
      <c r="D48">
        <v>2013</v>
      </c>
      <c r="E48">
        <v>-1.7638843604673491</v>
      </c>
      <c r="F48">
        <v>-0.98897197690870997</v>
      </c>
      <c r="G48">
        <f t="shared" si="0"/>
        <v>0.77491238355863912</v>
      </c>
      <c r="H48">
        <v>6.1268765363656371E-4</v>
      </c>
      <c r="I48" t="s">
        <v>79</v>
      </c>
    </row>
    <row r="49" spans="1:9" x14ac:dyDescent="0.35">
      <c r="A49" t="s">
        <v>77</v>
      </c>
      <c r="B49" t="s">
        <v>44</v>
      </c>
      <c r="C49" t="s">
        <v>40</v>
      </c>
      <c r="D49">
        <v>2013</v>
      </c>
      <c r="E49">
        <v>-2.3430661136081392</v>
      </c>
      <c r="F49">
        <v>-0.98897197690870997</v>
      </c>
      <c r="G49">
        <f t="shared" si="0"/>
        <v>1.3540941366994292</v>
      </c>
      <c r="H49">
        <v>6.1268765363656371E-4</v>
      </c>
      <c r="I49" t="s">
        <v>79</v>
      </c>
    </row>
    <row r="50" spans="1:9" x14ac:dyDescent="0.35">
      <c r="A50" t="s">
        <v>67</v>
      </c>
      <c r="B50" t="s">
        <v>43</v>
      </c>
      <c r="C50" t="s">
        <v>38</v>
      </c>
      <c r="D50">
        <v>2014</v>
      </c>
      <c r="E50">
        <v>1.142047499237697</v>
      </c>
      <c r="F50">
        <v>1.750092739581359</v>
      </c>
      <c r="G50">
        <f t="shared" si="0"/>
        <v>0.60804524034366203</v>
      </c>
      <c r="H50">
        <v>1.832777504202993E-3</v>
      </c>
      <c r="I50" t="s">
        <v>79</v>
      </c>
    </row>
    <row r="51" spans="1:9" x14ac:dyDescent="0.35">
      <c r="A51" t="s">
        <v>67</v>
      </c>
      <c r="B51" t="s">
        <v>44</v>
      </c>
      <c r="C51" t="s">
        <v>40</v>
      </c>
      <c r="D51">
        <v>2014</v>
      </c>
      <c r="E51">
        <v>1.19023811784591</v>
      </c>
      <c r="F51">
        <v>1.750092739581359</v>
      </c>
      <c r="G51">
        <f t="shared" si="0"/>
        <v>0.55985462173544898</v>
      </c>
      <c r="H51">
        <v>1.832777504202993E-3</v>
      </c>
      <c r="I51" t="s">
        <v>79</v>
      </c>
    </row>
    <row r="52" spans="1:9" x14ac:dyDescent="0.35">
      <c r="A52" t="s">
        <v>67</v>
      </c>
      <c r="B52" t="s">
        <v>45</v>
      </c>
      <c r="C52" t="s">
        <v>38</v>
      </c>
      <c r="D52">
        <v>2014</v>
      </c>
      <c r="E52">
        <v>0.92282985431766384</v>
      </c>
      <c r="F52">
        <v>1.750092739581359</v>
      </c>
      <c r="G52">
        <f t="shared" si="0"/>
        <v>0.82726288526369518</v>
      </c>
      <c r="H52">
        <v>1.832777504202993E-3</v>
      </c>
      <c r="I52" t="s">
        <v>79</v>
      </c>
    </row>
    <row r="53" spans="1:9" x14ac:dyDescent="0.35">
      <c r="A53" t="s">
        <v>67</v>
      </c>
      <c r="B53" t="s">
        <v>46</v>
      </c>
      <c r="C53" t="s">
        <v>40</v>
      </c>
      <c r="D53">
        <v>2014</v>
      </c>
      <c r="E53">
        <v>1.443053096414237</v>
      </c>
      <c r="F53">
        <v>1.750092739581359</v>
      </c>
      <c r="G53">
        <f t="shared" si="0"/>
        <v>0.30703964316712207</v>
      </c>
      <c r="H53">
        <v>1.832777504202993E-3</v>
      </c>
      <c r="I53" t="s">
        <v>79</v>
      </c>
    </row>
    <row r="54" spans="1:9" x14ac:dyDescent="0.35">
      <c r="A54" t="s">
        <v>69</v>
      </c>
      <c r="B54" t="s">
        <v>43</v>
      </c>
      <c r="C54" t="s">
        <v>38</v>
      </c>
      <c r="D54">
        <v>2014</v>
      </c>
      <c r="E54">
        <v>0.53460867752352925</v>
      </c>
      <c r="F54">
        <v>1.509054117610189</v>
      </c>
      <c r="G54">
        <f t="shared" si="0"/>
        <v>0.97444544008665979</v>
      </c>
      <c r="H54">
        <v>9.163700818761272E-4</v>
      </c>
      <c r="I54" t="s">
        <v>79</v>
      </c>
    </row>
    <row r="55" spans="1:9" x14ac:dyDescent="0.35">
      <c r="A55" t="s">
        <v>69</v>
      </c>
      <c r="B55" t="s">
        <v>44</v>
      </c>
      <c r="C55" t="s">
        <v>40</v>
      </c>
      <c r="D55">
        <v>2014</v>
      </c>
      <c r="E55">
        <v>0.93589599660655054</v>
      </c>
      <c r="F55">
        <v>1.509054117610189</v>
      </c>
      <c r="G55">
        <f t="shared" si="0"/>
        <v>0.5731581210036385</v>
      </c>
      <c r="H55">
        <v>9.163700818761272E-4</v>
      </c>
      <c r="I55" t="s">
        <v>79</v>
      </c>
    </row>
    <row r="56" spans="1:9" x14ac:dyDescent="0.35">
      <c r="A56" t="s">
        <v>69</v>
      </c>
      <c r="B56" t="s">
        <v>45</v>
      </c>
      <c r="C56" t="s">
        <v>38</v>
      </c>
      <c r="D56">
        <v>2014</v>
      </c>
      <c r="E56">
        <v>1.249540362435053</v>
      </c>
      <c r="F56">
        <v>1.509054117610189</v>
      </c>
      <c r="G56">
        <f t="shared" si="0"/>
        <v>0.25951375517513608</v>
      </c>
      <c r="H56">
        <v>9.163700818761272E-4</v>
      </c>
      <c r="I56" t="s">
        <v>79</v>
      </c>
    </row>
    <row r="57" spans="1:9" x14ac:dyDescent="0.35">
      <c r="A57" t="s">
        <v>69</v>
      </c>
      <c r="B57" t="s">
        <v>46</v>
      </c>
      <c r="C57" t="s">
        <v>40</v>
      </c>
      <c r="D57">
        <v>2014</v>
      </c>
      <c r="E57">
        <v>1.14800430968125</v>
      </c>
      <c r="F57">
        <v>1.509054117610189</v>
      </c>
      <c r="G57">
        <f t="shared" si="0"/>
        <v>0.36104980792893904</v>
      </c>
      <c r="H57">
        <v>9.163700818761272E-4</v>
      </c>
      <c r="I57" t="s">
        <v>79</v>
      </c>
    </row>
    <row r="58" spans="1:9" x14ac:dyDescent="0.35">
      <c r="A58" t="s">
        <v>70</v>
      </c>
      <c r="B58" t="s">
        <v>43</v>
      </c>
      <c r="C58" t="s">
        <v>38</v>
      </c>
      <c r="D58">
        <v>2014</v>
      </c>
      <c r="E58">
        <v>0.58013506796126268</v>
      </c>
      <c r="F58">
        <v>-0.47970961562021558</v>
      </c>
      <c r="G58">
        <f t="shared" si="0"/>
        <v>-1.0598446835814783</v>
      </c>
      <c r="H58">
        <v>2.2995608675575492E-3</v>
      </c>
      <c r="I58" t="s">
        <v>79</v>
      </c>
    </row>
    <row r="59" spans="1:9" x14ac:dyDescent="0.35">
      <c r="A59" t="s">
        <v>70</v>
      </c>
      <c r="B59" t="s">
        <v>44</v>
      </c>
      <c r="C59" t="s">
        <v>40</v>
      </c>
      <c r="D59">
        <v>2014</v>
      </c>
      <c r="E59">
        <v>1.00425732590641</v>
      </c>
      <c r="F59">
        <v>-0.47970961562021558</v>
      </c>
      <c r="G59">
        <f t="shared" si="0"/>
        <v>-1.4839669415266257</v>
      </c>
      <c r="H59">
        <v>2.2995608675575492E-3</v>
      </c>
      <c r="I59" t="s">
        <v>79</v>
      </c>
    </row>
    <row r="60" spans="1:9" x14ac:dyDescent="0.35">
      <c r="A60" t="s">
        <v>70</v>
      </c>
      <c r="B60" t="s">
        <v>45</v>
      </c>
      <c r="C60" t="s">
        <v>38</v>
      </c>
      <c r="D60">
        <v>2014</v>
      </c>
      <c r="E60">
        <v>-0.44253897907734491</v>
      </c>
      <c r="F60">
        <v>-0.47970961562021558</v>
      </c>
      <c r="G60">
        <f t="shared" si="0"/>
        <v>-3.7170636542870672E-2</v>
      </c>
      <c r="H60">
        <v>2.2995608675575492E-3</v>
      </c>
      <c r="I60" t="s">
        <v>79</v>
      </c>
    </row>
    <row r="61" spans="1:9" x14ac:dyDescent="0.35">
      <c r="A61" t="s">
        <v>70</v>
      </c>
      <c r="B61" t="s">
        <v>46</v>
      </c>
      <c r="C61" t="s">
        <v>40</v>
      </c>
      <c r="D61">
        <v>2014</v>
      </c>
      <c r="E61">
        <v>0.1752479290949793</v>
      </c>
      <c r="F61">
        <v>-0.47970961562021558</v>
      </c>
      <c r="G61">
        <f t="shared" si="0"/>
        <v>-0.65495754471519485</v>
      </c>
      <c r="H61">
        <v>2.2995608675575492E-3</v>
      </c>
      <c r="I61" t="s">
        <v>79</v>
      </c>
    </row>
    <row r="62" spans="1:9" x14ac:dyDescent="0.35">
      <c r="A62" t="s">
        <v>73</v>
      </c>
      <c r="B62" t="s">
        <v>43</v>
      </c>
      <c r="C62" t="s">
        <v>38</v>
      </c>
      <c r="D62">
        <v>2014</v>
      </c>
      <c r="E62">
        <v>0.91019216638974498</v>
      </c>
      <c r="F62">
        <v>0.99281792910282507</v>
      </c>
      <c r="G62">
        <f t="shared" si="0"/>
        <v>8.2625762713080086E-2</v>
      </c>
      <c r="H62">
        <v>2.676056613142241E-3</v>
      </c>
      <c r="I62" t="s">
        <v>79</v>
      </c>
    </row>
    <row r="63" spans="1:9" x14ac:dyDescent="0.35">
      <c r="A63" t="s">
        <v>73</v>
      </c>
      <c r="B63" t="s">
        <v>44</v>
      </c>
      <c r="C63" t="s">
        <v>40</v>
      </c>
      <c r="D63">
        <v>2014</v>
      </c>
      <c r="E63">
        <v>1.095437649770115</v>
      </c>
      <c r="F63">
        <v>0.99281792910282507</v>
      </c>
      <c r="G63">
        <f t="shared" si="0"/>
        <v>-0.10261972066728997</v>
      </c>
      <c r="H63">
        <v>2.676056613142241E-3</v>
      </c>
      <c r="I63" t="s">
        <v>79</v>
      </c>
    </row>
    <row r="64" spans="1:9" x14ac:dyDescent="0.35">
      <c r="A64" t="s">
        <v>73</v>
      </c>
      <c r="B64" t="s">
        <v>45</v>
      </c>
      <c r="C64" t="s">
        <v>38</v>
      </c>
      <c r="D64">
        <v>2014</v>
      </c>
      <c r="E64">
        <v>0.31811884101464738</v>
      </c>
      <c r="F64">
        <v>0.99281792910282507</v>
      </c>
      <c r="G64">
        <f t="shared" si="0"/>
        <v>0.67469908808817769</v>
      </c>
      <c r="H64">
        <v>2.676056613142241E-3</v>
      </c>
      <c r="I64" t="s">
        <v>79</v>
      </c>
    </row>
    <row r="65" spans="1:9" x14ac:dyDescent="0.35">
      <c r="A65" t="s">
        <v>73</v>
      </c>
      <c r="B65" t="s">
        <v>46</v>
      </c>
      <c r="C65" t="s">
        <v>40</v>
      </c>
      <c r="D65">
        <v>2014</v>
      </c>
      <c r="E65">
        <v>0.97562348050159731</v>
      </c>
      <c r="F65">
        <v>0.99281792910282507</v>
      </c>
      <c r="G65">
        <f t="shared" si="0"/>
        <v>1.7194448601227763E-2</v>
      </c>
      <c r="H65">
        <v>2.676056613142241E-3</v>
      </c>
      <c r="I65" t="s">
        <v>79</v>
      </c>
    </row>
    <row r="66" spans="1:9" x14ac:dyDescent="0.35">
      <c r="A66" t="s">
        <v>75</v>
      </c>
      <c r="B66" t="s">
        <v>43</v>
      </c>
      <c r="C66" t="s">
        <v>38</v>
      </c>
      <c r="D66">
        <v>2014</v>
      </c>
      <c r="E66">
        <v>0.71082592354936303</v>
      </c>
      <c r="F66">
        <v>7.5233947391528819E-2</v>
      </c>
      <c r="G66">
        <f t="shared" ref="G66:G129" si="1">IF(OR(F66="",E66=""),"",F66-E66)</f>
        <v>-0.63559197615783425</v>
      </c>
      <c r="H66">
        <v>1.1676188031476179E-3</v>
      </c>
      <c r="I66" t="s">
        <v>79</v>
      </c>
    </row>
    <row r="67" spans="1:9" x14ac:dyDescent="0.35">
      <c r="A67" t="s">
        <v>75</v>
      </c>
      <c r="B67" t="s">
        <v>44</v>
      </c>
      <c r="C67" t="s">
        <v>40</v>
      </c>
      <c r="D67">
        <v>2014</v>
      </c>
      <c r="E67">
        <v>0.71763548551055933</v>
      </c>
      <c r="F67">
        <v>7.5233947391528819E-2</v>
      </c>
      <c r="G67">
        <f t="shared" si="1"/>
        <v>-0.64240153811903056</v>
      </c>
      <c r="H67">
        <v>1.1676188031476179E-3</v>
      </c>
      <c r="I67" t="s">
        <v>79</v>
      </c>
    </row>
    <row r="68" spans="1:9" x14ac:dyDescent="0.35">
      <c r="A68" t="s">
        <v>75</v>
      </c>
      <c r="B68" t="s">
        <v>45</v>
      </c>
      <c r="C68" t="s">
        <v>38</v>
      </c>
      <c r="D68">
        <v>2014</v>
      </c>
      <c r="E68">
        <v>-0.39461096681301377</v>
      </c>
      <c r="F68">
        <v>7.5233947391528819E-2</v>
      </c>
      <c r="G68">
        <f t="shared" si="1"/>
        <v>0.46984491420454261</v>
      </c>
      <c r="H68">
        <v>1.1676188031476179E-3</v>
      </c>
      <c r="I68" t="s">
        <v>79</v>
      </c>
    </row>
    <row r="69" spans="1:9" x14ac:dyDescent="0.35">
      <c r="A69" t="s">
        <v>75</v>
      </c>
      <c r="B69" t="s">
        <v>46</v>
      </c>
      <c r="C69" t="s">
        <v>40</v>
      </c>
      <c r="D69">
        <v>2014</v>
      </c>
      <c r="E69">
        <v>0.57096731898795827</v>
      </c>
      <c r="F69">
        <v>7.5233947391528819E-2</v>
      </c>
      <c r="G69">
        <f t="shared" si="1"/>
        <v>-0.49573337159642944</v>
      </c>
      <c r="H69">
        <v>1.1676188031476179E-3</v>
      </c>
      <c r="I69" t="s">
        <v>79</v>
      </c>
    </row>
    <row r="70" spans="1:9" x14ac:dyDescent="0.35">
      <c r="A70" t="s">
        <v>77</v>
      </c>
      <c r="B70" t="s">
        <v>43</v>
      </c>
      <c r="C70" t="s">
        <v>38</v>
      </c>
      <c r="D70">
        <v>2014</v>
      </c>
      <c r="E70">
        <v>0.77627138458356004</v>
      </c>
      <c r="F70">
        <v>0.73862541356536338</v>
      </c>
      <c r="G70">
        <f t="shared" si="1"/>
        <v>-3.7645971018196667E-2</v>
      </c>
      <c r="H70">
        <v>6.6711717123574797E-4</v>
      </c>
      <c r="I70" t="s">
        <v>79</v>
      </c>
    </row>
    <row r="71" spans="1:9" x14ac:dyDescent="0.35">
      <c r="A71" t="s">
        <v>77</v>
      </c>
      <c r="B71" t="s">
        <v>44</v>
      </c>
      <c r="C71" t="s">
        <v>40</v>
      </c>
      <c r="D71">
        <v>2014</v>
      </c>
      <c r="E71">
        <v>0.55862666597106259</v>
      </c>
      <c r="F71">
        <v>0.73862541356536338</v>
      </c>
      <c r="G71">
        <f t="shared" si="1"/>
        <v>0.17999874759430079</v>
      </c>
      <c r="H71">
        <v>6.6711717123574797E-4</v>
      </c>
      <c r="I71" t="s">
        <v>79</v>
      </c>
    </row>
    <row r="72" spans="1:9" x14ac:dyDescent="0.35">
      <c r="A72" t="s">
        <v>77</v>
      </c>
      <c r="B72" t="s">
        <v>45</v>
      </c>
      <c r="C72" t="s">
        <v>38</v>
      </c>
      <c r="D72">
        <v>2014</v>
      </c>
      <c r="E72">
        <v>0.93766267530348557</v>
      </c>
      <c r="F72">
        <v>0.73862541356536338</v>
      </c>
      <c r="G72">
        <f t="shared" si="1"/>
        <v>-0.1990372617381222</v>
      </c>
      <c r="H72">
        <v>6.6711717123574797E-4</v>
      </c>
      <c r="I72" t="s">
        <v>79</v>
      </c>
    </row>
    <row r="73" spans="1:9" x14ac:dyDescent="0.35">
      <c r="A73" t="s">
        <v>77</v>
      </c>
      <c r="B73" t="s">
        <v>46</v>
      </c>
      <c r="C73" t="s">
        <v>40</v>
      </c>
      <c r="D73">
        <v>2014</v>
      </c>
      <c r="E73">
        <v>1.244291809650244</v>
      </c>
      <c r="F73">
        <v>0.73862541356536338</v>
      </c>
      <c r="G73">
        <f t="shared" si="1"/>
        <v>-0.50566639608488062</v>
      </c>
      <c r="H73">
        <v>6.6711717123574797E-4</v>
      </c>
      <c r="I73" t="s">
        <v>79</v>
      </c>
    </row>
    <row r="74" spans="1:9" x14ac:dyDescent="0.35">
      <c r="A74" t="s">
        <v>67</v>
      </c>
      <c r="B74" t="s">
        <v>45</v>
      </c>
      <c r="C74" t="s">
        <v>38</v>
      </c>
      <c r="D74">
        <v>2015</v>
      </c>
      <c r="E74">
        <v>0.86159735965183337</v>
      </c>
      <c r="F74">
        <v>1.4634410714791239</v>
      </c>
      <c r="G74">
        <f t="shared" si="1"/>
        <v>0.60184371182729057</v>
      </c>
      <c r="H74">
        <v>2.3021800043303512E-3</v>
      </c>
      <c r="I74" t="s">
        <v>79</v>
      </c>
    </row>
    <row r="75" spans="1:9" x14ac:dyDescent="0.35">
      <c r="A75" t="s">
        <v>67</v>
      </c>
      <c r="B75" t="s">
        <v>46</v>
      </c>
      <c r="C75" t="s">
        <v>40</v>
      </c>
      <c r="D75">
        <v>2015</v>
      </c>
      <c r="E75">
        <v>1.5593135161243941</v>
      </c>
      <c r="F75">
        <v>1.4634410714791239</v>
      </c>
      <c r="G75">
        <f t="shared" si="1"/>
        <v>-9.5872444645270116E-2</v>
      </c>
      <c r="H75">
        <v>2.3021800043303512E-3</v>
      </c>
      <c r="I75" t="s">
        <v>79</v>
      </c>
    </row>
    <row r="76" spans="1:9" x14ac:dyDescent="0.35">
      <c r="A76" t="s">
        <v>67</v>
      </c>
      <c r="B76" t="s">
        <v>47</v>
      </c>
      <c r="C76" t="s">
        <v>38</v>
      </c>
      <c r="D76">
        <v>2015</v>
      </c>
      <c r="E76">
        <v>1.262482967982592</v>
      </c>
      <c r="F76">
        <v>1.4634410714791239</v>
      </c>
      <c r="G76">
        <f t="shared" si="1"/>
        <v>0.20095810349653198</v>
      </c>
      <c r="H76">
        <v>2.3021800043303512E-3</v>
      </c>
      <c r="I76" t="s">
        <v>79</v>
      </c>
    </row>
    <row r="77" spans="1:9" x14ac:dyDescent="0.35">
      <c r="A77" t="s">
        <v>67</v>
      </c>
      <c r="B77" t="s">
        <v>48</v>
      </c>
      <c r="C77" t="s">
        <v>40</v>
      </c>
      <c r="D77">
        <v>2015</v>
      </c>
      <c r="E77">
        <v>1.08741840250608</v>
      </c>
      <c r="F77">
        <v>1.4634410714791239</v>
      </c>
      <c r="G77">
        <f t="shared" si="1"/>
        <v>0.37602266897304393</v>
      </c>
      <c r="H77">
        <v>2.3021800043303512E-3</v>
      </c>
      <c r="I77" t="s">
        <v>79</v>
      </c>
    </row>
    <row r="78" spans="1:9" x14ac:dyDescent="0.35">
      <c r="A78" t="s">
        <v>69</v>
      </c>
      <c r="B78" t="s">
        <v>45</v>
      </c>
      <c r="C78" t="s">
        <v>38</v>
      </c>
      <c r="D78">
        <v>2015</v>
      </c>
      <c r="E78">
        <v>1.7298208953237191</v>
      </c>
      <c r="F78">
        <v>3.980574024380553</v>
      </c>
      <c r="G78">
        <f t="shared" si="1"/>
        <v>2.2507531290568341</v>
      </c>
      <c r="H78">
        <v>9.2679802456791676E-4</v>
      </c>
      <c r="I78" t="s">
        <v>79</v>
      </c>
    </row>
    <row r="79" spans="1:9" x14ac:dyDescent="0.35">
      <c r="A79" t="s">
        <v>69</v>
      </c>
      <c r="B79" t="s">
        <v>46</v>
      </c>
      <c r="C79" t="s">
        <v>40</v>
      </c>
      <c r="D79">
        <v>2015</v>
      </c>
      <c r="E79">
        <v>2.0578550096999941</v>
      </c>
      <c r="F79">
        <v>3.980574024380553</v>
      </c>
      <c r="G79">
        <f t="shared" si="1"/>
        <v>1.9227190146805588</v>
      </c>
      <c r="H79">
        <v>9.2679802456791676E-4</v>
      </c>
      <c r="I79" t="s">
        <v>79</v>
      </c>
    </row>
    <row r="80" spans="1:9" x14ac:dyDescent="0.35">
      <c r="A80" t="s">
        <v>69</v>
      </c>
      <c r="B80" t="s">
        <v>47</v>
      </c>
      <c r="C80" t="s">
        <v>38</v>
      </c>
      <c r="D80">
        <v>2015</v>
      </c>
      <c r="E80">
        <v>3.1330217546616361</v>
      </c>
      <c r="F80">
        <v>3.980574024380553</v>
      </c>
      <c r="G80">
        <f t="shared" si="1"/>
        <v>0.84755226971891684</v>
      </c>
      <c r="H80">
        <v>9.2679802456791676E-4</v>
      </c>
      <c r="I80" t="s">
        <v>79</v>
      </c>
    </row>
    <row r="81" spans="1:9" x14ac:dyDescent="0.35">
      <c r="A81" t="s">
        <v>69</v>
      </c>
      <c r="B81" t="s">
        <v>48</v>
      </c>
      <c r="C81" t="s">
        <v>40</v>
      </c>
      <c r="D81">
        <v>2015</v>
      </c>
      <c r="E81">
        <v>2.8163023499567119</v>
      </c>
      <c r="F81">
        <v>3.980574024380553</v>
      </c>
      <c r="G81">
        <f t="shared" si="1"/>
        <v>1.1642716744238411</v>
      </c>
      <c r="H81">
        <v>9.2679802456791676E-4</v>
      </c>
      <c r="I81" t="s">
        <v>79</v>
      </c>
    </row>
    <row r="82" spans="1:9" x14ac:dyDescent="0.35">
      <c r="A82" t="s">
        <v>70</v>
      </c>
      <c r="B82" t="s">
        <v>45</v>
      </c>
      <c r="C82" t="s">
        <v>38</v>
      </c>
      <c r="D82">
        <v>2015</v>
      </c>
      <c r="E82">
        <v>0.6115453306968277</v>
      </c>
      <c r="F82">
        <v>0.46533578746174248</v>
      </c>
      <c r="G82">
        <f t="shared" si="1"/>
        <v>-0.14620954323508523</v>
      </c>
      <c r="H82">
        <v>2.3842383404991431E-3</v>
      </c>
      <c r="I82" t="s">
        <v>79</v>
      </c>
    </row>
    <row r="83" spans="1:9" x14ac:dyDescent="0.35">
      <c r="A83" t="s">
        <v>70</v>
      </c>
      <c r="B83" t="s">
        <v>46</v>
      </c>
      <c r="C83" t="s">
        <v>40</v>
      </c>
      <c r="D83">
        <v>2015</v>
      </c>
      <c r="E83">
        <v>1.03813878882193</v>
      </c>
      <c r="F83">
        <v>0.46533578746174248</v>
      </c>
      <c r="G83">
        <f t="shared" si="1"/>
        <v>-0.57280300136018747</v>
      </c>
      <c r="H83">
        <v>2.3842383404991431E-3</v>
      </c>
      <c r="I83" t="s">
        <v>79</v>
      </c>
    </row>
    <row r="84" spans="1:9" x14ac:dyDescent="0.35">
      <c r="A84" t="s">
        <v>70</v>
      </c>
      <c r="B84" t="s">
        <v>47</v>
      </c>
      <c r="C84" t="s">
        <v>38</v>
      </c>
      <c r="D84">
        <v>2015</v>
      </c>
      <c r="E84">
        <v>0.33999838965084178</v>
      </c>
      <c r="F84">
        <v>0.46533578746174248</v>
      </c>
      <c r="G84">
        <f t="shared" si="1"/>
        <v>0.1253373978109007</v>
      </c>
      <c r="H84">
        <v>2.3842383404991431E-3</v>
      </c>
      <c r="I84" t="s">
        <v>79</v>
      </c>
    </row>
    <row r="85" spans="1:9" x14ac:dyDescent="0.35">
      <c r="A85" t="s">
        <v>70</v>
      </c>
      <c r="B85" t="s">
        <v>48</v>
      </c>
      <c r="C85" t="s">
        <v>40</v>
      </c>
      <c r="D85">
        <v>2015</v>
      </c>
      <c r="E85">
        <v>0.34221817011690359</v>
      </c>
      <c r="F85">
        <v>0.46533578746174248</v>
      </c>
      <c r="G85">
        <f t="shared" si="1"/>
        <v>0.12311761734483889</v>
      </c>
      <c r="H85">
        <v>2.3842383404991431E-3</v>
      </c>
      <c r="I85" t="s">
        <v>79</v>
      </c>
    </row>
    <row r="86" spans="1:9" x14ac:dyDescent="0.35">
      <c r="A86" t="s">
        <v>75</v>
      </c>
      <c r="B86" t="s">
        <v>45</v>
      </c>
      <c r="C86" t="s">
        <v>38</v>
      </c>
      <c r="D86">
        <v>2015</v>
      </c>
      <c r="E86">
        <v>0.62872973894907425</v>
      </c>
      <c r="F86">
        <v>0.74285153390220071</v>
      </c>
      <c r="G86">
        <f t="shared" si="1"/>
        <v>0.11412179495312647</v>
      </c>
      <c r="H86">
        <v>1.2071161543213071E-3</v>
      </c>
      <c r="I86" t="s">
        <v>79</v>
      </c>
    </row>
    <row r="87" spans="1:9" x14ac:dyDescent="0.35">
      <c r="A87" t="s">
        <v>75</v>
      </c>
      <c r="B87" t="s">
        <v>46</v>
      </c>
      <c r="C87" t="s">
        <v>40</v>
      </c>
      <c r="D87">
        <v>2015</v>
      </c>
      <c r="E87">
        <v>1.229987574853153</v>
      </c>
      <c r="F87">
        <v>0.74285153390220071</v>
      </c>
      <c r="G87">
        <f t="shared" si="1"/>
        <v>-0.48713604095095231</v>
      </c>
      <c r="H87">
        <v>1.2071161543213071E-3</v>
      </c>
      <c r="I87" t="s">
        <v>79</v>
      </c>
    </row>
    <row r="88" spans="1:9" x14ac:dyDescent="0.35">
      <c r="A88" t="s">
        <v>75</v>
      </c>
      <c r="B88" t="s">
        <v>47</v>
      </c>
      <c r="C88" t="s">
        <v>38</v>
      </c>
      <c r="D88">
        <v>2015</v>
      </c>
      <c r="E88">
        <v>0.86665350989461043</v>
      </c>
      <c r="F88">
        <v>0.74285153390220071</v>
      </c>
      <c r="G88">
        <f t="shared" si="1"/>
        <v>-0.12380197599240972</v>
      </c>
      <c r="H88">
        <v>1.2071161543213071E-3</v>
      </c>
      <c r="I88" t="s">
        <v>79</v>
      </c>
    </row>
    <row r="89" spans="1:9" x14ac:dyDescent="0.35">
      <c r="A89" t="s">
        <v>75</v>
      </c>
      <c r="B89" t="s">
        <v>48</v>
      </c>
      <c r="C89" t="s">
        <v>40</v>
      </c>
      <c r="D89">
        <v>2015</v>
      </c>
      <c r="E89">
        <v>0.6068597463795955</v>
      </c>
      <c r="F89">
        <v>0.74285153390220071</v>
      </c>
      <c r="G89">
        <f t="shared" si="1"/>
        <v>0.13599178752260521</v>
      </c>
      <c r="H89">
        <v>1.2071161543213071E-3</v>
      </c>
      <c r="I89" t="s">
        <v>79</v>
      </c>
    </row>
    <row r="90" spans="1:9" x14ac:dyDescent="0.35">
      <c r="A90" t="s">
        <v>77</v>
      </c>
      <c r="B90" t="s">
        <v>45</v>
      </c>
      <c r="C90" t="s">
        <v>38</v>
      </c>
      <c r="D90">
        <v>2015</v>
      </c>
      <c r="E90">
        <v>1.29819266835165</v>
      </c>
      <c r="F90">
        <v>1.5772755552952269</v>
      </c>
      <c r="G90">
        <f t="shared" si="1"/>
        <v>0.27908288694357686</v>
      </c>
      <c r="H90">
        <v>5.3958445557318298E-4</v>
      </c>
      <c r="I90" t="s">
        <v>79</v>
      </c>
    </row>
    <row r="91" spans="1:9" x14ac:dyDescent="0.35">
      <c r="A91" t="s">
        <v>77</v>
      </c>
      <c r="B91" t="s">
        <v>46</v>
      </c>
      <c r="C91" t="s">
        <v>40</v>
      </c>
      <c r="D91">
        <v>2015</v>
      </c>
      <c r="E91">
        <v>1.4931874273763861</v>
      </c>
      <c r="F91">
        <v>1.5772755552952269</v>
      </c>
      <c r="G91">
        <f t="shared" si="1"/>
        <v>8.4088127918840794E-2</v>
      </c>
      <c r="H91">
        <v>5.3958445557318298E-4</v>
      </c>
      <c r="I91" t="s">
        <v>79</v>
      </c>
    </row>
    <row r="92" spans="1:9" x14ac:dyDescent="0.35">
      <c r="A92" t="s">
        <v>77</v>
      </c>
      <c r="B92" t="s">
        <v>47</v>
      </c>
      <c r="C92" t="s">
        <v>38</v>
      </c>
      <c r="D92">
        <v>2015</v>
      </c>
      <c r="E92">
        <v>1.741329419958926</v>
      </c>
      <c r="F92">
        <v>1.5772755552952269</v>
      </c>
      <c r="G92">
        <f t="shared" si="1"/>
        <v>-0.16405386466369909</v>
      </c>
      <c r="H92">
        <v>5.3958445557318298E-4</v>
      </c>
      <c r="I92" t="s">
        <v>79</v>
      </c>
    </row>
    <row r="93" spans="1:9" x14ac:dyDescent="0.35">
      <c r="A93" t="s">
        <v>77</v>
      </c>
      <c r="B93" t="s">
        <v>48</v>
      </c>
      <c r="C93" t="s">
        <v>40</v>
      </c>
      <c r="D93">
        <v>2015</v>
      </c>
      <c r="E93">
        <v>1.6418853965775471</v>
      </c>
      <c r="F93">
        <v>1.5772755552952269</v>
      </c>
      <c r="G93">
        <f t="shared" si="1"/>
        <v>-6.4609841282320168E-2</v>
      </c>
      <c r="H93">
        <v>5.3958445557318298E-4</v>
      </c>
      <c r="I93" t="s">
        <v>79</v>
      </c>
    </row>
    <row r="94" spans="1:9" x14ac:dyDescent="0.35">
      <c r="A94" t="s">
        <v>67</v>
      </c>
      <c r="B94" t="s">
        <v>47</v>
      </c>
      <c r="C94" t="s">
        <v>38</v>
      </c>
      <c r="D94">
        <v>2016</v>
      </c>
      <c r="E94">
        <v>1.305005005659998</v>
      </c>
      <c r="F94">
        <v>1.1863946679844091</v>
      </c>
      <c r="G94">
        <f t="shared" si="1"/>
        <v>-0.11861033767558893</v>
      </c>
      <c r="H94">
        <v>2.496557133405468E-3</v>
      </c>
      <c r="I94" t="s">
        <v>79</v>
      </c>
    </row>
    <row r="95" spans="1:9" x14ac:dyDescent="0.35">
      <c r="A95" t="s">
        <v>67</v>
      </c>
      <c r="B95" t="s">
        <v>48</v>
      </c>
      <c r="C95" t="s">
        <v>40</v>
      </c>
      <c r="D95">
        <v>2016</v>
      </c>
      <c r="E95">
        <v>1.466822845081617</v>
      </c>
      <c r="F95">
        <v>1.1863946679844091</v>
      </c>
      <c r="G95">
        <f t="shared" si="1"/>
        <v>-0.28042817709720791</v>
      </c>
      <c r="H95">
        <v>2.496557133405468E-3</v>
      </c>
      <c r="I95" t="s">
        <v>79</v>
      </c>
    </row>
    <row r="96" spans="1:9" x14ac:dyDescent="0.35">
      <c r="A96" t="s">
        <v>67</v>
      </c>
      <c r="B96" t="s">
        <v>49</v>
      </c>
      <c r="C96" t="s">
        <v>38</v>
      </c>
      <c r="D96">
        <v>2016</v>
      </c>
      <c r="E96">
        <v>1.233699257987553</v>
      </c>
      <c r="F96">
        <v>1.1863946679844091</v>
      </c>
      <c r="G96">
        <f t="shared" si="1"/>
        <v>-4.7304590003143909E-2</v>
      </c>
      <c r="H96">
        <v>2.496557133405468E-3</v>
      </c>
      <c r="I96" t="s">
        <v>79</v>
      </c>
    </row>
    <row r="97" spans="1:9" x14ac:dyDescent="0.35">
      <c r="A97" t="s">
        <v>67</v>
      </c>
      <c r="B97" t="s">
        <v>50</v>
      </c>
      <c r="C97" t="s">
        <v>40</v>
      </c>
      <c r="D97">
        <v>2016</v>
      </c>
      <c r="E97">
        <v>1.197250966203911</v>
      </c>
      <c r="F97">
        <v>1.1863946679844091</v>
      </c>
      <c r="G97">
        <f t="shared" si="1"/>
        <v>-1.0856298219501959E-2</v>
      </c>
      <c r="H97">
        <v>2.496557133405468E-3</v>
      </c>
      <c r="I97" t="s">
        <v>79</v>
      </c>
    </row>
    <row r="98" spans="1:9" x14ac:dyDescent="0.35">
      <c r="A98" t="s">
        <v>69</v>
      </c>
      <c r="B98" t="s">
        <v>47</v>
      </c>
      <c r="C98" t="s">
        <v>38</v>
      </c>
      <c r="D98">
        <v>2016</v>
      </c>
      <c r="E98">
        <v>2.6664587847684769</v>
      </c>
      <c r="F98">
        <v>2.8733724111720398</v>
      </c>
      <c r="G98">
        <f t="shared" si="1"/>
        <v>0.20691362640356292</v>
      </c>
      <c r="H98">
        <v>8.8495785408932489E-4</v>
      </c>
      <c r="I98" t="s">
        <v>79</v>
      </c>
    </row>
    <row r="99" spans="1:9" x14ac:dyDescent="0.35">
      <c r="A99" t="s">
        <v>69</v>
      </c>
      <c r="B99" t="s">
        <v>48</v>
      </c>
      <c r="C99" t="s">
        <v>40</v>
      </c>
      <c r="D99">
        <v>2016</v>
      </c>
      <c r="E99">
        <v>2.5804277166284968</v>
      </c>
      <c r="F99">
        <v>2.8733724111720398</v>
      </c>
      <c r="G99">
        <f t="shared" si="1"/>
        <v>0.29294469454354299</v>
      </c>
      <c r="H99">
        <v>8.8495785408932489E-4</v>
      </c>
      <c r="I99" t="s">
        <v>79</v>
      </c>
    </row>
    <row r="100" spans="1:9" x14ac:dyDescent="0.35">
      <c r="A100" t="s">
        <v>69</v>
      </c>
      <c r="B100" t="s">
        <v>49</v>
      </c>
      <c r="C100" t="s">
        <v>38</v>
      </c>
      <c r="D100">
        <v>2016</v>
      </c>
      <c r="E100">
        <v>3.1977481622379229</v>
      </c>
      <c r="F100">
        <v>2.8733724111720398</v>
      </c>
      <c r="G100">
        <f t="shared" si="1"/>
        <v>-0.32437575106588312</v>
      </c>
      <c r="H100">
        <v>8.8495785408932489E-4</v>
      </c>
      <c r="I100" t="s">
        <v>79</v>
      </c>
    </row>
    <row r="101" spans="1:9" x14ac:dyDescent="0.35">
      <c r="A101" t="s">
        <v>69</v>
      </c>
      <c r="B101" t="s">
        <v>50</v>
      </c>
      <c r="C101" t="s">
        <v>40</v>
      </c>
      <c r="D101">
        <v>2016</v>
      </c>
      <c r="E101">
        <v>2.5934687983342641</v>
      </c>
      <c r="F101">
        <v>2.8733724111720398</v>
      </c>
      <c r="G101">
        <f t="shared" si="1"/>
        <v>0.27990361283777565</v>
      </c>
      <c r="H101">
        <v>8.8495785408932489E-4</v>
      </c>
      <c r="I101" t="s">
        <v>79</v>
      </c>
    </row>
    <row r="102" spans="1:9" x14ac:dyDescent="0.35">
      <c r="A102" t="s">
        <v>70</v>
      </c>
      <c r="B102" t="s">
        <v>47</v>
      </c>
      <c r="C102" t="s">
        <v>38</v>
      </c>
      <c r="D102">
        <v>2016</v>
      </c>
      <c r="E102">
        <v>0.66078776686688823</v>
      </c>
      <c r="F102">
        <v>2.5394630680659041</v>
      </c>
      <c r="G102">
        <f t="shared" si="1"/>
        <v>1.8786753011990158</v>
      </c>
      <c r="H102">
        <v>2.119508085382079E-3</v>
      </c>
      <c r="I102" t="s">
        <v>79</v>
      </c>
    </row>
    <row r="103" spans="1:9" x14ac:dyDescent="0.35">
      <c r="A103" t="s">
        <v>70</v>
      </c>
      <c r="B103" t="s">
        <v>48</v>
      </c>
      <c r="C103" t="s">
        <v>40</v>
      </c>
      <c r="D103">
        <v>2016</v>
      </c>
      <c r="E103">
        <v>1.029139259030432</v>
      </c>
      <c r="F103">
        <v>2.5394630680659041</v>
      </c>
      <c r="G103">
        <f t="shared" si="1"/>
        <v>1.510323809035472</v>
      </c>
      <c r="H103">
        <v>2.119508085382079E-3</v>
      </c>
      <c r="I103" t="s">
        <v>79</v>
      </c>
    </row>
    <row r="104" spans="1:9" x14ac:dyDescent="0.35">
      <c r="A104" t="s">
        <v>70</v>
      </c>
      <c r="B104" t="s">
        <v>49</v>
      </c>
      <c r="C104" t="s">
        <v>38</v>
      </c>
      <c r="D104">
        <v>2016</v>
      </c>
      <c r="E104">
        <v>0.8211412144474739</v>
      </c>
      <c r="F104">
        <v>2.5394630680659041</v>
      </c>
      <c r="G104">
        <f t="shared" si="1"/>
        <v>1.7183218536184302</v>
      </c>
      <c r="H104">
        <v>2.119508085382079E-3</v>
      </c>
      <c r="I104" t="s">
        <v>79</v>
      </c>
    </row>
    <row r="105" spans="1:9" x14ac:dyDescent="0.35">
      <c r="A105" t="s">
        <v>70</v>
      </c>
      <c r="B105" t="s">
        <v>50</v>
      </c>
      <c r="C105" t="s">
        <v>40</v>
      </c>
      <c r="D105">
        <v>2016</v>
      </c>
      <c r="E105">
        <v>0.68041183214515577</v>
      </c>
      <c r="F105">
        <v>2.5394630680659041</v>
      </c>
      <c r="G105">
        <f t="shared" si="1"/>
        <v>1.8590512359207483</v>
      </c>
      <c r="H105">
        <v>2.119508085382079E-3</v>
      </c>
      <c r="I105" t="s">
        <v>79</v>
      </c>
    </row>
    <row r="106" spans="1:9" x14ac:dyDescent="0.35">
      <c r="A106" t="s">
        <v>75</v>
      </c>
      <c r="B106" t="s">
        <v>47</v>
      </c>
      <c r="C106" t="s">
        <v>38</v>
      </c>
      <c r="D106">
        <v>2016</v>
      </c>
      <c r="E106">
        <v>1.4512761867371271</v>
      </c>
      <c r="F106">
        <v>1.34543552139666</v>
      </c>
      <c r="G106">
        <f t="shared" si="1"/>
        <v>-0.1058406653404671</v>
      </c>
      <c r="H106">
        <v>1.450426181018382E-3</v>
      </c>
      <c r="I106" t="s">
        <v>79</v>
      </c>
    </row>
    <row r="107" spans="1:9" x14ac:dyDescent="0.35">
      <c r="A107" t="s">
        <v>75</v>
      </c>
      <c r="B107" t="s">
        <v>48</v>
      </c>
      <c r="C107" t="s">
        <v>40</v>
      </c>
      <c r="D107">
        <v>2016</v>
      </c>
      <c r="E107">
        <v>1.4109778499366681</v>
      </c>
      <c r="F107">
        <v>1.34543552139666</v>
      </c>
      <c r="G107">
        <f t="shared" si="1"/>
        <v>-6.5542328540008077E-2</v>
      </c>
      <c r="H107">
        <v>1.450426181018382E-3</v>
      </c>
      <c r="I107" t="s">
        <v>79</v>
      </c>
    </row>
    <row r="108" spans="1:9" x14ac:dyDescent="0.35">
      <c r="A108" t="s">
        <v>75</v>
      </c>
      <c r="B108" t="s">
        <v>49</v>
      </c>
      <c r="C108" t="s">
        <v>38</v>
      </c>
      <c r="D108">
        <v>2016</v>
      </c>
      <c r="E108">
        <v>0.70784283945437565</v>
      </c>
      <c r="F108">
        <v>1.34543552139666</v>
      </c>
      <c r="G108">
        <f t="shared" si="1"/>
        <v>0.63759268194228436</v>
      </c>
      <c r="H108">
        <v>1.450426181018382E-3</v>
      </c>
      <c r="I108" t="s">
        <v>79</v>
      </c>
    </row>
    <row r="109" spans="1:9" x14ac:dyDescent="0.35">
      <c r="A109" t="s">
        <v>75</v>
      </c>
      <c r="B109" t="s">
        <v>50</v>
      </c>
      <c r="C109" t="s">
        <v>40</v>
      </c>
      <c r="D109">
        <v>2016</v>
      </c>
      <c r="E109">
        <v>1.090462780977397</v>
      </c>
      <c r="F109">
        <v>1.34543552139666</v>
      </c>
      <c r="G109">
        <f t="shared" si="1"/>
        <v>0.25497274041926299</v>
      </c>
      <c r="H109">
        <v>1.450426181018382E-3</v>
      </c>
      <c r="I109" t="s">
        <v>79</v>
      </c>
    </row>
    <row r="110" spans="1:9" x14ac:dyDescent="0.35">
      <c r="A110" t="s">
        <v>77</v>
      </c>
      <c r="B110" t="s">
        <v>47</v>
      </c>
      <c r="C110" t="s">
        <v>38</v>
      </c>
      <c r="D110">
        <v>2016</v>
      </c>
      <c r="E110">
        <v>1.659048842216615</v>
      </c>
      <c r="F110">
        <v>1.9843922204112789</v>
      </c>
      <c r="G110">
        <f t="shared" si="1"/>
        <v>0.32534337819466397</v>
      </c>
      <c r="H110">
        <v>5.3362021622097597E-4</v>
      </c>
      <c r="I110" t="s">
        <v>79</v>
      </c>
    </row>
    <row r="111" spans="1:9" x14ac:dyDescent="0.35">
      <c r="A111" t="s">
        <v>77</v>
      </c>
      <c r="B111" t="s">
        <v>48</v>
      </c>
      <c r="C111" t="s">
        <v>40</v>
      </c>
      <c r="D111">
        <v>2016</v>
      </c>
      <c r="E111">
        <v>1.838363161189682</v>
      </c>
      <c r="F111">
        <v>1.9843922204112789</v>
      </c>
      <c r="G111">
        <f t="shared" si="1"/>
        <v>0.14602905922159692</v>
      </c>
      <c r="H111">
        <v>5.3362021622097597E-4</v>
      </c>
      <c r="I111" t="s">
        <v>79</v>
      </c>
    </row>
    <row r="112" spans="1:9" x14ac:dyDescent="0.35">
      <c r="A112" t="s">
        <v>77</v>
      </c>
      <c r="B112" t="s">
        <v>49</v>
      </c>
      <c r="C112" t="s">
        <v>38</v>
      </c>
      <c r="D112">
        <v>2016</v>
      </c>
      <c r="E112">
        <v>0.92930181879138374</v>
      </c>
      <c r="F112">
        <v>1.9843922204112789</v>
      </c>
      <c r="G112">
        <f t="shared" si="1"/>
        <v>1.0550904016198952</v>
      </c>
      <c r="H112">
        <v>5.3362021622097597E-4</v>
      </c>
      <c r="I112" t="s">
        <v>79</v>
      </c>
    </row>
    <row r="113" spans="1:9" x14ac:dyDescent="0.35">
      <c r="A113" t="s">
        <v>77</v>
      </c>
      <c r="B113" t="s">
        <v>50</v>
      </c>
      <c r="C113" t="s">
        <v>40</v>
      </c>
      <c r="D113">
        <v>2016</v>
      </c>
      <c r="E113">
        <v>1.458222731677794</v>
      </c>
      <c r="F113">
        <v>1.9843922204112789</v>
      </c>
      <c r="G113">
        <f t="shared" si="1"/>
        <v>0.5261694887334849</v>
      </c>
      <c r="H113">
        <v>5.3362021622097597E-4</v>
      </c>
      <c r="I113" t="s">
        <v>79</v>
      </c>
    </row>
    <row r="114" spans="1:9" x14ac:dyDescent="0.35">
      <c r="A114" t="s">
        <v>69</v>
      </c>
      <c r="B114" t="s">
        <v>49</v>
      </c>
      <c r="C114" t="s">
        <v>38</v>
      </c>
      <c r="D114">
        <v>2017</v>
      </c>
      <c r="E114">
        <v>2.255443360388365</v>
      </c>
      <c r="F114">
        <v>2.855001546118654</v>
      </c>
      <c r="G114">
        <f t="shared" si="1"/>
        <v>0.59955818573028896</v>
      </c>
      <c r="H114">
        <v>1.055465061505679E-3</v>
      </c>
      <c r="I114" t="s">
        <v>79</v>
      </c>
    </row>
    <row r="115" spans="1:9" x14ac:dyDescent="0.35">
      <c r="A115" t="s">
        <v>69</v>
      </c>
      <c r="B115" t="s">
        <v>50</v>
      </c>
      <c r="C115" t="s">
        <v>40</v>
      </c>
      <c r="D115">
        <v>2017</v>
      </c>
      <c r="E115">
        <v>2.5049942578537321</v>
      </c>
      <c r="F115">
        <v>2.855001546118654</v>
      </c>
      <c r="G115">
        <f t="shared" si="1"/>
        <v>0.35000728826492189</v>
      </c>
      <c r="H115">
        <v>1.055465061505679E-3</v>
      </c>
      <c r="I115" t="s">
        <v>79</v>
      </c>
    </row>
    <row r="116" spans="1:9" x14ac:dyDescent="0.35">
      <c r="A116" t="s">
        <v>69</v>
      </c>
      <c r="B116" t="s">
        <v>51</v>
      </c>
      <c r="C116" t="s">
        <v>38</v>
      </c>
      <c r="D116">
        <v>2017</v>
      </c>
      <c r="E116">
        <v>3.068359604619419</v>
      </c>
      <c r="F116">
        <v>2.855001546118654</v>
      </c>
      <c r="G116">
        <f t="shared" si="1"/>
        <v>-0.21335805850076506</v>
      </c>
      <c r="H116">
        <v>1.055465061505679E-3</v>
      </c>
      <c r="I116" t="s">
        <v>79</v>
      </c>
    </row>
    <row r="117" spans="1:9" x14ac:dyDescent="0.35">
      <c r="A117" t="s">
        <v>69</v>
      </c>
      <c r="B117" t="s">
        <v>52</v>
      </c>
      <c r="C117" t="s">
        <v>40</v>
      </c>
      <c r="D117">
        <v>2017</v>
      </c>
      <c r="E117">
        <v>2.763295099061525</v>
      </c>
      <c r="F117">
        <v>2.855001546118654</v>
      </c>
      <c r="G117">
        <f t="shared" si="1"/>
        <v>9.1706447057128937E-2</v>
      </c>
      <c r="H117">
        <v>1.055465061505679E-3</v>
      </c>
      <c r="I117" t="s">
        <v>79</v>
      </c>
    </row>
    <row r="118" spans="1:9" x14ac:dyDescent="0.35">
      <c r="A118" t="s">
        <v>70</v>
      </c>
      <c r="B118" t="s">
        <v>49</v>
      </c>
      <c r="C118" t="s">
        <v>38</v>
      </c>
      <c r="D118">
        <v>2017</v>
      </c>
      <c r="E118">
        <v>0.7788253796826794</v>
      </c>
      <c r="F118">
        <v>3.2509193804219478</v>
      </c>
      <c r="G118">
        <f t="shared" si="1"/>
        <v>2.4720940007392684</v>
      </c>
      <c r="H118">
        <v>2.32800040837888E-3</v>
      </c>
      <c r="I118" t="s">
        <v>79</v>
      </c>
    </row>
    <row r="119" spans="1:9" x14ac:dyDescent="0.35">
      <c r="A119" t="s">
        <v>70</v>
      </c>
      <c r="B119" t="s">
        <v>50</v>
      </c>
      <c r="C119" t="s">
        <v>40</v>
      </c>
      <c r="D119">
        <v>2017</v>
      </c>
      <c r="E119">
        <v>0.72652337554917068</v>
      </c>
      <c r="F119">
        <v>3.2509193804219478</v>
      </c>
      <c r="G119">
        <f t="shared" si="1"/>
        <v>2.5243960048727772</v>
      </c>
      <c r="H119">
        <v>2.32800040837888E-3</v>
      </c>
      <c r="I119" t="s">
        <v>79</v>
      </c>
    </row>
    <row r="120" spans="1:9" x14ac:dyDescent="0.35">
      <c r="A120" t="s">
        <v>70</v>
      </c>
      <c r="B120" t="s">
        <v>51</v>
      </c>
      <c r="C120" t="s">
        <v>38</v>
      </c>
      <c r="D120">
        <v>2017</v>
      </c>
      <c r="E120">
        <v>3.2999705467780189</v>
      </c>
      <c r="F120">
        <v>3.2509193804219478</v>
      </c>
      <c r="G120">
        <f t="shared" si="1"/>
        <v>-4.9051166356071096E-2</v>
      </c>
      <c r="H120">
        <v>2.32800040837888E-3</v>
      </c>
      <c r="I120" t="s">
        <v>79</v>
      </c>
    </row>
    <row r="121" spans="1:9" x14ac:dyDescent="0.35">
      <c r="A121" t="s">
        <v>70</v>
      </c>
      <c r="B121" t="s">
        <v>52</v>
      </c>
      <c r="C121" t="s">
        <v>40</v>
      </c>
      <c r="D121">
        <v>2017</v>
      </c>
      <c r="E121">
        <v>1.2981877046543739</v>
      </c>
      <c r="F121">
        <v>3.2509193804219478</v>
      </c>
      <c r="G121">
        <f t="shared" si="1"/>
        <v>1.9527316757675739</v>
      </c>
      <c r="H121">
        <v>2.32800040837888E-3</v>
      </c>
      <c r="I121" t="s">
        <v>79</v>
      </c>
    </row>
    <row r="122" spans="1:9" x14ac:dyDescent="0.35">
      <c r="A122" t="s">
        <v>75</v>
      </c>
      <c r="B122" t="s">
        <v>49</v>
      </c>
      <c r="C122" t="s">
        <v>38</v>
      </c>
      <c r="D122">
        <v>2017</v>
      </c>
      <c r="E122">
        <v>0.90288361690229468</v>
      </c>
      <c r="F122">
        <v>1.6777714333363121</v>
      </c>
      <c r="G122">
        <f t="shared" si="1"/>
        <v>0.77488781643401738</v>
      </c>
      <c r="H122">
        <v>1.415613987051515E-3</v>
      </c>
      <c r="I122" t="s">
        <v>79</v>
      </c>
    </row>
    <row r="123" spans="1:9" x14ac:dyDescent="0.35">
      <c r="A123" t="s">
        <v>75</v>
      </c>
      <c r="B123" t="s">
        <v>50</v>
      </c>
      <c r="C123" t="s">
        <v>40</v>
      </c>
      <c r="D123">
        <v>2017</v>
      </c>
      <c r="E123">
        <v>1.33546021526687</v>
      </c>
      <c r="F123">
        <v>1.6777714333363121</v>
      </c>
      <c r="G123">
        <f t="shared" si="1"/>
        <v>0.34231121806944209</v>
      </c>
      <c r="H123">
        <v>1.415613987051515E-3</v>
      </c>
      <c r="I123" t="s">
        <v>79</v>
      </c>
    </row>
    <row r="124" spans="1:9" x14ac:dyDescent="0.35">
      <c r="A124" t="s">
        <v>75</v>
      </c>
      <c r="B124" t="s">
        <v>51</v>
      </c>
      <c r="C124" t="s">
        <v>38</v>
      </c>
      <c r="D124">
        <v>2017</v>
      </c>
      <c r="E124">
        <v>1.454734323287576</v>
      </c>
      <c r="F124">
        <v>1.6777714333363121</v>
      </c>
      <c r="G124">
        <f t="shared" si="1"/>
        <v>0.22303711004873605</v>
      </c>
      <c r="H124">
        <v>1.415613987051515E-3</v>
      </c>
      <c r="I124" t="s">
        <v>79</v>
      </c>
    </row>
    <row r="125" spans="1:9" x14ac:dyDescent="0.35">
      <c r="A125" t="s">
        <v>75</v>
      </c>
      <c r="B125" t="s">
        <v>52</v>
      </c>
      <c r="C125" t="s">
        <v>40</v>
      </c>
      <c r="D125">
        <v>2017</v>
      </c>
      <c r="E125">
        <v>0.92886361941262319</v>
      </c>
      <c r="F125">
        <v>1.6777714333363121</v>
      </c>
      <c r="G125">
        <f t="shared" si="1"/>
        <v>0.74890781392368888</v>
      </c>
      <c r="H125">
        <v>1.415613987051515E-3</v>
      </c>
      <c r="I125" t="s">
        <v>79</v>
      </c>
    </row>
    <row r="126" spans="1:9" x14ac:dyDescent="0.35">
      <c r="A126" t="s">
        <v>77</v>
      </c>
      <c r="B126" t="s">
        <v>49</v>
      </c>
      <c r="C126" t="s">
        <v>38</v>
      </c>
      <c r="D126">
        <v>2017</v>
      </c>
      <c r="E126">
        <v>1.2443844685501531</v>
      </c>
      <c r="F126">
        <v>3.260896558994415</v>
      </c>
      <c r="G126">
        <f t="shared" si="1"/>
        <v>2.0165120904442619</v>
      </c>
      <c r="H126">
        <v>4.9589602037646669E-4</v>
      </c>
      <c r="I126" t="s">
        <v>79</v>
      </c>
    </row>
    <row r="127" spans="1:9" x14ac:dyDescent="0.35">
      <c r="A127" t="s">
        <v>77</v>
      </c>
      <c r="B127" t="s">
        <v>50</v>
      </c>
      <c r="C127" t="s">
        <v>40</v>
      </c>
      <c r="D127">
        <v>2017</v>
      </c>
      <c r="E127">
        <v>1.7439816750679069</v>
      </c>
      <c r="F127">
        <v>3.260896558994415</v>
      </c>
      <c r="G127">
        <f t="shared" si="1"/>
        <v>1.5169148839265081</v>
      </c>
      <c r="H127">
        <v>4.9589602037646669E-4</v>
      </c>
      <c r="I127" t="s">
        <v>79</v>
      </c>
    </row>
    <row r="128" spans="1:9" x14ac:dyDescent="0.35">
      <c r="A128" t="s">
        <v>77</v>
      </c>
      <c r="B128" t="s">
        <v>51</v>
      </c>
      <c r="C128" t="s">
        <v>38</v>
      </c>
      <c r="D128">
        <v>2017</v>
      </c>
      <c r="E128">
        <v>2.6293844522458749</v>
      </c>
      <c r="F128">
        <v>3.260896558994415</v>
      </c>
      <c r="G128">
        <f t="shared" si="1"/>
        <v>0.63151210674854008</v>
      </c>
      <c r="H128">
        <v>4.9589602037646669E-4</v>
      </c>
      <c r="I128" t="s">
        <v>79</v>
      </c>
    </row>
    <row r="129" spans="1:9" x14ac:dyDescent="0.35">
      <c r="A129" t="s">
        <v>77</v>
      </c>
      <c r="B129" t="s">
        <v>52</v>
      </c>
      <c r="C129" t="s">
        <v>40</v>
      </c>
      <c r="D129">
        <v>2017</v>
      </c>
      <c r="E129">
        <v>1.838683940143615</v>
      </c>
      <c r="F129">
        <v>3.260896558994415</v>
      </c>
      <c r="G129">
        <f t="shared" si="1"/>
        <v>1.4222126188508</v>
      </c>
      <c r="H129">
        <v>4.9589602037646669E-4</v>
      </c>
      <c r="I129" t="s">
        <v>79</v>
      </c>
    </row>
    <row r="130" spans="1:9" x14ac:dyDescent="0.35">
      <c r="A130" t="s">
        <v>67</v>
      </c>
      <c r="B130" t="s">
        <v>51</v>
      </c>
      <c r="C130" t="s">
        <v>38</v>
      </c>
      <c r="D130">
        <v>2018</v>
      </c>
      <c r="E130">
        <v>1.802338911935264</v>
      </c>
      <c r="F130">
        <v>1.8605501927054691</v>
      </c>
      <c r="G130">
        <f t="shared" ref="G130:G193" si="2">IF(OR(F130="",E130=""),"",F130-E130)</f>
        <v>5.8211280770205098E-2</v>
      </c>
      <c r="H130">
        <v>1.907211497318204E-3</v>
      </c>
      <c r="I130" t="s">
        <v>79</v>
      </c>
    </row>
    <row r="131" spans="1:9" x14ac:dyDescent="0.35">
      <c r="A131" t="s">
        <v>67</v>
      </c>
      <c r="B131" t="s">
        <v>52</v>
      </c>
      <c r="C131" t="s">
        <v>40</v>
      </c>
      <c r="D131">
        <v>2018</v>
      </c>
      <c r="E131">
        <v>1.6830527400463651</v>
      </c>
      <c r="F131">
        <v>1.8605501927054691</v>
      </c>
      <c r="G131">
        <f t="shared" si="2"/>
        <v>0.17749745265910399</v>
      </c>
      <c r="H131">
        <v>1.907211497318204E-3</v>
      </c>
      <c r="I131" t="s">
        <v>79</v>
      </c>
    </row>
    <row r="132" spans="1:9" x14ac:dyDescent="0.35">
      <c r="A132" t="s">
        <v>67</v>
      </c>
      <c r="B132" t="s">
        <v>53</v>
      </c>
      <c r="C132" t="s">
        <v>38</v>
      </c>
      <c r="D132">
        <v>2018</v>
      </c>
      <c r="E132">
        <v>1.5323838734635939</v>
      </c>
      <c r="F132">
        <v>1.8605501927054691</v>
      </c>
      <c r="G132">
        <f t="shared" si="2"/>
        <v>0.32816631924187512</v>
      </c>
      <c r="H132">
        <v>1.907211497318204E-3</v>
      </c>
      <c r="I132" t="s">
        <v>79</v>
      </c>
    </row>
    <row r="133" spans="1:9" x14ac:dyDescent="0.35">
      <c r="A133" t="s">
        <v>67</v>
      </c>
      <c r="B133" t="s">
        <v>54</v>
      </c>
      <c r="C133" t="s">
        <v>40</v>
      </c>
      <c r="D133">
        <v>2018</v>
      </c>
      <c r="E133">
        <v>1.8083342533319999</v>
      </c>
      <c r="F133">
        <v>1.8605501927054691</v>
      </c>
      <c r="G133">
        <f t="shared" si="2"/>
        <v>5.2215939373469133E-2</v>
      </c>
      <c r="H133">
        <v>1.907211497318204E-3</v>
      </c>
      <c r="I133" t="s">
        <v>79</v>
      </c>
    </row>
    <row r="134" spans="1:9" x14ac:dyDescent="0.35">
      <c r="A134" t="s">
        <v>69</v>
      </c>
      <c r="B134" t="s">
        <v>51</v>
      </c>
      <c r="C134" t="s">
        <v>38</v>
      </c>
      <c r="D134">
        <v>2018</v>
      </c>
      <c r="E134">
        <v>2.5372488700963869</v>
      </c>
      <c r="F134">
        <v>2.367158610415725</v>
      </c>
      <c r="G134">
        <f t="shared" si="2"/>
        <v>-0.17009025968066194</v>
      </c>
      <c r="H134">
        <v>1.0194633256850379E-3</v>
      </c>
      <c r="I134" t="s">
        <v>79</v>
      </c>
    </row>
    <row r="135" spans="1:9" x14ac:dyDescent="0.35">
      <c r="A135" t="s">
        <v>69</v>
      </c>
      <c r="B135" t="s">
        <v>52</v>
      </c>
      <c r="C135" t="s">
        <v>40</v>
      </c>
      <c r="D135">
        <v>2018</v>
      </c>
      <c r="E135">
        <v>2.3641938543665701</v>
      </c>
      <c r="F135">
        <v>2.367158610415725</v>
      </c>
      <c r="G135">
        <f t="shared" si="2"/>
        <v>2.9647560491548042E-3</v>
      </c>
      <c r="H135">
        <v>1.0194633256850379E-3</v>
      </c>
      <c r="I135" t="s">
        <v>79</v>
      </c>
    </row>
    <row r="136" spans="1:9" x14ac:dyDescent="0.35">
      <c r="A136" t="s">
        <v>69</v>
      </c>
      <c r="B136" t="s">
        <v>53</v>
      </c>
      <c r="C136" t="s">
        <v>38</v>
      </c>
      <c r="D136">
        <v>2018</v>
      </c>
      <c r="E136">
        <v>2.5579730614092582</v>
      </c>
      <c r="F136">
        <v>2.367158610415725</v>
      </c>
      <c r="G136">
        <f t="shared" si="2"/>
        <v>-0.19081445099353322</v>
      </c>
      <c r="H136">
        <v>1.0194633256850379E-3</v>
      </c>
      <c r="I136" t="s">
        <v>79</v>
      </c>
    </row>
    <row r="137" spans="1:9" x14ac:dyDescent="0.35">
      <c r="A137" t="s">
        <v>69</v>
      </c>
      <c r="B137" t="s">
        <v>54</v>
      </c>
      <c r="C137" t="s">
        <v>40</v>
      </c>
      <c r="D137">
        <v>2018</v>
      </c>
      <c r="E137">
        <v>2.8513007726971522</v>
      </c>
      <c r="F137">
        <v>2.367158610415725</v>
      </c>
      <c r="G137">
        <f t="shared" si="2"/>
        <v>-0.48414216228142726</v>
      </c>
      <c r="H137">
        <v>1.0194633256850379E-3</v>
      </c>
      <c r="I137" t="s">
        <v>79</v>
      </c>
    </row>
    <row r="138" spans="1:9" x14ac:dyDescent="0.35">
      <c r="A138" t="s">
        <v>70</v>
      </c>
      <c r="B138" t="s">
        <v>51</v>
      </c>
      <c r="C138" t="s">
        <v>38</v>
      </c>
      <c r="D138">
        <v>2018</v>
      </c>
      <c r="E138">
        <v>2.6543445907794232</v>
      </c>
      <c r="F138">
        <v>1.1858569030435471</v>
      </c>
      <c r="G138">
        <f t="shared" si="2"/>
        <v>-1.4684876877358761</v>
      </c>
      <c r="H138">
        <v>2.5051102543123412E-3</v>
      </c>
      <c r="I138" t="s">
        <v>79</v>
      </c>
    </row>
    <row r="139" spans="1:9" x14ac:dyDescent="0.35">
      <c r="A139" t="s">
        <v>70</v>
      </c>
      <c r="B139" t="s">
        <v>52</v>
      </c>
      <c r="C139" t="s">
        <v>40</v>
      </c>
      <c r="D139">
        <v>2018</v>
      </c>
      <c r="E139">
        <v>1.745345139008192</v>
      </c>
      <c r="F139">
        <v>1.1858569030435471</v>
      </c>
      <c r="G139">
        <f t="shared" si="2"/>
        <v>-0.55948823596464492</v>
      </c>
      <c r="H139">
        <v>2.5051102543123412E-3</v>
      </c>
      <c r="I139" t="s">
        <v>79</v>
      </c>
    </row>
    <row r="140" spans="1:9" x14ac:dyDescent="0.35">
      <c r="A140" t="s">
        <v>70</v>
      </c>
      <c r="B140" t="s">
        <v>53</v>
      </c>
      <c r="C140" t="s">
        <v>38</v>
      </c>
      <c r="D140">
        <v>2018</v>
      </c>
      <c r="E140">
        <v>2.8893530093298199</v>
      </c>
      <c r="F140">
        <v>1.1858569030435471</v>
      </c>
      <c r="G140">
        <f t="shared" si="2"/>
        <v>-1.7034961062862728</v>
      </c>
      <c r="H140">
        <v>2.5051102543123412E-3</v>
      </c>
      <c r="I140" t="s">
        <v>79</v>
      </c>
    </row>
    <row r="141" spans="1:9" x14ac:dyDescent="0.35">
      <c r="A141" t="s">
        <v>70</v>
      </c>
      <c r="B141" t="s">
        <v>54</v>
      </c>
      <c r="C141" t="s">
        <v>40</v>
      </c>
      <c r="D141">
        <v>2018</v>
      </c>
      <c r="E141">
        <v>2.519865182310288</v>
      </c>
      <c r="F141">
        <v>1.1858569030435471</v>
      </c>
      <c r="G141">
        <f t="shared" si="2"/>
        <v>-1.3340082792667409</v>
      </c>
      <c r="H141">
        <v>2.5051102543123412E-3</v>
      </c>
      <c r="I141" t="s">
        <v>79</v>
      </c>
    </row>
    <row r="142" spans="1:9" x14ac:dyDescent="0.35">
      <c r="A142" t="s">
        <v>75</v>
      </c>
      <c r="B142" t="s">
        <v>51</v>
      </c>
      <c r="C142" t="s">
        <v>38</v>
      </c>
      <c r="D142">
        <v>2018</v>
      </c>
      <c r="E142">
        <v>1.301033595779133</v>
      </c>
      <c r="F142">
        <v>0.67915616097696463</v>
      </c>
      <c r="G142">
        <f t="shared" si="2"/>
        <v>-0.62187743480216839</v>
      </c>
      <c r="H142">
        <v>1.455735459670306E-3</v>
      </c>
      <c r="I142" t="s">
        <v>79</v>
      </c>
    </row>
    <row r="143" spans="1:9" x14ac:dyDescent="0.35">
      <c r="A143" t="s">
        <v>75</v>
      </c>
      <c r="B143" t="s">
        <v>52</v>
      </c>
      <c r="C143" t="s">
        <v>40</v>
      </c>
      <c r="D143">
        <v>2018</v>
      </c>
      <c r="E143">
        <v>1.1322194305175119</v>
      </c>
      <c r="F143">
        <v>0.67915616097696463</v>
      </c>
      <c r="G143">
        <f t="shared" si="2"/>
        <v>-0.45306326954054732</v>
      </c>
      <c r="H143">
        <v>1.455735459670306E-3</v>
      </c>
      <c r="I143" t="s">
        <v>79</v>
      </c>
    </row>
    <row r="144" spans="1:9" x14ac:dyDescent="0.35">
      <c r="A144" t="s">
        <v>75</v>
      </c>
      <c r="B144" t="s">
        <v>53</v>
      </c>
      <c r="C144" t="s">
        <v>38</v>
      </c>
      <c r="D144">
        <v>2018</v>
      </c>
      <c r="E144">
        <v>1.148974792689472</v>
      </c>
      <c r="F144">
        <v>0.67915616097696463</v>
      </c>
      <c r="G144">
        <f t="shared" si="2"/>
        <v>-0.46981863171250737</v>
      </c>
      <c r="H144">
        <v>1.455735459670306E-3</v>
      </c>
      <c r="I144" t="s">
        <v>79</v>
      </c>
    </row>
    <row r="145" spans="1:9" x14ac:dyDescent="0.35">
      <c r="A145" t="s">
        <v>75</v>
      </c>
      <c r="B145" t="s">
        <v>54</v>
      </c>
      <c r="C145" t="s">
        <v>40</v>
      </c>
      <c r="D145">
        <v>2018</v>
      </c>
      <c r="E145">
        <v>1.453547985332837</v>
      </c>
      <c r="F145">
        <v>0.67915616097696463</v>
      </c>
      <c r="G145">
        <f t="shared" si="2"/>
        <v>-0.77439182435587239</v>
      </c>
      <c r="H145">
        <v>1.455735459670306E-3</v>
      </c>
      <c r="I145" t="s">
        <v>79</v>
      </c>
    </row>
    <row r="146" spans="1:9" x14ac:dyDescent="0.35">
      <c r="A146" t="s">
        <v>77</v>
      </c>
      <c r="B146" t="s">
        <v>51</v>
      </c>
      <c r="C146" t="s">
        <v>38</v>
      </c>
      <c r="D146">
        <v>2018</v>
      </c>
      <c r="E146">
        <v>2.0625112156605669</v>
      </c>
      <c r="F146">
        <v>2.903725267458769</v>
      </c>
      <c r="G146">
        <f t="shared" si="2"/>
        <v>0.84121405179820208</v>
      </c>
      <c r="H146">
        <v>4.5162297504167961E-4</v>
      </c>
      <c r="I146" t="s">
        <v>79</v>
      </c>
    </row>
    <row r="147" spans="1:9" x14ac:dyDescent="0.35">
      <c r="A147" t="s">
        <v>77</v>
      </c>
      <c r="B147" t="s">
        <v>52</v>
      </c>
      <c r="C147" t="s">
        <v>40</v>
      </c>
      <c r="D147">
        <v>2018</v>
      </c>
      <c r="E147">
        <v>1.5677461936429939</v>
      </c>
      <c r="F147">
        <v>2.903725267458769</v>
      </c>
      <c r="G147">
        <f t="shared" si="2"/>
        <v>1.3359790738157751</v>
      </c>
      <c r="H147">
        <v>4.5162297504167961E-4</v>
      </c>
      <c r="I147" t="s">
        <v>79</v>
      </c>
    </row>
    <row r="148" spans="1:9" x14ac:dyDescent="0.35">
      <c r="A148" t="s">
        <v>77</v>
      </c>
      <c r="B148" t="s">
        <v>53</v>
      </c>
      <c r="C148" t="s">
        <v>38</v>
      </c>
      <c r="D148">
        <v>2018</v>
      </c>
      <c r="E148">
        <v>2.1672748154352162</v>
      </c>
      <c r="F148">
        <v>2.903725267458769</v>
      </c>
      <c r="G148">
        <f t="shared" si="2"/>
        <v>0.73645045202355286</v>
      </c>
      <c r="H148">
        <v>4.5162297504167961E-4</v>
      </c>
      <c r="I148" t="s">
        <v>79</v>
      </c>
    </row>
    <row r="149" spans="1:9" x14ac:dyDescent="0.35">
      <c r="A149" t="s">
        <v>77</v>
      </c>
      <c r="B149" t="s">
        <v>54</v>
      </c>
      <c r="C149" t="s">
        <v>40</v>
      </c>
      <c r="D149">
        <v>2018</v>
      </c>
      <c r="E149">
        <v>2.3337380052623979</v>
      </c>
      <c r="F149">
        <v>2.903725267458769</v>
      </c>
      <c r="G149">
        <f t="shared" si="2"/>
        <v>0.56998726219637108</v>
      </c>
      <c r="H149">
        <v>4.5162297504167961E-4</v>
      </c>
      <c r="I149" t="s">
        <v>79</v>
      </c>
    </row>
    <row r="150" spans="1:9" x14ac:dyDescent="0.35">
      <c r="A150" t="s">
        <v>67</v>
      </c>
      <c r="B150" t="s">
        <v>53</v>
      </c>
      <c r="C150" t="s">
        <v>38</v>
      </c>
      <c r="D150">
        <v>2019</v>
      </c>
      <c r="E150">
        <v>1.5152383923937141</v>
      </c>
      <c r="F150">
        <v>2.4135230125478802</v>
      </c>
      <c r="G150">
        <f t="shared" si="2"/>
        <v>0.8982846201541661</v>
      </c>
      <c r="H150">
        <v>1.483770068217442E-3</v>
      </c>
      <c r="I150" t="s">
        <v>79</v>
      </c>
    </row>
    <row r="151" spans="1:9" x14ac:dyDescent="0.35">
      <c r="A151" t="s">
        <v>67</v>
      </c>
      <c r="B151" t="s">
        <v>54</v>
      </c>
      <c r="C151" t="s">
        <v>40</v>
      </c>
      <c r="D151">
        <v>2019</v>
      </c>
      <c r="E151">
        <v>1.7329380565713759</v>
      </c>
      <c r="F151">
        <v>2.4135230125478802</v>
      </c>
      <c r="G151">
        <f t="shared" si="2"/>
        <v>0.68058495597650426</v>
      </c>
      <c r="H151">
        <v>1.483770068217442E-3</v>
      </c>
      <c r="I151" t="s">
        <v>79</v>
      </c>
    </row>
    <row r="152" spans="1:9" x14ac:dyDescent="0.35">
      <c r="A152" t="s">
        <v>67</v>
      </c>
      <c r="B152" t="s">
        <v>55</v>
      </c>
      <c r="C152" t="s">
        <v>38</v>
      </c>
      <c r="D152">
        <v>2019</v>
      </c>
      <c r="E152">
        <v>1.136502566631536</v>
      </c>
      <c r="F152">
        <v>2.4135230125478802</v>
      </c>
      <c r="G152">
        <f t="shared" si="2"/>
        <v>1.2770204459163441</v>
      </c>
      <c r="H152">
        <v>1.483770068217442E-3</v>
      </c>
      <c r="I152" t="s">
        <v>79</v>
      </c>
    </row>
    <row r="153" spans="1:9" x14ac:dyDescent="0.35">
      <c r="A153" t="s">
        <v>67</v>
      </c>
      <c r="B153" t="s">
        <v>56</v>
      </c>
      <c r="C153" t="s">
        <v>40</v>
      </c>
      <c r="D153">
        <v>2019</v>
      </c>
      <c r="E153">
        <v>1.2263795589823929</v>
      </c>
      <c r="F153">
        <v>2.4135230125478802</v>
      </c>
      <c r="G153">
        <f t="shared" si="2"/>
        <v>1.1871434535654872</v>
      </c>
      <c r="H153">
        <v>1.483770068217442E-3</v>
      </c>
      <c r="I153" t="s">
        <v>79</v>
      </c>
    </row>
    <row r="154" spans="1:9" x14ac:dyDescent="0.35">
      <c r="A154" t="s">
        <v>69</v>
      </c>
      <c r="B154" t="s">
        <v>53</v>
      </c>
      <c r="C154" t="s">
        <v>38</v>
      </c>
      <c r="D154">
        <v>2019</v>
      </c>
      <c r="E154">
        <v>2.1553608163649152</v>
      </c>
      <c r="F154">
        <v>1.9422910480512949</v>
      </c>
      <c r="G154">
        <f t="shared" si="2"/>
        <v>-0.21306976831362023</v>
      </c>
      <c r="H154">
        <v>1.030961216508944E-3</v>
      </c>
      <c r="I154" t="s">
        <v>79</v>
      </c>
    </row>
    <row r="155" spans="1:9" x14ac:dyDescent="0.35">
      <c r="A155" t="s">
        <v>69</v>
      </c>
      <c r="B155" t="s">
        <v>54</v>
      </c>
      <c r="C155" t="s">
        <v>40</v>
      </c>
      <c r="D155">
        <v>2019</v>
      </c>
      <c r="E155">
        <v>2.355960635013798</v>
      </c>
      <c r="F155">
        <v>1.9422910480512949</v>
      </c>
      <c r="G155">
        <f t="shared" si="2"/>
        <v>-0.41366958696250311</v>
      </c>
      <c r="H155">
        <v>1.030961216508944E-3</v>
      </c>
      <c r="I155" t="s">
        <v>79</v>
      </c>
    </row>
    <row r="156" spans="1:9" x14ac:dyDescent="0.35">
      <c r="A156" t="s">
        <v>69</v>
      </c>
      <c r="B156" t="s">
        <v>55</v>
      </c>
      <c r="C156" t="s">
        <v>38</v>
      </c>
      <c r="D156">
        <v>2019</v>
      </c>
      <c r="E156">
        <v>1.870053317687548</v>
      </c>
      <c r="F156">
        <v>1.9422910480512949</v>
      </c>
      <c r="G156">
        <f t="shared" si="2"/>
        <v>7.2237730363746921E-2</v>
      </c>
      <c r="H156">
        <v>1.030961216508944E-3</v>
      </c>
      <c r="I156" t="s">
        <v>79</v>
      </c>
    </row>
    <row r="157" spans="1:9" x14ac:dyDescent="0.35">
      <c r="A157" t="s">
        <v>69</v>
      </c>
      <c r="B157" t="s">
        <v>56</v>
      </c>
      <c r="C157" t="s">
        <v>40</v>
      </c>
      <c r="D157">
        <v>2019</v>
      </c>
      <c r="E157">
        <v>2.0959399874803002</v>
      </c>
      <c r="F157">
        <v>1.9422910480512949</v>
      </c>
      <c r="G157">
        <f t="shared" si="2"/>
        <v>-0.15364893942900526</v>
      </c>
      <c r="H157">
        <v>1.030961216508944E-3</v>
      </c>
      <c r="I157" t="s">
        <v>79</v>
      </c>
    </row>
    <row r="158" spans="1:9" x14ac:dyDescent="0.35">
      <c r="A158" t="s">
        <v>70</v>
      </c>
      <c r="B158" t="s">
        <v>53</v>
      </c>
      <c r="C158" t="s">
        <v>38</v>
      </c>
      <c r="D158">
        <v>2019</v>
      </c>
      <c r="E158">
        <v>2.1742555460234851</v>
      </c>
      <c r="F158">
        <v>1.3406806953806429</v>
      </c>
      <c r="G158">
        <f t="shared" si="2"/>
        <v>-0.8335748506428422</v>
      </c>
      <c r="H158">
        <v>2.3865214906629842E-3</v>
      </c>
      <c r="I158" t="s">
        <v>79</v>
      </c>
    </row>
    <row r="159" spans="1:9" x14ac:dyDescent="0.35">
      <c r="A159" t="s">
        <v>70</v>
      </c>
      <c r="B159" t="s">
        <v>54</v>
      </c>
      <c r="C159" t="s">
        <v>40</v>
      </c>
      <c r="D159">
        <v>2019</v>
      </c>
      <c r="E159">
        <v>2.2702366672909808</v>
      </c>
      <c r="F159">
        <v>1.3406806953806429</v>
      </c>
      <c r="G159">
        <f t="shared" si="2"/>
        <v>-0.9295559719103379</v>
      </c>
      <c r="H159">
        <v>2.3865214906629842E-3</v>
      </c>
      <c r="I159" t="s">
        <v>79</v>
      </c>
    </row>
    <row r="160" spans="1:9" x14ac:dyDescent="0.35">
      <c r="A160" t="s">
        <v>70</v>
      </c>
      <c r="B160" t="s">
        <v>55</v>
      </c>
      <c r="C160" t="s">
        <v>38</v>
      </c>
      <c r="D160">
        <v>2019</v>
      </c>
      <c r="E160">
        <v>1.354791564440649</v>
      </c>
      <c r="F160">
        <v>1.3406806953806429</v>
      </c>
      <c r="G160">
        <f t="shared" si="2"/>
        <v>-1.4110869060006026E-2</v>
      </c>
      <c r="H160">
        <v>2.3865214906629842E-3</v>
      </c>
      <c r="I160" t="s">
        <v>79</v>
      </c>
    </row>
    <row r="161" spans="1:9" x14ac:dyDescent="0.35">
      <c r="A161" t="s">
        <v>70</v>
      </c>
      <c r="B161" t="s">
        <v>56</v>
      </c>
      <c r="C161" t="s">
        <v>40</v>
      </c>
      <c r="D161">
        <v>2019</v>
      </c>
      <c r="E161">
        <v>1.638521358484613</v>
      </c>
      <c r="F161">
        <v>1.3406806953806429</v>
      </c>
      <c r="G161">
        <f t="shared" si="2"/>
        <v>-0.29784066310397006</v>
      </c>
      <c r="H161">
        <v>2.3865214906629842E-3</v>
      </c>
      <c r="I161" t="s">
        <v>79</v>
      </c>
    </row>
    <row r="162" spans="1:9" x14ac:dyDescent="0.35">
      <c r="A162" t="s">
        <v>75</v>
      </c>
      <c r="B162" t="s">
        <v>53</v>
      </c>
      <c r="C162" t="s">
        <v>38</v>
      </c>
      <c r="D162">
        <v>2019</v>
      </c>
      <c r="E162">
        <v>1.1508168253350211</v>
      </c>
      <c r="F162">
        <v>0.41751152968335331</v>
      </c>
      <c r="G162">
        <f t="shared" si="2"/>
        <v>-0.73330529565166769</v>
      </c>
      <c r="H162">
        <v>1.468206874459418E-3</v>
      </c>
      <c r="I162" t="s">
        <v>79</v>
      </c>
    </row>
    <row r="163" spans="1:9" x14ac:dyDescent="0.35">
      <c r="A163" t="s">
        <v>75</v>
      </c>
      <c r="B163" t="s">
        <v>54</v>
      </c>
      <c r="C163" t="s">
        <v>40</v>
      </c>
      <c r="D163">
        <v>2019</v>
      </c>
      <c r="E163">
        <v>1.208894526316961</v>
      </c>
      <c r="F163">
        <v>0.41751152968335331</v>
      </c>
      <c r="G163">
        <f t="shared" si="2"/>
        <v>-0.79138299663360767</v>
      </c>
      <c r="H163">
        <v>1.468206874459418E-3</v>
      </c>
      <c r="I163" t="s">
        <v>79</v>
      </c>
    </row>
    <row r="164" spans="1:9" x14ac:dyDescent="0.35">
      <c r="A164" t="s">
        <v>75</v>
      </c>
      <c r="B164" t="s">
        <v>55</v>
      </c>
      <c r="C164" t="s">
        <v>38</v>
      </c>
      <c r="D164">
        <v>2019</v>
      </c>
      <c r="E164">
        <v>0.1046834039854172</v>
      </c>
      <c r="F164">
        <v>0.41751152968335331</v>
      </c>
      <c r="G164">
        <f t="shared" si="2"/>
        <v>0.31282812569793611</v>
      </c>
      <c r="H164">
        <v>1.468206874459418E-3</v>
      </c>
      <c r="I164" t="s">
        <v>79</v>
      </c>
    </row>
    <row r="165" spans="1:9" x14ac:dyDescent="0.35">
      <c r="A165" t="s">
        <v>75</v>
      </c>
      <c r="B165" t="s">
        <v>56</v>
      </c>
      <c r="C165" t="s">
        <v>40</v>
      </c>
      <c r="D165">
        <v>2019</v>
      </c>
      <c r="E165">
        <v>0.1006276066420453</v>
      </c>
      <c r="F165">
        <v>0.41751152968335331</v>
      </c>
      <c r="G165">
        <f t="shared" si="2"/>
        <v>0.31688392304130802</v>
      </c>
      <c r="H165">
        <v>1.468206874459418E-3</v>
      </c>
      <c r="I165" t="s">
        <v>79</v>
      </c>
    </row>
    <row r="166" spans="1:9" x14ac:dyDescent="0.35">
      <c r="A166" t="s">
        <v>77</v>
      </c>
      <c r="B166" t="s">
        <v>53</v>
      </c>
      <c r="C166" t="s">
        <v>38</v>
      </c>
      <c r="D166">
        <v>2019</v>
      </c>
      <c r="E166">
        <v>1.839454993980616</v>
      </c>
      <c r="F166">
        <v>2.7086922955372188</v>
      </c>
      <c r="G166">
        <f t="shared" si="2"/>
        <v>0.86923730155660284</v>
      </c>
      <c r="H166">
        <v>8.1250644809519068E-4</v>
      </c>
      <c r="I166" t="s">
        <v>79</v>
      </c>
    </row>
    <row r="167" spans="1:9" x14ac:dyDescent="0.35">
      <c r="A167" t="s">
        <v>77</v>
      </c>
      <c r="B167" t="s">
        <v>54</v>
      </c>
      <c r="C167" t="s">
        <v>40</v>
      </c>
      <c r="D167">
        <v>2019</v>
      </c>
      <c r="E167">
        <v>2.0372674050813671</v>
      </c>
      <c r="F167">
        <v>2.7086922955372188</v>
      </c>
      <c r="G167">
        <f t="shared" si="2"/>
        <v>0.67142489045585174</v>
      </c>
      <c r="H167">
        <v>8.1250644809519068E-4</v>
      </c>
      <c r="I167" t="s">
        <v>79</v>
      </c>
    </row>
    <row r="168" spans="1:9" x14ac:dyDescent="0.35">
      <c r="A168" t="s">
        <v>77</v>
      </c>
      <c r="B168" t="s">
        <v>55</v>
      </c>
      <c r="C168" t="s">
        <v>38</v>
      </c>
      <c r="D168">
        <v>2019</v>
      </c>
      <c r="E168">
        <v>1.950475273387009</v>
      </c>
      <c r="F168">
        <v>2.7086922955372188</v>
      </c>
      <c r="G168">
        <f t="shared" si="2"/>
        <v>0.75821702215020981</v>
      </c>
      <c r="H168">
        <v>8.1250644809519068E-4</v>
      </c>
      <c r="I168" t="s">
        <v>79</v>
      </c>
    </row>
    <row r="169" spans="1:9" x14ac:dyDescent="0.35">
      <c r="A169" t="s">
        <v>77</v>
      </c>
      <c r="B169" t="s">
        <v>56</v>
      </c>
      <c r="C169" t="s">
        <v>40</v>
      </c>
      <c r="D169">
        <v>2019</v>
      </c>
      <c r="E169">
        <v>1.672451894689297</v>
      </c>
      <c r="F169">
        <v>2.7086922955372188</v>
      </c>
      <c r="G169">
        <f t="shared" si="2"/>
        <v>1.0362404008479218</v>
      </c>
      <c r="H169">
        <v>8.1250644809519068E-4</v>
      </c>
      <c r="I169" t="s">
        <v>79</v>
      </c>
    </row>
    <row r="170" spans="1:9" x14ac:dyDescent="0.35">
      <c r="A170" t="s">
        <v>67</v>
      </c>
      <c r="B170" t="s">
        <v>55</v>
      </c>
      <c r="C170" t="s">
        <v>38</v>
      </c>
      <c r="D170">
        <v>2020</v>
      </c>
      <c r="E170">
        <v>0.96034482213216421</v>
      </c>
      <c r="F170">
        <v>-4.9116764965584894</v>
      </c>
      <c r="G170">
        <f t="shared" si="2"/>
        <v>-5.8720213186906536</v>
      </c>
      <c r="H170">
        <v>1.2802209101079819E-3</v>
      </c>
      <c r="I170" t="s">
        <v>79</v>
      </c>
    </row>
    <row r="171" spans="1:9" x14ac:dyDescent="0.35">
      <c r="A171" t="s">
        <v>67</v>
      </c>
      <c r="B171" t="s">
        <v>56</v>
      </c>
      <c r="C171" t="s">
        <v>40</v>
      </c>
      <c r="D171">
        <v>2020</v>
      </c>
      <c r="E171">
        <v>1.199077085455502</v>
      </c>
      <c r="F171">
        <v>-4.9116764965584894</v>
      </c>
      <c r="G171">
        <f t="shared" si="2"/>
        <v>-6.1107535820139915</v>
      </c>
      <c r="H171">
        <v>1.2802209101079819E-3</v>
      </c>
      <c r="I171" t="s">
        <v>79</v>
      </c>
    </row>
    <row r="172" spans="1:9" x14ac:dyDescent="0.35">
      <c r="A172" t="s">
        <v>67</v>
      </c>
      <c r="B172" t="s">
        <v>57</v>
      </c>
      <c r="C172" t="s">
        <v>38</v>
      </c>
      <c r="D172">
        <v>2020</v>
      </c>
      <c r="E172">
        <v>-8.420158667688538</v>
      </c>
      <c r="F172">
        <v>-4.9116764965584894</v>
      </c>
      <c r="G172">
        <f t="shared" si="2"/>
        <v>3.5084821711300487</v>
      </c>
      <c r="H172">
        <v>1.2802209101079819E-3</v>
      </c>
      <c r="I172" t="s">
        <v>79</v>
      </c>
    </row>
    <row r="173" spans="1:9" x14ac:dyDescent="0.35">
      <c r="A173" t="s">
        <v>67</v>
      </c>
      <c r="B173" t="s">
        <v>58</v>
      </c>
      <c r="C173" t="s">
        <v>40</v>
      </c>
      <c r="D173">
        <v>2020</v>
      </c>
      <c r="E173">
        <v>-7.1575995247655024</v>
      </c>
      <c r="F173">
        <v>-4.9116764965584894</v>
      </c>
      <c r="G173">
        <f t="shared" si="2"/>
        <v>2.2459230282070131</v>
      </c>
      <c r="H173">
        <v>1.2802209101079819E-3</v>
      </c>
      <c r="I173" t="s">
        <v>79</v>
      </c>
    </row>
    <row r="174" spans="1:9" x14ac:dyDescent="0.35">
      <c r="A174" t="s">
        <v>69</v>
      </c>
      <c r="B174" t="s">
        <v>55</v>
      </c>
      <c r="C174" t="s">
        <v>38</v>
      </c>
      <c r="D174">
        <v>2020</v>
      </c>
      <c r="E174">
        <v>1.490576223487361</v>
      </c>
      <c r="F174">
        <v>-11.58616521695834</v>
      </c>
      <c r="G174">
        <f t="shared" si="2"/>
        <v>-13.076741440445701</v>
      </c>
      <c r="H174">
        <v>1.089781682979109E-3</v>
      </c>
      <c r="I174" t="s">
        <v>79</v>
      </c>
    </row>
    <row r="175" spans="1:9" x14ac:dyDescent="0.35">
      <c r="A175" t="s">
        <v>69</v>
      </c>
      <c r="B175" t="s">
        <v>56</v>
      </c>
      <c r="C175" t="s">
        <v>40</v>
      </c>
      <c r="D175">
        <v>2020</v>
      </c>
      <c r="E175">
        <v>1.863359760106897</v>
      </c>
      <c r="F175">
        <v>-11.58616521695834</v>
      </c>
      <c r="G175">
        <f t="shared" si="2"/>
        <v>-13.449524977065238</v>
      </c>
      <c r="H175">
        <v>1.089781682979109E-3</v>
      </c>
      <c r="I175" t="s">
        <v>79</v>
      </c>
    </row>
    <row r="176" spans="1:9" x14ac:dyDescent="0.35">
      <c r="A176" t="s">
        <v>69</v>
      </c>
      <c r="B176" t="s">
        <v>57</v>
      </c>
      <c r="C176" t="s">
        <v>38</v>
      </c>
      <c r="D176">
        <v>2020</v>
      </c>
      <c r="E176">
        <v>-12.410533977614319</v>
      </c>
      <c r="F176">
        <v>-11.58616521695834</v>
      </c>
      <c r="G176">
        <f t="shared" si="2"/>
        <v>0.82436876065597886</v>
      </c>
      <c r="H176">
        <v>1.089781682979109E-3</v>
      </c>
      <c r="I176" t="s">
        <v>79</v>
      </c>
    </row>
    <row r="177" spans="1:9" x14ac:dyDescent="0.35">
      <c r="A177" t="s">
        <v>69</v>
      </c>
      <c r="B177" t="s">
        <v>58</v>
      </c>
      <c r="C177" t="s">
        <v>40</v>
      </c>
      <c r="D177">
        <v>2020</v>
      </c>
      <c r="E177">
        <v>-9.3843459766278272</v>
      </c>
      <c r="F177">
        <v>-11.58616521695834</v>
      </c>
      <c r="G177">
        <f t="shared" si="2"/>
        <v>-2.2018192403305132</v>
      </c>
      <c r="H177">
        <v>1.089781682979109E-3</v>
      </c>
      <c r="I177" t="s">
        <v>79</v>
      </c>
    </row>
    <row r="178" spans="1:9" x14ac:dyDescent="0.35">
      <c r="A178" t="s">
        <v>70</v>
      </c>
      <c r="B178" t="s">
        <v>55</v>
      </c>
      <c r="C178" t="s">
        <v>38</v>
      </c>
      <c r="D178">
        <v>2020</v>
      </c>
      <c r="E178">
        <v>1.1013866566023991</v>
      </c>
      <c r="F178">
        <v>-2.5216639551613449</v>
      </c>
      <c r="G178">
        <f t="shared" si="2"/>
        <v>-3.6230506117637438</v>
      </c>
      <c r="H178">
        <v>1.9365478320968409E-3</v>
      </c>
      <c r="I178" t="s">
        <v>79</v>
      </c>
    </row>
    <row r="179" spans="1:9" x14ac:dyDescent="0.35">
      <c r="A179" t="s">
        <v>70</v>
      </c>
      <c r="B179" t="s">
        <v>56</v>
      </c>
      <c r="C179" t="s">
        <v>40</v>
      </c>
      <c r="D179">
        <v>2020</v>
      </c>
      <c r="E179">
        <v>1.1658655715774511</v>
      </c>
      <c r="F179">
        <v>-2.5216639551613449</v>
      </c>
      <c r="G179">
        <f t="shared" si="2"/>
        <v>-3.6875295267387962</v>
      </c>
      <c r="H179">
        <v>1.9365478320968409E-3</v>
      </c>
      <c r="I179" t="s">
        <v>79</v>
      </c>
    </row>
    <row r="180" spans="1:9" x14ac:dyDescent="0.35">
      <c r="A180" t="s">
        <v>70</v>
      </c>
      <c r="B180" t="s">
        <v>57</v>
      </c>
      <c r="C180" t="s">
        <v>38</v>
      </c>
      <c r="D180">
        <v>2020</v>
      </c>
      <c r="E180">
        <v>-4.2712767573150012</v>
      </c>
      <c r="F180">
        <v>-2.5216639551613449</v>
      </c>
      <c r="G180">
        <f t="shared" si="2"/>
        <v>1.7496128021536563</v>
      </c>
      <c r="H180">
        <v>1.9365478320968409E-3</v>
      </c>
      <c r="I180" t="s">
        <v>79</v>
      </c>
    </row>
    <row r="181" spans="1:9" x14ac:dyDescent="0.35">
      <c r="A181" t="s">
        <v>70</v>
      </c>
      <c r="B181" t="s">
        <v>58</v>
      </c>
      <c r="C181" t="s">
        <v>40</v>
      </c>
      <c r="D181">
        <v>2020</v>
      </c>
      <c r="E181">
        <v>-6.3340086382144829</v>
      </c>
      <c r="F181">
        <v>-2.5216639551613449</v>
      </c>
      <c r="G181">
        <f t="shared" si="2"/>
        <v>3.812344683053138</v>
      </c>
      <c r="H181">
        <v>1.9365478320968409E-3</v>
      </c>
      <c r="I181" t="s">
        <v>79</v>
      </c>
    </row>
    <row r="182" spans="1:9" x14ac:dyDescent="0.35">
      <c r="A182" t="s">
        <v>75</v>
      </c>
      <c r="B182" t="s">
        <v>55</v>
      </c>
      <c r="C182" t="s">
        <v>38</v>
      </c>
      <c r="D182">
        <v>2020</v>
      </c>
      <c r="E182">
        <v>0.43236292909316631</v>
      </c>
      <c r="F182">
        <v>-9.3783767522421471</v>
      </c>
      <c r="G182">
        <f t="shared" si="2"/>
        <v>-9.8107396813353134</v>
      </c>
      <c r="H182">
        <v>1.62386443036395E-3</v>
      </c>
      <c r="I182" t="s">
        <v>79</v>
      </c>
    </row>
    <row r="183" spans="1:9" x14ac:dyDescent="0.35">
      <c r="A183" t="s">
        <v>75</v>
      </c>
      <c r="B183" t="s">
        <v>56</v>
      </c>
      <c r="C183" t="s">
        <v>40</v>
      </c>
      <c r="D183">
        <v>2020</v>
      </c>
      <c r="E183">
        <v>0.71178912334750599</v>
      </c>
      <c r="F183">
        <v>-9.3783767522421471</v>
      </c>
      <c r="G183">
        <f t="shared" si="2"/>
        <v>-10.090165875589653</v>
      </c>
      <c r="H183">
        <v>1.62386443036395E-3</v>
      </c>
      <c r="I183" t="s">
        <v>79</v>
      </c>
    </row>
    <row r="184" spans="1:9" x14ac:dyDescent="0.35">
      <c r="A184" t="s">
        <v>75</v>
      </c>
      <c r="B184" t="s">
        <v>57</v>
      </c>
      <c r="C184" t="s">
        <v>38</v>
      </c>
      <c r="D184">
        <v>2020</v>
      </c>
      <c r="E184">
        <v>-9.8515454699187543</v>
      </c>
      <c r="F184">
        <v>-9.3783767522421471</v>
      </c>
      <c r="G184">
        <f t="shared" si="2"/>
        <v>0.47316871767660729</v>
      </c>
      <c r="H184">
        <v>1.62386443036395E-3</v>
      </c>
      <c r="I184" t="s">
        <v>79</v>
      </c>
    </row>
    <row r="185" spans="1:9" x14ac:dyDescent="0.35">
      <c r="A185" t="s">
        <v>75</v>
      </c>
      <c r="B185" t="s">
        <v>58</v>
      </c>
      <c r="C185" t="s">
        <v>40</v>
      </c>
      <c r="D185">
        <v>2020</v>
      </c>
      <c r="E185">
        <v>-9.517990850094149</v>
      </c>
      <c r="F185">
        <v>-9.3783767522421471</v>
      </c>
      <c r="G185">
        <f t="shared" si="2"/>
        <v>0.13961409785200196</v>
      </c>
      <c r="H185">
        <v>1.62386443036395E-3</v>
      </c>
      <c r="I185" t="s">
        <v>79</v>
      </c>
    </row>
    <row r="186" spans="1:9" x14ac:dyDescent="0.35">
      <c r="A186" t="s">
        <v>77</v>
      </c>
      <c r="B186" t="s">
        <v>55</v>
      </c>
      <c r="C186" t="s">
        <v>38</v>
      </c>
      <c r="D186">
        <v>2020</v>
      </c>
      <c r="E186">
        <v>1.699885517193356</v>
      </c>
      <c r="F186">
        <v>-8.5609032033360464</v>
      </c>
      <c r="G186">
        <f t="shared" si="2"/>
        <v>-10.260788720529403</v>
      </c>
      <c r="H186">
        <v>1.1314571143666431E-3</v>
      </c>
      <c r="I186" t="s">
        <v>79</v>
      </c>
    </row>
    <row r="187" spans="1:9" x14ac:dyDescent="0.35">
      <c r="A187" t="s">
        <v>77</v>
      </c>
      <c r="B187" t="s">
        <v>56</v>
      </c>
      <c r="C187" t="s">
        <v>40</v>
      </c>
      <c r="D187">
        <v>2020</v>
      </c>
      <c r="E187">
        <v>1.7153996309464681</v>
      </c>
      <c r="F187">
        <v>-8.5609032033360464</v>
      </c>
      <c r="G187">
        <f t="shared" si="2"/>
        <v>-10.276302834282514</v>
      </c>
      <c r="H187">
        <v>1.1314571143666431E-3</v>
      </c>
      <c r="I187" t="s">
        <v>79</v>
      </c>
    </row>
    <row r="188" spans="1:9" x14ac:dyDescent="0.35">
      <c r="A188" t="s">
        <v>77</v>
      </c>
      <c r="B188" t="s">
        <v>57</v>
      </c>
      <c r="C188" t="s">
        <v>38</v>
      </c>
      <c r="D188">
        <v>2020</v>
      </c>
      <c r="E188">
        <v>-9.2905567939445373</v>
      </c>
      <c r="F188">
        <v>-8.5609032033360464</v>
      </c>
      <c r="G188">
        <f t="shared" si="2"/>
        <v>0.72965359060849089</v>
      </c>
      <c r="H188">
        <v>1.1314571143666431E-3</v>
      </c>
      <c r="I188" t="s">
        <v>79</v>
      </c>
    </row>
    <row r="189" spans="1:9" x14ac:dyDescent="0.35">
      <c r="A189" t="s">
        <v>77</v>
      </c>
      <c r="B189" t="s">
        <v>58</v>
      </c>
      <c r="C189" t="s">
        <v>40</v>
      </c>
      <c r="D189">
        <v>2020</v>
      </c>
      <c r="E189">
        <v>-6.7651809613411107</v>
      </c>
      <c r="F189">
        <v>-8.5609032033360464</v>
      </c>
      <c r="G189">
        <f t="shared" si="2"/>
        <v>-1.7957222419949357</v>
      </c>
      <c r="H189">
        <v>1.1314571143666431E-3</v>
      </c>
      <c r="I189" t="s">
        <v>79</v>
      </c>
    </row>
    <row r="190" spans="1:9" x14ac:dyDescent="0.35">
      <c r="A190" t="s">
        <v>67</v>
      </c>
      <c r="B190" t="s">
        <v>57</v>
      </c>
      <c r="C190" t="s">
        <v>38</v>
      </c>
      <c r="D190">
        <v>2021</v>
      </c>
      <c r="E190">
        <v>4.1239049795648741</v>
      </c>
      <c r="F190">
        <v>6.0667175798443678</v>
      </c>
      <c r="G190">
        <f t="shared" si="2"/>
        <v>1.9428126002794937</v>
      </c>
      <c r="H190">
        <v>1.1517525996332381E-3</v>
      </c>
      <c r="I190" t="s">
        <v>79</v>
      </c>
    </row>
    <row r="191" spans="1:9" x14ac:dyDescent="0.35">
      <c r="A191" t="s">
        <v>67</v>
      </c>
      <c r="B191" t="s">
        <v>58</v>
      </c>
      <c r="C191" t="s">
        <v>40</v>
      </c>
      <c r="D191">
        <v>2021</v>
      </c>
      <c r="E191">
        <v>6.6899129841448302</v>
      </c>
      <c r="F191">
        <v>6.0667175798443678</v>
      </c>
      <c r="G191">
        <f t="shared" si="2"/>
        <v>-0.62319540430046239</v>
      </c>
      <c r="H191">
        <v>1.1517525996332381E-3</v>
      </c>
      <c r="I191" t="s">
        <v>79</v>
      </c>
    </row>
    <row r="192" spans="1:9" x14ac:dyDescent="0.35">
      <c r="A192" t="s">
        <v>67</v>
      </c>
      <c r="B192" t="s">
        <v>59</v>
      </c>
      <c r="C192" t="s">
        <v>38</v>
      </c>
      <c r="D192">
        <v>2021</v>
      </c>
      <c r="E192">
        <v>5.9836029339416452</v>
      </c>
      <c r="F192">
        <v>6.0667175798443678</v>
      </c>
      <c r="G192">
        <f t="shared" si="2"/>
        <v>8.311464590272255E-2</v>
      </c>
      <c r="H192">
        <v>1.1517525996332381E-3</v>
      </c>
      <c r="I192" t="s">
        <v>79</v>
      </c>
    </row>
    <row r="193" spans="1:9" x14ac:dyDescent="0.35">
      <c r="A193" t="s">
        <v>67</v>
      </c>
      <c r="B193" t="s">
        <v>60</v>
      </c>
      <c r="C193" t="s">
        <v>40</v>
      </c>
      <c r="D193">
        <v>2021</v>
      </c>
      <c r="E193">
        <v>4.5423071463688514</v>
      </c>
      <c r="F193">
        <v>6.0667175798443678</v>
      </c>
      <c r="G193">
        <f t="shared" si="2"/>
        <v>1.5244104334755164</v>
      </c>
      <c r="H193">
        <v>1.1517525996332381E-3</v>
      </c>
      <c r="I193" t="s">
        <v>79</v>
      </c>
    </row>
    <row r="194" spans="1:9" x14ac:dyDescent="0.35">
      <c r="A194" t="s">
        <v>69</v>
      </c>
      <c r="B194" t="s">
        <v>57</v>
      </c>
      <c r="C194" t="s">
        <v>38</v>
      </c>
      <c r="D194">
        <v>2021</v>
      </c>
      <c r="E194">
        <v>5.3508536215682634</v>
      </c>
      <c r="F194">
        <v>6.4693143142877041</v>
      </c>
      <c r="G194">
        <f t="shared" ref="G194:G257" si="3">IF(OR(F194="",E194=""),"",F194-E194)</f>
        <v>1.1184606927194407</v>
      </c>
      <c r="H194">
        <v>9.4978125409007018E-4</v>
      </c>
      <c r="I194" t="s">
        <v>79</v>
      </c>
    </row>
    <row r="195" spans="1:9" x14ac:dyDescent="0.35">
      <c r="A195" t="s">
        <v>69</v>
      </c>
      <c r="B195" t="s">
        <v>58</v>
      </c>
      <c r="C195" t="s">
        <v>40</v>
      </c>
      <c r="D195">
        <v>2021</v>
      </c>
      <c r="E195">
        <v>6.9761759541974167</v>
      </c>
      <c r="F195">
        <v>6.4693143142877041</v>
      </c>
      <c r="G195">
        <f t="shared" si="3"/>
        <v>-0.50686163990971256</v>
      </c>
      <c r="H195">
        <v>9.4978125409007018E-4</v>
      </c>
      <c r="I195" t="s">
        <v>79</v>
      </c>
    </row>
    <row r="196" spans="1:9" x14ac:dyDescent="0.35">
      <c r="A196" t="s">
        <v>69</v>
      </c>
      <c r="B196" t="s">
        <v>59</v>
      </c>
      <c r="C196" t="s">
        <v>38</v>
      </c>
      <c r="D196">
        <v>2021</v>
      </c>
      <c r="E196">
        <v>4.6234510847103616</v>
      </c>
      <c r="F196">
        <v>6.4693143142877041</v>
      </c>
      <c r="G196">
        <f t="shared" si="3"/>
        <v>1.8458632295773425</v>
      </c>
      <c r="H196">
        <v>9.4978125409007018E-4</v>
      </c>
      <c r="I196" t="s">
        <v>79</v>
      </c>
    </row>
    <row r="197" spans="1:9" x14ac:dyDescent="0.35">
      <c r="A197" t="s">
        <v>69</v>
      </c>
      <c r="B197" t="s">
        <v>60</v>
      </c>
      <c r="C197" t="s">
        <v>40</v>
      </c>
      <c r="D197">
        <v>2021</v>
      </c>
      <c r="E197">
        <v>5.8812532644924698</v>
      </c>
      <c r="F197">
        <v>6.4693143142877041</v>
      </c>
      <c r="G197">
        <f t="shared" si="3"/>
        <v>0.58806104979523433</v>
      </c>
      <c r="H197">
        <v>9.4978125409007018E-4</v>
      </c>
      <c r="I197" t="s">
        <v>79</v>
      </c>
    </row>
    <row r="198" spans="1:9" x14ac:dyDescent="0.35">
      <c r="A198" t="s">
        <v>70</v>
      </c>
      <c r="B198" t="s">
        <v>57</v>
      </c>
      <c r="C198" t="s">
        <v>38</v>
      </c>
      <c r="D198">
        <v>2021</v>
      </c>
      <c r="E198">
        <v>2.900169440971712</v>
      </c>
      <c r="F198">
        <v>2.6415720090220192</v>
      </c>
      <c r="G198">
        <f t="shared" si="3"/>
        <v>-0.25859743194969287</v>
      </c>
      <c r="H198">
        <v>2.6224663629109508E-3</v>
      </c>
      <c r="I198" t="s">
        <v>79</v>
      </c>
    </row>
    <row r="199" spans="1:9" x14ac:dyDescent="0.35">
      <c r="A199" t="s">
        <v>70</v>
      </c>
      <c r="B199" t="s">
        <v>58</v>
      </c>
      <c r="C199" t="s">
        <v>40</v>
      </c>
      <c r="D199">
        <v>2021</v>
      </c>
      <c r="E199">
        <v>3.6735608188213531</v>
      </c>
      <c r="F199">
        <v>2.6415720090220192</v>
      </c>
      <c r="G199">
        <f t="shared" si="3"/>
        <v>-1.0319888097993339</v>
      </c>
      <c r="H199">
        <v>2.6224663629109508E-3</v>
      </c>
      <c r="I199" t="s">
        <v>79</v>
      </c>
    </row>
    <row r="200" spans="1:9" x14ac:dyDescent="0.35">
      <c r="A200" t="s">
        <v>70</v>
      </c>
      <c r="B200" t="s">
        <v>59</v>
      </c>
      <c r="C200" t="s">
        <v>38</v>
      </c>
      <c r="D200">
        <v>2021</v>
      </c>
      <c r="E200">
        <v>3.4041276267937399</v>
      </c>
      <c r="F200">
        <v>2.6415720090220192</v>
      </c>
      <c r="G200">
        <f t="shared" si="3"/>
        <v>-0.76255561777172076</v>
      </c>
      <c r="H200">
        <v>2.6224663629109508E-3</v>
      </c>
      <c r="I200" t="s">
        <v>79</v>
      </c>
    </row>
    <row r="201" spans="1:9" x14ac:dyDescent="0.35">
      <c r="A201" t="s">
        <v>70</v>
      </c>
      <c r="B201" t="s">
        <v>60</v>
      </c>
      <c r="C201" t="s">
        <v>40</v>
      </c>
      <c r="D201">
        <v>2021</v>
      </c>
      <c r="E201">
        <v>2.739564988065335</v>
      </c>
      <c r="F201">
        <v>2.6415720090220192</v>
      </c>
      <c r="G201">
        <f t="shared" si="3"/>
        <v>-9.7992979043315831E-2</v>
      </c>
      <c r="H201">
        <v>2.6224663629109508E-3</v>
      </c>
      <c r="I201" t="s">
        <v>79</v>
      </c>
    </row>
    <row r="202" spans="1:9" x14ac:dyDescent="0.35">
      <c r="A202" t="s">
        <v>75</v>
      </c>
      <c r="B202" t="s">
        <v>57</v>
      </c>
      <c r="C202" t="s">
        <v>38</v>
      </c>
      <c r="D202">
        <v>2021</v>
      </c>
      <c r="E202">
        <v>4.051033813756133</v>
      </c>
      <c r="F202">
        <v>8.4370671759064813</v>
      </c>
      <c r="G202">
        <f t="shared" si="3"/>
        <v>4.3860333621503482</v>
      </c>
      <c r="H202">
        <v>1.3550145653097681E-3</v>
      </c>
      <c r="I202" t="s">
        <v>79</v>
      </c>
    </row>
    <row r="203" spans="1:9" x14ac:dyDescent="0.35">
      <c r="A203" t="s">
        <v>75</v>
      </c>
      <c r="B203" t="s">
        <v>58</v>
      </c>
      <c r="C203" t="s">
        <v>40</v>
      </c>
      <c r="D203">
        <v>2021</v>
      </c>
      <c r="E203">
        <v>6.5496569028856699</v>
      </c>
      <c r="F203">
        <v>8.4370671759064813</v>
      </c>
      <c r="G203">
        <f t="shared" si="3"/>
        <v>1.8874102730208113</v>
      </c>
      <c r="H203">
        <v>1.3550145653097681E-3</v>
      </c>
      <c r="I203" t="s">
        <v>79</v>
      </c>
    </row>
    <row r="204" spans="1:9" x14ac:dyDescent="0.35">
      <c r="A204" t="s">
        <v>75</v>
      </c>
      <c r="B204" t="s">
        <v>59</v>
      </c>
      <c r="C204" t="s">
        <v>38</v>
      </c>
      <c r="D204">
        <v>2021</v>
      </c>
      <c r="E204">
        <v>6.2292733128945343</v>
      </c>
      <c r="F204">
        <v>8.4370671759064813</v>
      </c>
      <c r="G204">
        <f t="shared" si="3"/>
        <v>2.2077938630119469</v>
      </c>
      <c r="H204">
        <v>1.3550145653097681E-3</v>
      </c>
      <c r="I204" t="s">
        <v>79</v>
      </c>
    </row>
    <row r="205" spans="1:9" x14ac:dyDescent="0.35">
      <c r="A205" t="s">
        <v>75</v>
      </c>
      <c r="B205" t="s">
        <v>60</v>
      </c>
      <c r="C205" t="s">
        <v>40</v>
      </c>
      <c r="D205">
        <v>2021</v>
      </c>
      <c r="E205">
        <v>4.2068723885489323</v>
      </c>
      <c r="F205">
        <v>8.4370671759064813</v>
      </c>
      <c r="G205">
        <f t="shared" si="3"/>
        <v>4.2301947873575489</v>
      </c>
      <c r="H205">
        <v>1.3550145653097681E-3</v>
      </c>
      <c r="I205" t="s">
        <v>79</v>
      </c>
    </row>
    <row r="206" spans="1:9" x14ac:dyDescent="0.35">
      <c r="A206" t="s">
        <v>77</v>
      </c>
      <c r="B206" t="s">
        <v>57</v>
      </c>
      <c r="C206" t="s">
        <v>38</v>
      </c>
      <c r="D206">
        <v>2021</v>
      </c>
      <c r="E206">
        <v>5.3606609364002189</v>
      </c>
      <c r="F206">
        <v>5.4098373027499997</v>
      </c>
      <c r="G206">
        <f t="shared" si="3"/>
        <v>4.9176366349780842E-2</v>
      </c>
      <c r="H206">
        <v>1.543056079090352E-3</v>
      </c>
      <c r="I206" t="s">
        <v>79</v>
      </c>
    </row>
    <row r="207" spans="1:9" x14ac:dyDescent="0.35">
      <c r="A207" t="s">
        <v>77</v>
      </c>
      <c r="B207" t="s">
        <v>58</v>
      </c>
      <c r="C207" t="s">
        <v>40</v>
      </c>
      <c r="D207">
        <v>2021</v>
      </c>
      <c r="E207">
        <v>5.8179091621113344</v>
      </c>
      <c r="F207">
        <v>5.4098373027499997</v>
      </c>
      <c r="G207">
        <f t="shared" si="3"/>
        <v>-0.40807185936133461</v>
      </c>
      <c r="H207">
        <v>1.543056079090352E-3</v>
      </c>
      <c r="I207" t="s">
        <v>79</v>
      </c>
    </row>
    <row r="208" spans="1:9" x14ac:dyDescent="0.35">
      <c r="A208" t="s">
        <v>77</v>
      </c>
      <c r="B208" t="s">
        <v>59</v>
      </c>
      <c r="C208" t="s">
        <v>38</v>
      </c>
      <c r="D208">
        <v>2021</v>
      </c>
      <c r="E208">
        <v>4.5428064601391371</v>
      </c>
      <c r="F208">
        <v>5.4098373027499997</v>
      </c>
      <c r="G208">
        <f t="shared" si="3"/>
        <v>0.86703084261086261</v>
      </c>
      <c r="H208">
        <v>1.543056079090352E-3</v>
      </c>
      <c r="I208" t="s">
        <v>79</v>
      </c>
    </row>
    <row r="209" spans="1:9" x14ac:dyDescent="0.35">
      <c r="A209" t="s">
        <v>77</v>
      </c>
      <c r="B209" t="s">
        <v>60</v>
      </c>
      <c r="C209" t="s">
        <v>40</v>
      </c>
      <c r="D209">
        <v>2021</v>
      </c>
      <c r="E209">
        <v>3.9441078773994498</v>
      </c>
      <c r="F209">
        <v>5.4098373027499997</v>
      </c>
      <c r="G209">
        <f t="shared" si="3"/>
        <v>1.46572942535055</v>
      </c>
      <c r="H209">
        <v>1.543056079090352E-3</v>
      </c>
      <c r="I209" t="s">
        <v>79</v>
      </c>
    </row>
    <row r="210" spans="1:9" x14ac:dyDescent="0.35">
      <c r="A210" t="s">
        <v>67</v>
      </c>
      <c r="B210" t="s">
        <v>59</v>
      </c>
      <c r="C210" t="s">
        <v>38</v>
      </c>
      <c r="D210">
        <v>2022</v>
      </c>
      <c r="E210">
        <v>2.6471364529380592</v>
      </c>
      <c r="F210">
        <v>3.945716681463399</v>
      </c>
      <c r="G210">
        <f t="shared" si="3"/>
        <v>1.2985802285253398</v>
      </c>
      <c r="H210">
        <v>1.014469878411819E-3</v>
      </c>
      <c r="I210" t="s">
        <v>79</v>
      </c>
    </row>
    <row r="211" spans="1:9" x14ac:dyDescent="0.35">
      <c r="A211" t="s">
        <v>67</v>
      </c>
      <c r="B211" t="s">
        <v>60</v>
      </c>
      <c r="C211" t="s">
        <v>40</v>
      </c>
      <c r="D211">
        <v>2022</v>
      </c>
      <c r="E211">
        <v>3.671117125209777</v>
      </c>
      <c r="F211">
        <v>3.945716681463399</v>
      </c>
      <c r="G211">
        <f t="shared" si="3"/>
        <v>0.27459955625362209</v>
      </c>
      <c r="H211">
        <v>1.014469878411819E-3</v>
      </c>
      <c r="I211" t="s">
        <v>79</v>
      </c>
    </row>
    <row r="212" spans="1:9" x14ac:dyDescent="0.35">
      <c r="A212" t="s">
        <v>67</v>
      </c>
      <c r="B212" t="s">
        <v>61</v>
      </c>
      <c r="C212" t="s">
        <v>38</v>
      </c>
      <c r="D212">
        <v>2022</v>
      </c>
      <c r="E212">
        <v>2.8171147512312089</v>
      </c>
      <c r="F212">
        <v>3.945716681463399</v>
      </c>
      <c r="G212">
        <f t="shared" si="3"/>
        <v>1.1286019302321901</v>
      </c>
      <c r="H212">
        <v>1.014469878411819E-3</v>
      </c>
      <c r="I212" t="s">
        <v>79</v>
      </c>
    </row>
    <row r="213" spans="1:9" x14ac:dyDescent="0.35">
      <c r="A213" t="s">
        <v>67</v>
      </c>
      <c r="B213" t="s">
        <v>62</v>
      </c>
      <c r="C213" t="s">
        <v>40</v>
      </c>
      <c r="D213">
        <v>2022</v>
      </c>
      <c r="E213">
        <v>2.0165795618690252</v>
      </c>
      <c r="F213">
        <v>3.945716681463399</v>
      </c>
      <c r="G213">
        <f t="shared" si="3"/>
        <v>1.9291371195943738</v>
      </c>
      <c r="H213">
        <v>1.014469878411819E-3</v>
      </c>
      <c r="I213" t="s">
        <v>79</v>
      </c>
    </row>
    <row r="214" spans="1:9" x14ac:dyDescent="0.35">
      <c r="A214" t="s">
        <v>69</v>
      </c>
      <c r="B214" t="s">
        <v>59</v>
      </c>
      <c r="C214" t="s">
        <v>38</v>
      </c>
      <c r="D214">
        <v>2022</v>
      </c>
      <c r="E214">
        <v>5.5278236152833893</v>
      </c>
      <c r="F214">
        <v>6.1757125573772758</v>
      </c>
      <c r="G214">
        <f t="shared" si="3"/>
        <v>0.64788894209388648</v>
      </c>
      <c r="H214">
        <v>7.4930942000427699E-4</v>
      </c>
      <c r="I214" t="s">
        <v>79</v>
      </c>
    </row>
    <row r="215" spans="1:9" x14ac:dyDescent="0.35">
      <c r="A215" t="s">
        <v>69</v>
      </c>
      <c r="B215" t="s">
        <v>60</v>
      </c>
      <c r="C215" t="s">
        <v>40</v>
      </c>
      <c r="D215">
        <v>2022</v>
      </c>
      <c r="E215">
        <v>6.7779918001151573</v>
      </c>
      <c r="F215">
        <v>6.1757125573772758</v>
      </c>
      <c r="G215">
        <f t="shared" si="3"/>
        <v>-0.60227924273788158</v>
      </c>
      <c r="H215">
        <v>7.4930942000427699E-4</v>
      </c>
      <c r="I215" t="s">
        <v>79</v>
      </c>
    </row>
    <row r="216" spans="1:9" x14ac:dyDescent="0.35">
      <c r="A216" t="s">
        <v>69</v>
      </c>
      <c r="B216" t="s">
        <v>61</v>
      </c>
      <c r="C216" t="s">
        <v>38</v>
      </c>
      <c r="D216">
        <v>2022</v>
      </c>
      <c r="E216">
        <v>4.547669246739372</v>
      </c>
      <c r="F216">
        <v>6.1757125573772758</v>
      </c>
      <c r="G216">
        <f t="shared" si="3"/>
        <v>1.6280433106379038</v>
      </c>
      <c r="H216">
        <v>7.4930942000427699E-4</v>
      </c>
      <c r="I216" t="s">
        <v>79</v>
      </c>
    </row>
    <row r="217" spans="1:9" x14ac:dyDescent="0.35">
      <c r="A217" t="s">
        <v>69</v>
      </c>
      <c r="B217" t="s">
        <v>62</v>
      </c>
      <c r="C217" t="s">
        <v>40</v>
      </c>
      <c r="D217">
        <v>2022</v>
      </c>
      <c r="E217">
        <v>4.0260894815609127</v>
      </c>
      <c r="F217">
        <v>6.1757125573772758</v>
      </c>
      <c r="G217">
        <f t="shared" si="3"/>
        <v>2.149623075816363</v>
      </c>
      <c r="H217">
        <v>7.4930942000427699E-4</v>
      </c>
      <c r="I217" t="s">
        <v>79</v>
      </c>
    </row>
    <row r="218" spans="1:9" x14ac:dyDescent="0.35">
      <c r="A218" t="s">
        <v>70</v>
      </c>
      <c r="B218" t="s">
        <v>59</v>
      </c>
      <c r="C218" t="s">
        <v>38</v>
      </c>
      <c r="D218">
        <v>2022</v>
      </c>
      <c r="E218">
        <v>2.8272245866406638</v>
      </c>
      <c r="F218">
        <v>0.76006291556467176</v>
      </c>
      <c r="G218">
        <f t="shared" si="3"/>
        <v>-2.0671616710759921</v>
      </c>
      <c r="H218">
        <v>1.923663900762973E-3</v>
      </c>
      <c r="I218" t="s">
        <v>79</v>
      </c>
    </row>
    <row r="219" spans="1:9" x14ac:dyDescent="0.35">
      <c r="A219" t="s">
        <v>70</v>
      </c>
      <c r="B219" t="s">
        <v>60</v>
      </c>
      <c r="C219" t="s">
        <v>40</v>
      </c>
      <c r="D219">
        <v>2022</v>
      </c>
      <c r="E219">
        <v>2.7517012411305108</v>
      </c>
      <c r="F219">
        <v>0.76006291556467176</v>
      </c>
      <c r="G219">
        <f t="shared" si="3"/>
        <v>-1.9916383255658392</v>
      </c>
      <c r="H219">
        <v>1.923663900762973E-3</v>
      </c>
      <c r="I219" t="s">
        <v>79</v>
      </c>
    </row>
    <row r="220" spans="1:9" x14ac:dyDescent="0.35">
      <c r="A220" t="s">
        <v>70</v>
      </c>
      <c r="B220" t="s">
        <v>61</v>
      </c>
      <c r="C220" t="s">
        <v>38</v>
      </c>
      <c r="D220">
        <v>2022</v>
      </c>
      <c r="E220">
        <v>2.327853537647107</v>
      </c>
      <c r="F220">
        <v>0.76006291556467176</v>
      </c>
      <c r="G220">
        <f t="shared" si="3"/>
        <v>-1.5677906220824354</v>
      </c>
      <c r="H220">
        <v>1.923663900762973E-3</v>
      </c>
      <c r="I220" t="s">
        <v>79</v>
      </c>
    </row>
    <row r="221" spans="1:9" x14ac:dyDescent="0.35">
      <c r="A221" t="s">
        <v>70</v>
      </c>
      <c r="B221" t="s">
        <v>62</v>
      </c>
      <c r="C221" t="s">
        <v>40</v>
      </c>
      <c r="D221">
        <v>2022</v>
      </c>
      <c r="E221">
        <v>1.603112304026943</v>
      </c>
      <c r="F221">
        <v>0.76006291556467176</v>
      </c>
      <c r="G221">
        <f t="shared" si="3"/>
        <v>-0.84304938846227129</v>
      </c>
      <c r="H221">
        <v>1.923663900762973E-3</v>
      </c>
      <c r="I221" t="s">
        <v>79</v>
      </c>
    </row>
    <row r="222" spans="1:9" x14ac:dyDescent="0.35">
      <c r="A222" t="s">
        <v>75</v>
      </c>
      <c r="B222" t="s">
        <v>59</v>
      </c>
      <c r="C222" t="s">
        <v>38</v>
      </c>
      <c r="D222">
        <v>2022</v>
      </c>
      <c r="E222">
        <v>4.2689191687874661</v>
      </c>
      <c r="F222">
        <v>4.8546134866977511</v>
      </c>
      <c r="G222">
        <f t="shared" si="3"/>
        <v>0.58569431791028492</v>
      </c>
      <c r="H222">
        <v>1.312969725716661E-3</v>
      </c>
      <c r="I222" t="s">
        <v>79</v>
      </c>
    </row>
    <row r="223" spans="1:9" x14ac:dyDescent="0.35">
      <c r="A223" t="s">
        <v>75</v>
      </c>
      <c r="B223" t="s">
        <v>60</v>
      </c>
      <c r="C223" t="s">
        <v>40</v>
      </c>
      <c r="D223">
        <v>2022</v>
      </c>
      <c r="E223">
        <v>4.3934586282645904</v>
      </c>
      <c r="F223">
        <v>4.8546134866977511</v>
      </c>
      <c r="G223">
        <f t="shared" si="3"/>
        <v>0.46115485843316062</v>
      </c>
      <c r="H223">
        <v>1.312969725716661E-3</v>
      </c>
      <c r="I223" t="s">
        <v>79</v>
      </c>
    </row>
    <row r="224" spans="1:9" x14ac:dyDescent="0.35">
      <c r="A224" t="s">
        <v>75</v>
      </c>
      <c r="B224" t="s">
        <v>61</v>
      </c>
      <c r="C224" t="s">
        <v>38</v>
      </c>
      <c r="D224">
        <v>2022</v>
      </c>
      <c r="E224">
        <v>3.8268920279536989</v>
      </c>
      <c r="F224">
        <v>4.8546134866977511</v>
      </c>
      <c r="G224">
        <f t="shared" si="3"/>
        <v>1.0277214587440522</v>
      </c>
      <c r="H224">
        <v>1.312969725716661E-3</v>
      </c>
      <c r="I224" t="s">
        <v>79</v>
      </c>
    </row>
    <row r="225" spans="1:9" x14ac:dyDescent="0.35">
      <c r="A225" t="s">
        <v>75</v>
      </c>
      <c r="B225" t="s">
        <v>62</v>
      </c>
      <c r="C225" t="s">
        <v>40</v>
      </c>
      <c r="D225">
        <v>2022</v>
      </c>
      <c r="E225">
        <v>2.4256542804822261</v>
      </c>
      <c r="F225">
        <v>4.8546134866977511</v>
      </c>
      <c r="G225">
        <f t="shared" si="3"/>
        <v>2.428959206215525</v>
      </c>
      <c r="H225">
        <v>1.312969725716661E-3</v>
      </c>
      <c r="I225" t="s">
        <v>79</v>
      </c>
    </row>
    <row r="226" spans="1:9" x14ac:dyDescent="0.35">
      <c r="A226" t="s">
        <v>77</v>
      </c>
      <c r="B226" t="s">
        <v>59</v>
      </c>
      <c r="C226" t="s">
        <v>38</v>
      </c>
      <c r="D226">
        <v>2022</v>
      </c>
      <c r="E226">
        <v>5.3212657228810967</v>
      </c>
      <c r="F226">
        <v>6.7526124502433778</v>
      </c>
      <c r="G226">
        <f t="shared" si="3"/>
        <v>1.4313467273622811</v>
      </c>
      <c r="H226">
        <v>1.0726805330251909E-3</v>
      </c>
      <c r="I226" t="s">
        <v>79</v>
      </c>
    </row>
    <row r="227" spans="1:9" x14ac:dyDescent="0.35">
      <c r="A227" t="s">
        <v>77</v>
      </c>
      <c r="B227" t="s">
        <v>60</v>
      </c>
      <c r="C227" t="s">
        <v>40</v>
      </c>
      <c r="D227">
        <v>2022</v>
      </c>
      <c r="E227">
        <v>5.0988792351265078</v>
      </c>
      <c r="F227">
        <v>6.7526124502433778</v>
      </c>
      <c r="G227">
        <f t="shared" si="3"/>
        <v>1.65373321511687</v>
      </c>
      <c r="H227">
        <v>1.0726805330251909E-3</v>
      </c>
      <c r="I227" t="s">
        <v>79</v>
      </c>
    </row>
    <row r="228" spans="1:9" x14ac:dyDescent="0.35">
      <c r="A228" t="s">
        <v>77</v>
      </c>
      <c r="B228" t="s">
        <v>61</v>
      </c>
      <c r="C228" t="s">
        <v>38</v>
      </c>
      <c r="D228">
        <v>2022</v>
      </c>
      <c r="E228">
        <v>6.5861251608809734</v>
      </c>
      <c r="F228">
        <v>6.7526124502433778</v>
      </c>
      <c r="G228">
        <f t="shared" si="3"/>
        <v>0.16648728936240431</v>
      </c>
      <c r="H228">
        <v>1.0726805330251909E-3</v>
      </c>
      <c r="I228" t="s">
        <v>79</v>
      </c>
    </row>
    <row r="229" spans="1:9" x14ac:dyDescent="0.35">
      <c r="A229" t="s">
        <v>77</v>
      </c>
      <c r="B229" t="s">
        <v>62</v>
      </c>
      <c r="C229" t="s">
        <v>40</v>
      </c>
      <c r="D229">
        <v>2022</v>
      </c>
      <c r="E229">
        <v>5.8054687081874778</v>
      </c>
      <c r="F229">
        <v>6.7526124502433778</v>
      </c>
      <c r="G229">
        <f t="shared" si="3"/>
        <v>0.94714374205589991</v>
      </c>
      <c r="H229">
        <v>1.0726805330251909E-3</v>
      </c>
      <c r="I229" t="s">
        <v>79</v>
      </c>
    </row>
    <row r="230" spans="1:9" x14ac:dyDescent="0.35">
      <c r="A230" t="s">
        <v>67</v>
      </c>
      <c r="B230" t="s">
        <v>61</v>
      </c>
      <c r="C230" t="s">
        <v>38</v>
      </c>
      <c r="D230">
        <v>2023</v>
      </c>
      <c r="E230">
        <v>0.1608186912456899</v>
      </c>
      <c r="F230">
        <v>1.5491827810755261</v>
      </c>
      <c r="G230">
        <f t="shared" si="3"/>
        <v>1.3883640898298362</v>
      </c>
      <c r="H230">
        <v>1.324636913672042E-3</v>
      </c>
      <c r="I230" t="s">
        <v>79</v>
      </c>
    </row>
    <row r="231" spans="1:9" x14ac:dyDescent="0.35">
      <c r="A231" t="s">
        <v>67</v>
      </c>
      <c r="B231" t="s">
        <v>62</v>
      </c>
      <c r="C231" t="s">
        <v>40</v>
      </c>
      <c r="D231">
        <v>2023</v>
      </c>
      <c r="E231">
        <v>1.7766240808305469</v>
      </c>
      <c r="F231">
        <v>1.5491827810755261</v>
      </c>
      <c r="G231">
        <f t="shared" si="3"/>
        <v>-0.22744129975502081</v>
      </c>
      <c r="H231">
        <v>1.324636913672042E-3</v>
      </c>
      <c r="I231" t="s">
        <v>79</v>
      </c>
    </row>
    <row r="232" spans="1:9" x14ac:dyDescent="0.35">
      <c r="A232" t="s">
        <v>67</v>
      </c>
      <c r="B232" t="s">
        <v>63</v>
      </c>
      <c r="C232" t="s">
        <v>38</v>
      </c>
      <c r="D232">
        <v>2023</v>
      </c>
      <c r="E232">
        <v>1.44096095579862</v>
      </c>
      <c r="F232">
        <v>1.5491827810755261</v>
      </c>
      <c r="G232">
        <f t="shared" si="3"/>
        <v>0.10822182527690605</v>
      </c>
      <c r="H232">
        <v>1.324636913672042E-3</v>
      </c>
      <c r="I232" t="s">
        <v>79</v>
      </c>
    </row>
    <row r="233" spans="1:9" x14ac:dyDescent="0.35">
      <c r="A233" t="s">
        <v>67</v>
      </c>
      <c r="B233" t="s">
        <v>64</v>
      </c>
      <c r="C233" t="s">
        <v>40</v>
      </c>
      <c r="D233">
        <v>2023</v>
      </c>
      <c r="E233">
        <v>1.2330728065618859</v>
      </c>
      <c r="F233">
        <v>1.5491827810755261</v>
      </c>
      <c r="G233">
        <f t="shared" si="3"/>
        <v>0.3161099745136402</v>
      </c>
      <c r="H233">
        <v>1.324636913672042E-3</v>
      </c>
      <c r="I233" t="s">
        <v>79</v>
      </c>
    </row>
    <row r="234" spans="1:9" x14ac:dyDescent="0.35">
      <c r="A234" t="s">
        <v>69</v>
      </c>
      <c r="B234" t="s">
        <v>61</v>
      </c>
      <c r="C234" t="s">
        <v>38</v>
      </c>
      <c r="D234">
        <v>2023</v>
      </c>
      <c r="E234">
        <v>0.95503996038659444</v>
      </c>
      <c r="F234">
        <v>2.4309784639696339</v>
      </c>
      <c r="G234">
        <f t="shared" si="3"/>
        <v>1.4759385035830395</v>
      </c>
      <c r="H234">
        <v>8.3245038969018029E-4</v>
      </c>
      <c r="I234" t="s">
        <v>79</v>
      </c>
    </row>
    <row r="235" spans="1:9" x14ac:dyDescent="0.35">
      <c r="A235" t="s">
        <v>69</v>
      </c>
      <c r="B235" t="s">
        <v>62</v>
      </c>
      <c r="C235" t="s">
        <v>40</v>
      </c>
      <c r="D235">
        <v>2023</v>
      </c>
      <c r="E235">
        <v>3.3729684974310499</v>
      </c>
      <c r="F235">
        <v>2.4309784639696339</v>
      </c>
      <c r="G235">
        <f t="shared" si="3"/>
        <v>-0.94199003346141597</v>
      </c>
      <c r="H235">
        <v>8.3245038969018029E-4</v>
      </c>
      <c r="I235" t="s">
        <v>79</v>
      </c>
    </row>
    <row r="236" spans="1:9" x14ac:dyDescent="0.35">
      <c r="A236" t="s">
        <v>69</v>
      </c>
      <c r="B236" t="s">
        <v>63</v>
      </c>
      <c r="C236" t="s">
        <v>38</v>
      </c>
      <c r="D236">
        <v>2023</v>
      </c>
      <c r="E236">
        <v>2.3654844972287088</v>
      </c>
      <c r="F236">
        <v>2.4309784639696339</v>
      </c>
      <c r="G236">
        <f t="shared" si="3"/>
        <v>6.5493966740925114E-2</v>
      </c>
      <c r="H236">
        <v>8.3245038969018029E-4</v>
      </c>
      <c r="I236" t="s">
        <v>79</v>
      </c>
    </row>
    <row r="237" spans="1:9" x14ac:dyDescent="0.35">
      <c r="A237" t="s">
        <v>69</v>
      </c>
      <c r="B237" t="s">
        <v>64</v>
      </c>
      <c r="C237" t="s">
        <v>40</v>
      </c>
      <c r="D237">
        <v>2023</v>
      </c>
      <c r="E237">
        <v>1.9366811763456671</v>
      </c>
      <c r="F237">
        <v>2.4309784639696339</v>
      </c>
      <c r="G237">
        <f t="shared" si="3"/>
        <v>0.49429728762396685</v>
      </c>
      <c r="H237">
        <v>8.3245038969018029E-4</v>
      </c>
      <c r="I237" t="s">
        <v>79</v>
      </c>
    </row>
    <row r="238" spans="1:9" x14ac:dyDescent="0.35">
      <c r="A238" t="s">
        <v>70</v>
      </c>
      <c r="B238" t="s">
        <v>61</v>
      </c>
      <c r="C238" t="s">
        <v>38</v>
      </c>
      <c r="D238">
        <v>2023</v>
      </c>
      <c r="E238">
        <v>0.23998786112824361</v>
      </c>
      <c r="F238">
        <v>-1.2980054053073831</v>
      </c>
      <c r="G238">
        <f t="shared" si="3"/>
        <v>-1.5379932664356266</v>
      </c>
      <c r="H238">
        <v>2.503328687020895E-3</v>
      </c>
      <c r="I238" t="s">
        <v>79</v>
      </c>
    </row>
    <row r="239" spans="1:9" x14ac:dyDescent="0.35">
      <c r="A239" t="s">
        <v>70</v>
      </c>
      <c r="B239" t="s">
        <v>62</v>
      </c>
      <c r="C239" t="s">
        <v>40</v>
      </c>
      <c r="D239">
        <v>2023</v>
      </c>
      <c r="E239">
        <v>1.664320363648697</v>
      </c>
      <c r="F239">
        <v>-1.2980054053073831</v>
      </c>
      <c r="G239">
        <f t="shared" si="3"/>
        <v>-2.96232576895608</v>
      </c>
      <c r="H239">
        <v>2.503328687020895E-3</v>
      </c>
      <c r="I239" t="s">
        <v>79</v>
      </c>
    </row>
    <row r="240" spans="1:9" x14ac:dyDescent="0.35">
      <c r="A240" t="s">
        <v>70</v>
      </c>
      <c r="B240" t="s">
        <v>63</v>
      </c>
      <c r="C240" t="s">
        <v>38</v>
      </c>
      <c r="D240">
        <v>2023</v>
      </c>
      <c r="E240">
        <v>0.13705974715647609</v>
      </c>
      <c r="F240">
        <v>-1.2980054053073831</v>
      </c>
      <c r="G240">
        <f t="shared" si="3"/>
        <v>-1.4350651524638591</v>
      </c>
      <c r="H240">
        <v>2.503328687020895E-3</v>
      </c>
      <c r="I240" t="s">
        <v>79</v>
      </c>
    </row>
    <row r="241" spans="1:9" x14ac:dyDescent="0.35">
      <c r="A241" t="s">
        <v>70</v>
      </c>
      <c r="B241" t="s">
        <v>64</v>
      </c>
      <c r="C241" t="s">
        <v>40</v>
      </c>
      <c r="D241">
        <v>2023</v>
      </c>
      <c r="E241">
        <v>0.1978909161836295</v>
      </c>
      <c r="F241">
        <v>-1.2980054053073831</v>
      </c>
      <c r="G241">
        <f t="shared" si="3"/>
        <v>-1.4958963214910126</v>
      </c>
      <c r="H241">
        <v>2.503328687020895E-3</v>
      </c>
      <c r="I241" t="s">
        <v>79</v>
      </c>
    </row>
    <row r="242" spans="1:9" x14ac:dyDescent="0.35">
      <c r="A242" t="s">
        <v>73</v>
      </c>
      <c r="B242" t="s">
        <v>61</v>
      </c>
      <c r="C242" t="s">
        <v>38</v>
      </c>
      <c r="D242">
        <v>2023</v>
      </c>
      <c r="E242">
        <v>0.43950651458626311</v>
      </c>
      <c r="F242">
        <v>1.8022470831755071</v>
      </c>
      <c r="G242">
        <f t="shared" si="3"/>
        <v>1.362740568589244</v>
      </c>
      <c r="H242">
        <v>2.5946260117071041E-3</v>
      </c>
      <c r="I242" t="s">
        <v>79</v>
      </c>
    </row>
    <row r="243" spans="1:9" x14ac:dyDescent="0.35">
      <c r="A243" t="s">
        <v>73</v>
      </c>
      <c r="B243" t="s">
        <v>62</v>
      </c>
      <c r="C243" t="s">
        <v>40</v>
      </c>
      <c r="D243">
        <v>2023</v>
      </c>
      <c r="E243">
        <v>1.7691091240616961</v>
      </c>
      <c r="F243">
        <v>1.8022470831755071</v>
      </c>
      <c r="G243">
        <f t="shared" si="3"/>
        <v>3.3137959113811011E-2</v>
      </c>
      <c r="H243">
        <v>2.5946260117071041E-3</v>
      </c>
      <c r="I243" t="s">
        <v>79</v>
      </c>
    </row>
    <row r="244" spans="1:9" x14ac:dyDescent="0.35">
      <c r="A244" t="s">
        <v>73</v>
      </c>
      <c r="B244" t="s">
        <v>63</v>
      </c>
      <c r="C244" t="s">
        <v>38</v>
      </c>
      <c r="D244">
        <v>2023</v>
      </c>
      <c r="E244">
        <v>1.0022762950343991</v>
      </c>
      <c r="F244">
        <v>1.8022470831755071</v>
      </c>
      <c r="G244">
        <f t="shared" si="3"/>
        <v>0.799970788141108</v>
      </c>
      <c r="H244">
        <v>2.5946260117071041E-3</v>
      </c>
      <c r="I244" t="s">
        <v>79</v>
      </c>
    </row>
    <row r="245" spans="1:9" x14ac:dyDescent="0.35">
      <c r="A245" t="s">
        <v>73</v>
      </c>
      <c r="B245" t="s">
        <v>64</v>
      </c>
      <c r="C245" t="s">
        <v>40</v>
      </c>
      <c r="D245">
        <v>2023</v>
      </c>
      <c r="E245">
        <v>0.72426026364131868</v>
      </c>
      <c r="F245">
        <v>1.8022470831755071</v>
      </c>
      <c r="G245">
        <f t="shared" si="3"/>
        <v>1.0779868195341884</v>
      </c>
      <c r="H245">
        <v>2.5946260117071041E-3</v>
      </c>
      <c r="I245" t="s">
        <v>79</v>
      </c>
    </row>
    <row r="246" spans="1:9" x14ac:dyDescent="0.35">
      <c r="A246" t="s">
        <v>75</v>
      </c>
      <c r="B246" t="s">
        <v>61</v>
      </c>
      <c r="C246" t="s">
        <v>38</v>
      </c>
      <c r="D246">
        <v>2023</v>
      </c>
      <c r="E246">
        <v>0.31473715860916851</v>
      </c>
      <c r="F246">
        <v>1.014274087639002</v>
      </c>
      <c r="G246">
        <f t="shared" si="3"/>
        <v>0.69953692902983344</v>
      </c>
      <c r="H246">
        <v>1.28816868967217E-3</v>
      </c>
      <c r="I246" t="s">
        <v>79</v>
      </c>
    </row>
    <row r="247" spans="1:9" x14ac:dyDescent="0.35">
      <c r="A247" t="s">
        <v>75</v>
      </c>
      <c r="B247" t="s">
        <v>62</v>
      </c>
      <c r="C247" t="s">
        <v>40</v>
      </c>
      <c r="D247">
        <v>2023</v>
      </c>
      <c r="E247">
        <v>1.851291422718337</v>
      </c>
      <c r="F247">
        <v>1.014274087639002</v>
      </c>
      <c r="G247">
        <f t="shared" si="3"/>
        <v>-0.83701733507933507</v>
      </c>
      <c r="H247">
        <v>1.28816868967217E-3</v>
      </c>
      <c r="I247" t="s">
        <v>79</v>
      </c>
    </row>
    <row r="248" spans="1:9" x14ac:dyDescent="0.35">
      <c r="A248" t="s">
        <v>75</v>
      </c>
      <c r="B248" t="s">
        <v>63</v>
      </c>
      <c r="C248" t="s">
        <v>38</v>
      </c>
      <c r="D248">
        <v>2023</v>
      </c>
      <c r="E248">
        <v>0.69157318051265015</v>
      </c>
      <c r="F248">
        <v>1.014274087639002</v>
      </c>
      <c r="G248">
        <f t="shared" si="3"/>
        <v>0.3227009071263518</v>
      </c>
      <c r="H248">
        <v>1.28816868967217E-3</v>
      </c>
      <c r="I248" t="s">
        <v>79</v>
      </c>
    </row>
    <row r="249" spans="1:9" x14ac:dyDescent="0.35">
      <c r="A249" t="s">
        <v>75</v>
      </c>
      <c r="B249" t="s">
        <v>64</v>
      </c>
      <c r="C249" t="s">
        <v>40</v>
      </c>
      <c r="D249">
        <v>2023</v>
      </c>
      <c r="E249">
        <v>1.206598132351089</v>
      </c>
      <c r="F249">
        <v>1.014274087639002</v>
      </c>
      <c r="G249">
        <f t="shared" si="3"/>
        <v>-0.19232404471208708</v>
      </c>
      <c r="H249">
        <v>1.28816868967217E-3</v>
      </c>
      <c r="I249" t="s">
        <v>79</v>
      </c>
    </row>
    <row r="250" spans="1:9" x14ac:dyDescent="0.35">
      <c r="A250" t="s">
        <v>77</v>
      </c>
      <c r="B250" t="s">
        <v>61</v>
      </c>
      <c r="C250" t="s">
        <v>38</v>
      </c>
      <c r="D250">
        <v>2023</v>
      </c>
      <c r="E250">
        <v>0.71696140778811923</v>
      </c>
      <c r="F250">
        <v>3.0529202104847739</v>
      </c>
      <c r="G250">
        <f t="shared" si="3"/>
        <v>2.3359588026966547</v>
      </c>
      <c r="H250">
        <v>9.9804011718640203E-4</v>
      </c>
      <c r="I250" t="s">
        <v>79</v>
      </c>
    </row>
    <row r="251" spans="1:9" x14ac:dyDescent="0.35">
      <c r="A251" t="s">
        <v>77</v>
      </c>
      <c r="B251" t="s">
        <v>62</v>
      </c>
      <c r="C251" t="s">
        <v>40</v>
      </c>
      <c r="D251">
        <v>2023</v>
      </c>
      <c r="E251">
        <v>2.6604918870074319</v>
      </c>
      <c r="F251">
        <v>3.0529202104847739</v>
      </c>
      <c r="G251">
        <f t="shared" si="3"/>
        <v>0.39242832347734202</v>
      </c>
      <c r="H251">
        <v>9.9804011718640203E-4</v>
      </c>
      <c r="I251" t="s">
        <v>79</v>
      </c>
    </row>
    <row r="252" spans="1:9" x14ac:dyDescent="0.35">
      <c r="A252" t="s">
        <v>77</v>
      </c>
      <c r="B252" t="s">
        <v>63</v>
      </c>
      <c r="C252" t="s">
        <v>38</v>
      </c>
      <c r="D252">
        <v>2023</v>
      </c>
      <c r="E252">
        <v>2.226883105497079</v>
      </c>
      <c r="F252">
        <v>3.0529202104847739</v>
      </c>
      <c r="G252">
        <f t="shared" si="3"/>
        <v>0.82603710498769489</v>
      </c>
      <c r="H252">
        <v>9.9804011718640203E-4</v>
      </c>
      <c r="I252" t="s">
        <v>79</v>
      </c>
    </row>
    <row r="253" spans="1:9" x14ac:dyDescent="0.35">
      <c r="A253" t="s">
        <v>77</v>
      </c>
      <c r="B253" t="s">
        <v>64</v>
      </c>
      <c r="C253" t="s">
        <v>40</v>
      </c>
      <c r="D253">
        <v>2023</v>
      </c>
      <c r="E253">
        <v>2.4387614512581202</v>
      </c>
      <c r="F253">
        <v>3.0529202104847739</v>
      </c>
      <c r="G253">
        <f t="shared" si="3"/>
        <v>0.61415875922665375</v>
      </c>
      <c r="H253">
        <v>9.9804011718640203E-4</v>
      </c>
      <c r="I253" t="s">
        <v>79</v>
      </c>
    </row>
    <row r="254" spans="1:9" x14ac:dyDescent="0.35">
      <c r="A254" t="s">
        <v>67</v>
      </c>
      <c r="B254" t="s">
        <v>63</v>
      </c>
      <c r="C254" t="s">
        <v>38</v>
      </c>
      <c r="D254">
        <v>2024</v>
      </c>
      <c r="E254">
        <v>1.366814397179428</v>
      </c>
      <c r="F254">
        <v>1.0917584184985489</v>
      </c>
      <c r="G254">
        <f t="shared" si="3"/>
        <v>-0.27505597868087905</v>
      </c>
      <c r="H254">
        <v>1.372182399148419E-3</v>
      </c>
      <c r="I254" t="s">
        <v>79</v>
      </c>
    </row>
    <row r="255" spans="1:9" x14ac:dyDescent="0.35">
      <c r="A255" t="s">
        <v>67</v>
      </c>
      <c r="B255" t="s">
        <v>64</v>
      </c>
      <c r="C255" t="s">
        <v>40</v>
      </c>
      <c r="D255">
        <v>2024</v>
      </c>
      <c r="E255">
        <v>1.3611844962323929</v>
      </c>
      <c r="F255">
        <v>1.0917584184985489</v>
      </c>
      <c r="G255">
        <f t="shared" si="3"/>
        <v>-0.26942607773384397</v>
      </c>
      <c r="H255">
        <v>1.372182399148419E-3</v>
      </c>
      <c r="I255" t="s">
        <v>79</v>
      </c>
    </row>
    <row r="256" spans="1:9" x14ac:dyDescent="0.35">
      <c r="A256" t="s">
        <v>67</v>
      </c>
      <c r="B256" t="s">
        <v>65</v>
      </c>
      <c r="C256" t="s">
        <v>38</v>
      </c>
      <c r="D256">
        <v>2024</v>
      </c>
      <c r="E256">
        <v>1.144309940913812</v>
      </c>
      <c r="F256">
        <v>1.0917584184985489</v>
      </c>
      <c r="G256">
        <f t="shared" si="3"/>
        <v>-5.2551522415263063E-2</v>
      </c>
      <c r="H256">
        <v>1.372182399148419E-3</v>
      </c>
      <c r="I256" t="s">
        <v>79</v>
      </c>
    </row>
    <row r="257" spans="1:9" x14ac:dyDescent="0.35">
      <c r="A257" t="s">
        <v>67</v>
      </c>
      <c r="B257" t="s">
        <v>66</v>
      </c>
      <c r="C257" t="s">
        <v>40</v>
      </c>
      <c r="D257">
        <v>2024</v>
      </c>
      <c r="E257">
        <v>1.2741731353000501</v>
      </c>
      <c r="F257">
        <v>1.0917584184985489</v>
      </c>
      <c r="G257">
        <f t="shared" si="3"/>
        <v>-0.18241471680150112</v>
      </c>
      <c r="H257">
        <v>1.372182399148419E-3</v>
      </c>
      <c r="I257" t="s">
        <v>79</v>
      </c>
    </row>
    <row r="258" spans="1:9" x14ac:dyDescent="0.35">
      <c r="A258" t="s">
        <v>69</v>
      </c>
      <c r="B258" t="s">
        <v>63</v>
      </c>
      <c r="C258" t="s">
        <v>38</v>
      </c>
      <c r="D258">
        <v>2024</v>
      </c>
      <c r="E258">
        <v>1.660542743130144</v>
      </c>
      <c r="F258">
        <v>3.3969031373447791</v>
      </c>
      <c r="G258">
        <f t="shared" ref="G258:G321" si="4">IF(OR(F258="",E258=""),"",F258-E258)</f>
        <v>1.7363603942146351</v>
      </c>
      <c r="H258">
        <v>8.3940839252033268E-4</v>
      </c>
      <c r="I258" t="s">
        <v>79</v>
      </c>
    </row>
    <row r="259" spans="1:9" x14ac:dyDescent="0.35">
      <c r="A259" t="s">
        <v>69</v>
      </c>
      <c r="B259" t="s">
        <v>64</v>
      </c>
      <c r="C259" t="s">
        <v>40</v>
      </c>
      <c r="D259">
        <v>2024</v>
      </c>
      <c r="E259">
        <v>1.9648768473316871</v>
      </c>
      <c r="F259">
        <v>3.3969031373447791</v>
      </c>
      <c r="G259">
        <f t="shared" si="4"/>
        <v>1.432026290013092</v>
      </c>
      <c r="H259">
        <v>8.3940839252033268E-4</v>
      </c>
      <c r="I259" t="s">
        <v>79</v>
      </c>
    </row>
    <row r="260" spans="1:9" x14ac:dyDescent="0.35">
      <c r="A260" t="s">
        <v>69</v>
      </c>
      <c r="B260" t="s">
        <v>65</v>
      </c>
      <c r="C260" t="s">
        <v>38</v>
      </c>
      <c r="D260">
        <v>2024</v>
      </c>
      <c r="E260">
        <v>2.966936931003072</v>
      </c>
      <c r="F260">
        <v>3.3969031373447791</v>
      </c>
      <c r="G260">
        <f t="shared" si="4"/>
        <v>0.42996620634170712</v>
      </c>
      <c r="H260">
        <v>8.3940839252033268E-4</v>
      </c>
      <c r="I260" t="s">
        <v>79</v>
      </c>
    </row>
    <row r="261" spans="1:9" x14ac:dyDescent="0.35">
      <c r="A261" t="s">
        <v>69</v>
      </c>
      <c r="B261" t="s">
        <v>66</v>
      </c>
      <c r="C261" t="s">
        <v>40</v>
      </c>
      <c r="D261">
        <v>2024</v>
      </c>
      <c r="E261">
        <v>2.1447304612078222</v>
      </c>
      <c r="F261">
        <v>3.3969031373447791</v>
      </c>
      <c r="G261">
        <f t="shared" si="4"/>
        <v>1.2521726761369569</v>
      </c>
      <c r="H261">
        <v>8.3940839252033268E-4</v>
      </c>
      <c r="I261" t="s">
        <v>79</v>
      </c>
    </row>
    <row r="262" spans="1:9" x14ac:dyDescent="0.35">
      <c r="A262" t="s">
        <v>70</v>
      </c>
      <c r="B262" t="s">
        <v>63</v>
      </c>
      <c r="C262" t="s">
        <v>38</v>
      </c>
      <c r="D262">
        <v>2024</v>
      </c>
      <c r="E262">
        <v>0.82599219561030335</v>
      </c>
      <c r="F262">
        <v>0.8814466149882676</v>
      </c>
      <c r="G262">
        <f t="shared" si="4"/>
        <v>5.5454419377964248E-2</v>
      </c>
      <c r="H262">
        <v>2.4884109011011962E-3</v>
      </c>
      <c r="I262" t="s">
        <v>79</v>
      </c>
    </row>
    <row r="263" spans="1:9" x14ac:dyDescent="0.35">
      <c r="A263" t="s">
        <v>70</v>
      </c>
      <c r="B263" t="s">
        <v>64</v>
      </c>
      <c r="C263" t="s">
        <v>40</v>
      </c>
      <c r="D263">
        <v>2024</v>
      </c>
      <c r="E263">
        <v>1.375433393552461</v>
      </c>
      <c r="F263">
        <v>0.8814466149882676</v>
      </c>
      <c r="G263">
        <f t="shared" si="4"/>
        <v>-0.49398677856419337</v>
      </c>
      <c r="H263">
        <v>2.4884109011011962E-3</v>
      </c>
      <c r="I263" t="s">
        <v>79</v>
      </c>
    </row>
    <row r="264" spans="1:9" x14ac:dyDescent="0.35">
      <c r="A264" t="s">
        <v>70</v>
      </c>
      <c r="B264" t="s">
        <v>65</v>
      </c>
      <c r="C264" t="s">
        <v>38</v>
      </c>
      <c r="D264">
        <v>2024</v>
      </c>
      <c r="E264">
        <v>-0.27816035844419051</v>
      </c>
      <c r="F264">
        <v>0.8814466149882676</v>
      </c>
      <c r="G264">
        <f t="shared" si="4"/>
        <v>1.1596069734324581</v>
      </c>
      <c r="H264">
        <v>2.4884109011011962E-3</v>
      </c>
      <c r="I264" t="s">
        <v>79</v>
      </c>
    </row>
    <row r="265" spans="1:9" x14ac:dyDescent="0.35">
      <c r="A265" t="s">
        <v>70</v>
      </c>
      <c r="B265" t="s">
        <v>66</v>
      </c>
      <c r="C265" t="s">
        <v>40</v>
      </c>
      <c r="D265">
        <v>2024</v>
      </c>
      <c r="E265">
        <v>3.9573385924840387E-2</v>
      </c>
      <c r="F265">
        <v>0.8814466149882676</v>
      </c>
      <c r="G265">
        <f t="shared" si="4"/>
        <v>0.84187322906342721</v>
      </c>
      <c r="H265">
        <v>2.4884109011011962E-3</v>
      </c>
      <c r="I265" t="s">
        <v>79</v>
      </c>
    </row>
    <row r="266" spans="1:9" x14ac:dyDescent="0.35">
      <c r="A266" t="s">
        <v>75</v>
      </c>
      <c r="B266" t="s">
        <v>63</v>
      </c>
      <c r="C266" t="s">
        <v>38</v>
      </c>
      <c r="D266">
        <v>2024</v>
      </c>
      <c r="E266">
        <v>0.85219564942633497</v>
      </c>
      <c r="F266">
        <v>0.58463257989526929</v>
      </c>
      <c r="G266">
        <f t="shared" si="4"/>
        <v>-0.26756306953106568</v>
      </c>
      <c r="H266">
        <v>1.194863073206081E-3</v>
      </c>
      <c r="I266" t="s">
        <v>79</v>
      </c>
    </row>
    <row r="267" spans="1:9" x14ac:dyDescent="0.35">
      <c r="A267" t="s">
        <v>75</v>
      </c>
      <c r="B267" t="s">
        <v>64</v>
      </c>
      <c r="C267" t="s">
        <v>40</v>
      </c>
      <c r="D267">
        <v>2024</v>
      </c>
      <c r="E267">
        <v>1.088219792885559</v>
      </c>
      <c r="F267">
        <v>0.58463257989526929</v>
      </c>
      <c r="G267">
        <f t="shared" si="4"/>
        <v>-0.50358721299028975</v>
      </c>
      <c r="H267">
        <v>1.194863073206081E-3</v>
      </c>
      <c r="I267" t="s">
        <v>79</v>
      </c>
    </row>
    <row r="268" spans="1:9" x14ac:dyDescent="0.35">
      <c r="A268" t="s">
        <v>75</v>
      </c>
      <c r="B268" t="s">
        <v>65</v>
      </c>
      <c r="C268" t="s">
        <v>38</v>
      </c>
      <c r="D268">
        <v>2024</v>
      </c>
      <c r="E268">
        <v>0.66875073104093463</v>
      </c>
      <c r="F268">
        <v>0.58463257989526929</v>
      </c>
      <c r="G268">
        <f t="shared" si="4"/>
        <v>-8.4118151145665343E-2</v>
      </c>
      <c r="H268">
        <v>1.194863073206081E-3</v>
      </c>
      <c r="I268" t="s">
        <v>79</v>
      </c>
    </row>
    <row r="269" spans="1:9" x14ac:dyDescent="0.35">
      <c r="A269" t="s">
        <v>75</v>
      </c>
      <c r="B269" t="s">
        <v>66</v>
      </c>
      <c r="C269" t="s">
        <v>40</v>
      </c>
      <c r="D269">
        <v>2024</v>
      </c>
      <c r="E269">
        <v>0.93648338218597083</v>
      </c>
      <c r="F269">
        <v>0.58463257989526929</v>
      </c>
      <c r="G269">
        <f t="shared" si="4"/>
        <v>-0.35185080229070154</v>
      </c>
      <c r="H269">
        <v>1.194863073206081E-3</v>
      </c>
      <c r="I269" t="s">
        <v>79</v>
      </c>
    </row>
    <row r="270" spans="1:9" x14ac:dyDescent="0.35">
      <c r="A270" t="s">
        <v>77</v>
      </c>
      <c r="B270" t="s">
        <v>63</v>
      </c>
      <c r="C270" t="s">
        <v>38</v>
      </c>
      <c r="D270">
        <v>2024</v>
      </c>
      <c r="E270">
        <v>1.3133477904788251</v>
      </c>
      <c r="F270">
        <v>2.1904072780361381</v>
      </c>
      <c r="G270">
        <f t="shared" si="4"/>
        <v>0.877059487557313</v>
      </c>
      <c r="H270">
        <v>9.9939188696901698E-4</v>
      </c>
      <c r="I270" t="s">
        <v>79</v>
      </c>
    </row>
    <row r="271" spans="1:9" x14ac:dyDescent="0.35">
      <c r="A271" t="s">
        <v>77</v>
      </c>
      <c r="B271" t="s">
        <v>64</v>
      </c>
      <c r="C271" t="s">
        <v>40</v>
      </c>
      <c r="D271">
        <v>2024</v>
      </c>
      <c r="E271">
        <v>1.7569161258840891</v>
      </c>
      <c r="F271">
        <v>2.1904072780361381</v>
      </c>
      <c r="G271">
        <f t="shared" si="4"/>
        <v>0.43349115215204903</v>
      </c>
      <c r="H271">
        <v>9.9939188696901698E-4</v>
      </c>
      <c r="I271" t="s">
        <v>79</v>
      </c>
    </row>
    <row r="272" spans="1:9" x14ac:dyDescent="0.35">
      <c r="A272" t="s">
        <v>77</v>
      </c>
      <c r="B272" t="s">
        <v>65</v>
      </c>
      <c r="C272" t="s">
        <v>38</v>
      </c>
      <c r="D272">
        <v>2024</v>
      </c>
      <c r="E272">
        <v>1.6514732694230541</v>
      </c>
      <c r="F272">
        <v>2.1904072780361381</v>
      </c>
      <c r="G272">
        <f t="shared" si="4"/>
        <v>0.53893400861308405</v>
      </c>
      <c r="H272">
        <v>9.9939188696901698E-4</v>
      </c>
      <c r="I272" t="s">
        <v>79</v>
      </c>
    </row>
    <row r="273" spans="1:9" x14ac:dyDescent="0.35">
      <c r="A273" t="s">
        <v>77</v>
      </c>
      <c r="B273" t="s">
        <v>66</v>
      </c>
      <c r="C273" t="s">
        <v>40</v>
      </c>
      <c r="D273">
        <v>2024</v>
      </c>
      <c r="E273">
        <v>1.734179743438991</v>
      </c>
      <c r="F273">
        <v>2.1904072780361381</v>
      </c>
      <c r="G273">
        <f t="shared" si="4"/>
        <v>0.45622753459714716</v>
      </c>
      <c r="H273">
        <v>9.9939188696901698E-4</v>
      </c>
      <c r="I273" t="s">
        <v>79</v>
      </c>
    </row>
    <row r="274" spans="1:9" x14ac:dyDescent="0.35">
      <c r="A274" t="s">
        <v>67</v>
      </c>
      <c r="B274" t="s">
        <v>65</v>
      </c>
      <c r="C274" t="s">
        <v>38</v>
      </c>
      <c r="D274">
        <v>2025</v>
      </c>
      <c r="E274">
        <v>1.2445832169132749</v>
      </c>
      <c r="F274">
        <v>0.97833513074895262</v>
      </c>
      <c r="G274">
        <f t="shared" si="4"/>
        <v>-0.26624808616432227</v>
      </c>
      <c r="H274">
        <v>1.372182399148419E-3</v>
      </c>
      <c r="I274" t="s">
        <v>79</v>
      </c>
    </row>
    <row r="275" spans="1:9" x14ac:dyDescent="0.35">
      <c r="A275" t="s">
        <v>67</v>
      </c>
      <c r="B275" t="s">
        <v>66</v>
      </c>
      <c r="C275" t="s">
        <v>40</v>
      </c>
      <c r="D275">
        <v>2025</v>
      </c>
      <c r="E275">
        <v>1.3772936758912999</v>
      </c>
      <c r="F275">
        <v>0.97833513074895262</v>
      </c>
      <c r="G275">
        <f t="shared" si="4"/>
        <v>-0.3989585451423473</v>
      </c>
      <c r="H275">
        <v>1.372182399148419E-3</v>
      </c>
      <c r="I275" t="s">
        <v>79</v>
      </c>
    </row>
    <row r="276" spans="1:9" x14ac:dyDescent="0.35">
      <c r="A276" t="s">
        <v>67</v>
      </c>
      <c r="B276" t="s">
        <v>71</v>
      </c>
      <c r="C276" t="s">
        <v>38</v>
      </c>
      <c r="D276">
        <v>2025</v>
      </c>
      <c r="E276">
        <v>0.99784735760106713</v>
      </c>
      <c r="F276">
        <v>0.97833513074895262</v>
      </c>
      <c r="G276">
        <f t="shared" si="4"/>
        <v>-1.9512226852114511E-2</v>
      </c>
      <c r="H276">
        <v>1.372182399148419E-3</v>
      </c>
      <c r="I276" t="s">
        <v>79</v>
      </c>
    </row>
    <row r="277" spans="1:9" x14ac:dyDescent="0.35">
      <c r="A277" t="s">
        <v>67</v>
      </c>
      <c r="B277" t="s">
        <v>72</v>
      </c>
      <c r="C277" t="s">
        <v>40</v>
      </c>
      <c r="D277">
        <v>2025</v>
      </c>
      <c r="E277">
        <v>0.76893815941332377</v>
      </c>
      <c r="F277">
        <v>0.97833513074895262</v>
      </c>
      <c r="G277">
        <f t="shared" si="4"/>
        <v>0.20939697133562885</v>
      </c>
      <c r="H277">
        <v>1.372182399148419E-3</v>
      </c>
      <c r="I277" t="s">
        <v>79</v>
      </c>
    </row>
    <row r="278" spans="1:9" x14ac:dyDescent="0.35">
      <c r="A278" t="s">
        <v>69</v>
      </c>
      <c r="B278" t="s">
        <v>65</v>
      </c>
      <c r="C278" t="s">
        <v>38</v>
      </c>
      <c r="D278">
        <v>2025</v>
      </c>
      <c r="E278">
        <v>2.3460653050844331</v>
      </c>
      <c r="F278">
        <v>2.7857852243734129</v>
      </c>
      <c r="G278">
        <f t="shared" si="4"/>
        <v>0.4397199192889798</v>
      </c>
      <c r="H278">
        <v>8.3940839252033268E-4</v>
      </c>
      <c r="I278" t="s">
        <v>79</v>
      </c>
    </row>
    <row r="279" spans="1:9" x14ac:dyDescent="0.35">
      <c r="A279" t="s">
        <v>69</v>
      </c>
      <c r="B279" t="s">
        <v>66</v>
      </c>
      <c r="C279" t="s">
        <v>40</v>
      </c>
      <c r="D279">
        <v>2025</v>
      </c>
      <c r="E279">
        <v>1.947420292593427</v>
      </c>
      <c r="F279">
        <v>2.7857852243734129</v>
      </c>
      <c r="G279">
        <f t="shared" si="4"/>
        <v>0.83836493177998594</v>
      </c>
      <c r="H279">
        <v>8.3940839252033268E-4</v>
      </c>
      <c r="I279" t="s">
        <v>79</v>
      </c>
    </row>
    <row r="280" spans="1:9" x14ac:dyDescent="0.35">
      <c r="A280" t="s">
        <v>69</v>
      </c>
      <c r="B280" t="s">
        <v>71</v>
      </c>
      <c r="C280" t="s">
        <v>38</v>
      </c>
      <c r="D280">
        <v>2025</v>
      </c>
      <c r="E280">
        <v>2.8680409593299978</v>
      </c>
      <c r="F280">
        <v>2.7857852243734129</v>
      </c>
      <c r="G280">
        <f t="shared" si="4"/>
        <v>-8.2255734956584892E-2</v>
      </c>
      <c r="H280">
        <v>8.3940839252033268E-4</v>
      </c>
      <c r="I280" t="s">
        <v>79</v>
      </c>
    </row>
    <row r="281" spans="1:9" x14ac:dyDescent="0.35">
      <c r="A281" t="s">
        <v>69</v>
      </c>
      <c r="B281" t="s">
        <v>72</v>
      </c>
      <c r="C281" t="s">
        <v>40</v>
      </c>
      <c r="D281">
        <v>2025</v>
      </c>
      <c r="E281">
        <v>2.5510068501240162</v>
      </c>
      <c r="F281">
        <v>2.7857852243734129</v>
      </c>
      <c r="G281">
        <f t="shared" si="4"/>
        <v>0.23477837424939674</v>
      </c>
      <c r="H281">
        <v>8.3940839252033268E-4</v>
      </c>
      <c r="I281" t="s">
        <v>79</v>
      </c>
    </row>
    <row r="282" spans="1:9" x14ac:dyDescent="0.35">
      <c r="A282" t="s">
        <v>70</v>
      </c>
      <c r="B282" t="s">
        <v>65</v>
      </c>
      <c r="C282" t="s">
        <v>38</v>
      </c>
      <c r="D282">
        <v>2025</v>
      </c>
      <c r="E282">
        <v>1.544507858030109</v>
      </c>
      <c r="F282">
        <v>0.79990149121373022</v>
      </c>
      <c r="G282">
        <f t="shared" si="4"/>
        <v>-0.74460636681637882</v>
      </c>
      <c r="H282">
        <v>2.4884109011011962E-3</v>
      </c>
      <c r="I282" t="s">
        <v>79</v>
      </c>
    </row>
    <row r="283" spans="1:9" x14ac:dyDescent="0.35">
      <c r="A283" t="s">
        <v>70</v>
      </c>
      <c r="B283" t="s">
        <v>66</v>
      </c>
      <c r="C283" t="s">
        <v>40</v>
      </c>
      <c r="D283">
        <v>2025</v>
      </c>
      <c r="E283">
        <v>1.3606562692519699</v>
      </c>
      <c r="F283">
        <v>0.79990149121373022</v>
      </c>
      <c r="G283">
        <f t="shared" si="4"/>
        <v>-0.5607547780382397</v>
      </c>
      <c r="H283">
        <v>2.4884109011011962E-3</v>
      </c>
      <c r="I283" t="s">
        <v>79</v>
      </c>
    </row>
    <row r="284" spans="1:9" x14ac:dyDescent="0.35">
      <c r="A284" t="s">
        <v>70</v>
      </c>
      <c r="B284" t="s">
        <v>71</v>
      </c>
      <c r="C284" t="s">
        <v>38</v>
      </c>
      <c r="D284">
        <v>2025</v>
      </c>
      <c r="E284">
        <v>7.5720238361931536E-2</v>
      </c>
      <c r="F284">
        <v>0.79990149121373022</v>
      </c>
      <c r="G284">
        <f t="shared" si="4"/>
        <v>0.72418125285179868</v>
      </c>
      <c r="H284">
        <v>2.4884109011011962E-3</v>
      </c>
      <c r="I284" t="s">
        <v>79</v>
      </c>
    </row>
    <row r="285" spans="1:9" x14ac:dyDescent="0.35">
      <c r="A285" t="s">
        <v>70</v>
      </c>
      <c r="B285" t="s">
        <v>72</v>
      </c>
      <c r="C285" t="s">
        <v>40</v>
      </c>
      <c r="D285">
        <v>2025</v>
      </c>
      <c r="E285">
        <v>0.97596362509042578</v>
      </c>
      <c r="F285">
        <v>0.79990149121373022</v>
      </c>
      <c r="G285">
        <f t="shared" si="4"/>
        <v>-0.17606213387669556</v>
      </c>
      <c r="H285">
        <v>2.4884109011011962E-3</v>
      </c>
      <c r="I285" t="s">
        <v>79</v>
      </c>
    </row>
    <row r="286" spans="1:9" x14ac:dyDescent="0.35">
      <c r="A286" t="s">
        <v>75</v>
      </c>
      <c r="B286" t="s">
        <v>65</v>
      </c>
      <c r="C286" t="s">
        <v>38</v>
      </c>
      <c r="D286">
        <v>2025</v>
      </c>
      <c r="E286">
        <v>1.0376492446310339</v>
      </c>
      <c r="F286">
        <v>0.66135842759176278</v>
      </c>
      <c r="G286">
        <f t="shared" si="4"/>
        <v>-0.37629081703927114</v>
      </c>
      <c r="H286">
        <v>1.194863073206081E-3</v>
      </c>
      <c r="I286" t="s">
        <v>79</v>
      </c>
    </row>
    <row r="287" spans="1:9" x14ac:dyDescent="0.35">
      <c r="A287" t="s">
        <v>75</v>
      </c>
      <c r="B287" t="s">
        <v>66</v>
      </c>
      <c r="C287" t="s">
        <v>40</v>
      </c>
      <c r="D287">
        <v>2025</v>
      </c>
      <c r="E287">
        <v>1.0979449050216421</v>
      </c>
      <c r="F287">
        <v>0.66135842759176278</v>
      </c>
      <c r="G287">
        <f t="shared" si="4"/>
        <v>-0.43658647742987933</v>
      </c>
      <c r="H287">
        <v>1.194863073206081E-3</v>
      </c>
      <c r="I287" t="s">
        <v>79</v>
      </c>
    </row>
    <row r="288" spans="1:9" x14ac:dyDescent="0.35">
      <c r="A288" t="s">
        <v>75</v>
      </c>
      <c r="B288" t="s">
        <v>71</v>
      </c>
      <c r="C288" t="s">
        <v>38</v>
      </c>
      <c r="D288">
        <v>2025</v>
      </c>
      <c r="E288">
        <v>0.35981622121454843</v>
      </c>
      <c r="F288">
        <v>0.66135842759176278</v>
      </c>
      <c r="G288">
        <f t="shared" si="4"/>
        <v>0.30154220637721435</v>
      </c>
      <c r="H288">
        <v>1.194863073206081E-3</v>
      </c>
      <c r="I288" t="s">
        <v>79</v>
      </c>
    </row>
    <row r="289" spans="1:9" x14ac:dyDescent="0.35">
      <c r="A289" t="s">
        <v>75</v>
      </c>
      <c r="B289" t="s">
        <v>72</v>
      </c>
      <c r="C289" t="s">
        <v>40</v>
      </c>
      <c r="D289">
        <v>2025</v>
      </c>
      <c r="E289">
        <v>0.66447930597219873</v>
      </c>
      <c r="F289">
        <v>0.66135842759176278</v>
      </c>
      <c r="G289">
        <f t="shared" si="4"/>
        <v>-3.1208783804359541E-3</v>
      </c>
      <c r="H289">
        <v>1.194863073206081E-3</v>
      </c>
      <c r="I289" t="s">
        <v>79</v>
      </c>
    </row>
    <row r="290" spans="1:9" x14ac:dyDescent="0.35">
      <c r="A290" t="s">
        <v>77</v>
      </c>
      <c r="B290" t="s">
        <v>65</v>
      </c>
      <c r="C290" t="s">
        <v>38</v>
      </c>
      <c r="D290">
        <v>2025</v>
      </c>
      <c r="E290">
        <v>1.851074416505627</v>
      </c>
      <c r="F290">
        <v>1.8442000090405599</v>
      </c>
      <c r="G290">
        <f t="shared" si="4"/>
        <v>-6.8744074650670672E-3</v>
      </c>
      <c r="H290">
        <v>9.9939188696901698E-4</v>
      </c>
      <c r="I290" t="s">
        <v>79</v>
      </c>
    </row>
    <row r="291" spans="1:9" x14ac:dyDescent="0.35">
      <c r="A291" t="s">
        <v>77</v>
      </c>
      <c r="B291" t="s">
        <v>66</v>
      </c>
      <c r="C291" t="s">
        <v>40</v>
      </c>
      <c r="D291">
        <v>2025</v>
      </c>
      <c r="E291">
        <v>1.87529344869708</v>
      </c>
      <c r="F291">
        <v>1.8442000090405599</v>
      </c>
      <c r="G291">
        <f t="shared" si="4"/>
        <v>-3.1093439656520117E-2</v>
      </c>
      <c r="H291">
        <v>9.9939188696901698E-4</v>
      </c>
      <c r="I291" t="s">
        <v>79</v>
      </c>
    </row>
    <row r="292" spans="1:9" x14ac:dyDescent="0.35">
      <c r="A292" t="s">
        <v>77</v>
      </c>
      <c r="B292" t="s">
        <v>71</v>
      </c>
      <c r="C292" t="s">
        <v>38</v>
      </c>
      <c r="D292">
        <v>2025</v>
      </c>
      <c r="E292">
        <v>1.898720252436026</v>
      </c>
      <c r="F292">
        <v>1.8442000090405599</v>
      </c>
      <c r="G292">
        <f t="shared" si="4"/>
        <v>-5.4520243395466128E-2</v>
      </c>
      <c r="H292">
        <v>9.9939188696901698E-4</v>
      </c>
      <c r="I292" t="s">
        <v>79</v>
      </c>
    </row>
    <row r="293" spans="1:9" x14ac:dyDescent="0.35">
      <c r="A293" t="s">
        <v>77</v>
      </c>
      <c r="B293" t="s">
        <v>72</v>
      </c>
      <c r="C293" t="s">
        <v>40</v>
      </c>
      <c r="D293">
        <v>2025</v>
      </c>
      <c r="E293">
        <v>1.7505876843593839</v>
      </c>
      <c r="F293">
        <v>1.8442000090405599</v>
      </c>
      <c r="G293">
        <f t="shared" si="4"/>
        <v>9.3612324681175973E-2</v>
      </c>
      <c r="H293">
        <v>9.9939188696901698E-4</v>
      </c>
      <c r="I293" t="s">
        <v>79</v>
      </c>
    </row>
    <row r="294" spans="1:9" x14ac:dyDescent="0.35">
      <c r="A294" t="s">
        <v>36</v>
      </c>
      <c r="B294" t="s">
        <v>37</v>
      </c>
      <c r="C294" t="s">
        <v>38</v>
      </c>
      <c r="D294">
        <v>2011</v>
      </c>
      <c r="E294">
        <v>2.8875773288541411</v>
      </c>
      <c r="F294">
        <v>2.98019333147692</v>
      </c>
      <c r="G294">
        <f t="shared" si="4"/>
        <v>9.2616002622778915E-2</v>
      </c>
      <c r="H294">
        <v>6.0810296667168041E-3</v>
      </c>
      <c r="I294" t="s">
        <v>80</v>
      </c>
    </row>
    <row r="295" spans="1:9" x14ac:dyDescent="0.35">
      <c r="A295" t="s">
        <v>36</v>
      </c>
      <c r="B295" t="s">
        <v>39</v>
      </c>
      <c r="C295" t="s">
        <v>40</v>
      </c>
      <c r="D295">
        <v>2011</v>
      </c>
      <c r="E295">
        <v>2.3656449720009132</v>
      </c>
      <c r="F295">
        <v>2.98019333147692</v>
      </c>
      <c r="G295">
        <f t="shared" si="4"/>
        <v>0.61454835947600683</v>
      </c>
      <c r="H295">
        <v>6.0810296667168041E-3</v>
      </c>
      <c r="I295" t="s">
        <v>80</v>
      </c>
    </row>
    <row r="296" spans="1:9" x14ac:dyDescent="0.35">
      <c r="A296" t="s">
        <v>68</v>
      </c>
      <c r="B296" t="s">
        <v>37</v>
      </c>
      <c r="C296" t="s">
        <v>38</v>
      </c>
      <c r="D296">
        <v>2011</v>
      </c>
      <c r="E296">
        <v>2.871708621036118</v>
      </c>
      <c r="F296">
        <v>3.7711034609926739</v>
      </c>
      <c r="G296">
        <f t="shared" si="4"/>
        <v>0.89939483995655589</v>
      </c>
      <c r="H296">
        <v>6.6895895733449784E-3</v>
      </c>
      <c r="I296" t="s">
        <v>80</v>
      </c>
    </row>
    <row r="297" spans="1:9" x14ac:dyDescent="0.35">
      <c r="A297" t="s">
        <v>68</v>
      </c>
      <c r="B297" t="s">
        <v>39</v>
      </c>
      <c r="C297" t="s">
        <v>40</v>
      </c>
      <c r="D297">
        <v>2011</v>
      </c>
      <c r="E297">
        <v>2.5902474284125621</v>
      </c>
      <c r="F297">
        <v>3.7711034609926739</v>
      </c>
      <c r="G297">
        <f t="shared" si="4"/>
        <v>1.1808560325801118</v>
      </c>
      <c r="H297">
        <v>6.6895895733449784E-3</v>
      </c>
      <c r="I297" t="s">
        <v>80</v>
      </c>
    </row>
    <row r="298" spans="1:9" x14ac:dyDescent="0.35">
      <c r="A298" t="s">
        <v>73</v>
      </c>
      <c r="B298" t="s">
        <v>37</v>
      </c>
      <c r="C298" t="s">
        <v>38</v>
      </c>
      <c r="D298">
        <v>2011</v>
      </c>
      <c r="E298">
        <v>1.6159410538217229</v>
      </c>
      <c r="F298">
        <v>2.4520659404670382</v>
      </c>
      <c r="G298">
        <f t="shared" si="4"/>
        <v>0.83612488664531526</v>
      </c>
      <c r="H298">
        <v>4.1600953365570287E-3</v>
      </c>
      <c r="I298" t="s">
        <v>80</v>
      </c>
    </row>
    <row r="299" spans="1:9" x14ac:dyDescent="0.35">
      <c r="A299" t="s">
        <v>73</v>
      </c>
      <c r="B299" t="s">
        <v>39</v>
      </c>
      <c r="C299" t="s">
        <v>40</v>
      </c>
      <c r="D299">
        <v>2011</v>
      </c>
      <c r="E299">
        <v>1.7720935903862369</v>
      </c>
      <c r="F299">
        <v>2.4520659404670382</v>
      </c>
      <c r="G299">
        <f t="shared" si="4"/>
        <v>0.67997235008080126</v>
      </c>
      <c r="H299">
        <v>4.1600953365570287E-3</v>
      </c>
      <c r="I299" t="s">
        <v>80</v>
      </c>
    </row>
    <row r="300" spans="1:9" x14ac:dyDescent="0.35">
      <c r="A300" t="s">
        <v>74</v>
      </c>
      <c r="B300" t="s">
        <v>37</v>
      </c>
      <c r="C300" t="s">
        <v>38</v>
      </c>
      <c r="D300">
        <v>2011</v>
      </c>
      <c r="E300">
        <v>1.085473342594079</v>
      </c>
      <c r="F300">
        <v>1.585963389687955</v>
      </c>
      <c r="G300">
        <f t="shared" si="4"/>
        <v>0.50049004709387601</v>
      </c>
      <c r="H300">
        <v>1.532593479956511E-2</v>
      </c>
      <c r="I300" t="s">
        <v>80</v>
      </c>
    </row>
    <row r="301" spans="1:9" x14ac:dyDescent="0.35">
      <c r="A301" t="s">
        <v>74</v>
      </c>
      <c r="B301" t="s">
        <v>39</v>
      </c>
      <c r="C301" t="s">
        <v>40</v>
      </c>
      <c r="D301">
        <v>2011</v>
      </c>
      <c r="E301">
        <v>0.64463752068673053</v>
      </c>
      <c r="F301">
        <v>1.585963389687955</v>
      </c>
      <c r="G301">
        <f t="shared" si="4"/>
        <v>0.9413258690012245</v>
      </c>
      <c r="H301">
        <v>1.532593479956511E-2</v>
      </c>
      <c r="I301" t="s">
        <v>80</v>
      </c>
    </row>
    <row r="302" spans="1:9" x14ac:dyDescent="0.35">
      <c r="A302" t="s">
        <v>75</v>
      </c>
      <c r="B302" t="s">
        <v>37</v>
      </c>
      <c r="C302" t="s">
        <v>38</v>
      </c>
      <c r="D302">
        <v>2011</v>
      </c>
      <c r="E302">
        <v>0.53999066387708794</v>
      </c>
      <c r="F302">
        <v>0.85331162783846093</v>
      </c>
      <c r="G302">
        <f t="shared" si="4"/>
        <v>0.31332096396137299</v>
      </c>
      <c r="H302">
        <v>3.1268873181164339E-3</v>
      </c>
      <c r="I302" t="s">
        <v>80</v>
      </c>
    </row>
    <row r="303" spans="1:9" x14ac:dyDescent="0.35">
      <c r="A303" t="s">
        <v>75</v>
      </c>
      <c r="B303" t="s">
        <v>39</v>
      </c>
      <c r="C303" t="s">
        <v>40</v>
      </c>
      <c r="D303">
        <v>2011</v>
      </c>
      <c r="E303">
        <v>0.95974398092302238</v>
      </c>
      <c r="F303">
        <v>0.85331162783846093</v>
      </c>
      <c r="G303">
        <f t="shared" si="4"/>
        <v>-0.10643235308456145</v>
      </c>
      <c r="H303">
        <v>3.1268873181164339E-3</v>
      </c>
      <c r="I303" t="s">
        <v>80</v>
      </c>
    </row>
    <row r="304" spans="1:9" x14ac:dyDescent="0.35">
      <c r="A304" t="s">
        <v>76</v>
      </c>
      <c r="B304" t="s">
        <v>37</v>
      </c>
      <c r="C304" t="s">
        <v>38</v>
      </c>
      <c r="D304">
        <v>2011</v>
      </c>
      <c r="E304">
        <v>1.8081352289394561</v>
      </c>
      <c r="F304">
        <v>1.763265804751377</v>
      </c>
      <c r="G304">
        <f t="shared" si="4"/>
        <v>-4.4869424188079154E-2</v>
      </c>
      <c r="H304">
        <v>3.5221808169296091E-2</v>
      </c>
      <c r="I304" t="s">
        <v>80</v>
      </c>
    </row>
    <row r="305" spans="1:9" x14ac:dyDescent="0.35">
      <c r="A305" t="s">
        <v>76</v>
      </c>
      <c r="B305" t="s">
        <v>39</v>
      </c>
      <c r="C305" t="s">
        <v>40</v>
      </c>
      <c r="D305">
        <v>2011</v>
      </c>
      <c r="E305">
        <v>1.926005162138456</v>
      </c>
      <c r="F305">
        <v>1.763265804751377</v>
      </c>
      <c r="G305">
        <f t="shared" si="4"/>
        <v>-0.16273935738707901</v>
      </c>
      <c r="H305">
        <v>3.5221808169296091E-2</v>
      </c>
      <c r="I305" t="s">
        <v>80</v>
      </c>
    </row>
    <row r="306" spans="1:9" x14ac:dyDescent="0.35">
      <c r="A306" t="s">
        <v>36</v>
      </c>
      <c r="B306" t="s">
        <v>37</v>
      </c>
      <c r="C306" t="s">
        <v>38</v>
      </c>
      <c r="D306">
        <v>2012</v>
      </c>
      <c r="E306">
        <v>0.92282948340831616</v>
      </c>
      <c r="F306">
        <v>0.73761701476599373</v>
      </c>
      <c r="G306">
        <f t="shared" si="4"/>
        <v>-0.18521246864232244</v>
      </c>
      <c r="H306">
        <v>5.1501038457717457E-3</v>
      </c>
      <c r="I306" t="s">
        <v>80</v>
      </c>
    </row>
    <row r="307" spans="1:9" x14ac:dyDescent="0.35">
      <c r="A307" t="s">
        <v>36</v>
      </c>
      <c r="B307" t="s">
        <v>39</v>
      </c>
      <c r="C307" t="s">
        <v>40</v>
      </c>
      <c r="D307">
        <v>2012</v>
      </c>
      <c r="E307">
        <v>2.001395495121816</v>
      </c>
      <c r="F307">
        <v>0.73761701476599373</v>
      </c>
      <c r="G307">
        <f t="shared" si="4"/>
        <v>-1.2637784803558223</v>
      </c>
      <c r="H307">
        <v>5.1501038457717457E-3</v>
      </c>
      <c r="I307" t="s">
        <v>80</v>
      </c>
    </row>
    <row r="308" spans="1:9" x14ac:dyDescent="0.35">
      <c r="A308" t="s">
        <v>36</v>
      </c>
      <c r="B308" t="s">
        <v>41</v>
      </c>
      <c r="C308" t="s">
        <v>38</v>
      </c>
      <c r="D308">
        <v>2012</v>
      </c>
      <c r="E308">
        <v>0.7904128560278334</v>
      </c>
      <c r="F308">
        <v>0.73761701476599373</v>
      </c>
      <c r="G308">
        <f t="shared" si="4"/>
        <v>-5.2795841261839671E-2</v>
      </c>
      <c r="H308">
        <v>5.1501038457717457E-3</v>
      </c>
      <c r="I308" t="s">
        <v>80</v>
      </c>
    </row>
    <row r="309" spans="1:9" x14ac:dyDescent="0.35">
      <c r="A309" t="s">
        <v>36</v>
      </c>
      <c r="B309" t="s">
        <v>42</v>
      </c>
      <c r="C309" t="s">
        <v>40</v>
      </c>
      <c r="D309">
        <v>2012</v>
      </c>
      <c r="E309">
        <v>0.77706713829110985</v>
      </c>
      <c r="F309">
        <v>0.73761701476599373</v>
      </c>
      <c r="G309">
        <f t="shared" si="4"/>
        <v>-3.9450123525116121E-2</v>
      </c>
      <c r="H309">
        <v>5.1501038457717457E-3</v>
      </c>
      <c r="I309" t="s">
        <v>80</v>
      </c>
    </row>
    <row r="310" spans="1:9" x14ac:dyDescent="0.35">
      <c r="A310" t="s">
        <v>68</v>
      </c>
      <c r="B310" t="s">
        <v>37</v>
      </c>
      <c r="C310" t="s">
        <v>38</v>
      </c>
      <c r="D310">
        <v>2012</v>
      </c>
      <c r="E310">
        <v>0.75853952005673353</v>
      </c>
      <c r="F310">
        <v>0.70451026571915831</v>
      </c>
      <c r="G310">
        <f t="shared" si="4"/>
        <v>-5.4029254337575217E-2</v>
      </c>
      <c r="H310">
        <v>4.8249554887439478E-3</v>
      </c>
      <c r="I310" t="s">
        <v>80</v>
      </c>
    </row>
    <row r="311" spans="1:9" x14ac:dyDescent="0.35">
      <c r="A311" t="s">
        <v>68</v>
      </c>
      <c r="B311" t="s">
        <v>39</v>
      </c>
      <c r="C311" t="s">
        <v>40</v>
      </c>
      <c r="D311">
        <v>2012</v>
      </c>
      <c r="E311">
        <v>1.947486880825489</v>
      </c>
      <c r="F311">
        <v>0.70451026571915831</v>
      </c>
      <c r="G311">
        <f t="shared" si="4"/>
        <v>-1.2429766151063308</v>
      </c>
      <c r="H311">
        <v>4.8249554887439478E-3</v>
      </c>
      <c r="I311" t="s">
        <v>80</v>
      </c>
    </row>
    <row r="312" spans="1:9" x14ac:dyDescent="0.35">
      <c r="A312" t="s">
        <v>68</v>
      </c>
      <c r="B312" t="s">
        <v>41</v>
      </c>
      <c r="C312" t="s">
        <v>38</v>
      </c>
      <c r="D312">
        <v>2012</v>
      </c>
      <c r="E312">
        <v>0.8314871930005685</v>
      </c>
      <c r="F312">
        <v>0.70451026571915831</v>
      </c>
      <c r="G312">
        <f t="shared" si="4"/>
        <v>-0.12697692728141019</v>
      </c>
      <c r="H312">
        <v>4.8249554887439478E-3</v>
      </c>
      <c r="I312" t="s">
        <v>80</v>
      </c>
    </row>
    <row r="313" spans="1:9" x14ac:dyDescent="0.35">
      <c r="A313" t="s">
        <v>68</v>
      </c>
      <c r="B313" t="s">
        <v>42</v>
      </c>
      <c r="C313" t="s">
        <v>40</v>
      </c>
      <c r="D313">
        <v>2012</v>
      </c>
      <c r="E313">
        <v>0.68323358153099534</v>
      </c>
      <c r="F313">
        <v>0.70451026571915831</v>
      </c>
      <c r="G313">
        <f t="shared" si="4"/>
        <v>2.1276684188162975E-2</v>
      </c>
      <c r="H313">
        <v>4.8249554887439478E-3</v>
      </c>
      <c r="I313" t="s">
        <v>80</v>
      </c>
    </row>
    <row r="314" spans="1:9" x14ac:dyDescent="0.35">
      <c r="A314" t="s">
        <v>73</v>
      </c>
      <c r="B314" t="s">
        <v>37</v>
      </c>
      <c r="C314" t="s">
        <v>38</v>
      </c>
      <c r="D314">
        <v>2012</v>
      </c>
      <c r="E314">
        <v>0.55167308327404019</v>
      </c>
      <c r="F314">
        <v>0.226946609537066</v>
      </c>
      <c r="G314">
        <f t="shared" si="4"/>
        <v>-0.32472647373697416</v>
      </c>
      <c r="H314">
        <v>3.0575260075342962E-3</v>
      </c>
      <c r="I314" t="s">
        <v>80</v>
      </c>
    </row>
    <row r="315" spans="1:9" x14ac:dyDescent="0.35">
      <c r="A315" t="s">
        <v>73</v>
      </c>
      <c r="B315" t="s">
        <v>39</v>
      </c>
      <c r="C315" t="s">
        <v>40</v>
      </c>
      <c r="D315">
        <v>2012</v>
      </c>
      <c r="E315">
        <v>2.040883011076966</v>
      </c>
      <c r="F315">
        <v>0.226946609537066</v>
      </c>
      <c r="G315">
        <f t="shared" si="4"/>
        <v>-1.8139364015399</v>
      </c>
      <c r="H315">
        <v>3.0575260075342962E-3</v>
      </c>
      <c r="I315" t="s">
        <v>80</v>
      </c>
    </row>
    <row r="316" spans="1:9" x14ac:dyDescent="0.35">
      <c r="A316" t="s">
        <v>73</v>
      </c>
      <c r="B316" t="s">
        <v>41</v>
      </c>
      <c r="C316" t="s">
        <v>38</v>
      </c>
      <c r="D316">
        <v>2012</v>
      </c>
      <c r="E316">
        <v>0.191602674222735</v>
      </c>
      <c r="F316">
        <v>0.226946609537066</v>
      </c>
      <c r="G316">
        <f t="shared" si="4"/>
        <v>3.5343935314330999E-2</v>
      </c>
      <c r="H316">
        <v>3.0575260075342962E-3</v>
      </c>
      <c r="I316" t="s">
        <v>80</v>
      </c>
    </row>
    <row r="317" spans="1:9" x14ac:dyDescent="0.35">
      <c r="A317" t="s">
        <v>73</v>
      </c>
      <c r="B317" t="s">
        <v>42</v>
      </c>
      <c r="C317" t="s">
        <v>40</v>
      </c>
      <c r="D317">
        <v>2012</v>
      </c>
      <c r="E317">
        <v>0.47308017111291623</v>
      </c>
      <c r="F317">
        <v>0.226946609537066</v>
      </c>
      <c r="G317">
        <f t="shared" si="4"/>
        <v>-0.24613356157585023</v>
      </c>
      <c r="H317">
        <v>3.0575260075342962E-3</v>
      </c>
      <c r="I317" t="s">
        <v>80</v>
      </c>
    </row>
    <row r="318" spans="1:9" x14ac:dyDescent="0.35">
      <c r="A318" t="s">
        <v>74</v>
      </c>
      <c r="B318" t="s">
        <v>37</v>
      </c>
      <c r="C318" t="s">
        <v>38</v>
      </c>
      <c r="D318">
        <v>2012</v>
      </c>
      <c r="E318">
        <v>1.0901130974096951</v>
      </c>
      <c r="F318">
        <v>-0.53795048916406796</v>
      </c>
      <c r="G318">
        <f t="shared" si="4"/>
        <v>-1.6280635865737629</v>
      </c>
      <c r="H318">
        <v>1.2458618885918409E-2</v>
      </c>
      <c r="I318" t="s">
        <v>80</v>
      </c>
    </row>
    <row r="319" spans="1:9" x14ac:dyDescent="0.35">
      <c r="A319" t="s">
        <v>74</v>
      </c>
      <c r="B319" t="s">
        <v>39</v>
      </c>
      <c r="C319" t="s">
        <v>40</v>
      </c>
      <c r="D319">
        <v>2012</v>
      </c>
      <c r="E319">
        <v>1.915684733449208</v>
      </c>
      <c r="F319">
        <v>-0.53795048916406796</v>
      </c>
      <c r="G319">
        <f t="shared" si="4"/>
        <v>-2.453635222613276</v>
      </c>
      <c r="H319">
        <v>1.2458618885918409E-2</v>
      </c>
      <c r="I319" t="s">
        <v>80</v>
      </c>
    </row>
    <row r="320" spans="1:9" x14ac:dyDescent="0.35">
      <c r="A320" t="s">
        <v>74</v>
      </c>
      <c r="B320" t="s">
        <v>41</v>
      </c>
      <c r="C320" t="s">
        <v>38</v>
      </c>
      <c r="D320">
        <v>2012</v>
      </c>
      <c r="E320">
        <v>0.43127476645701268</v>
      </c>
      <c r="F320">
        <v>-0.53795048916406796</v>
      </c>
      <c r="G320">
        <f t="shared" si="4"/>
        <v>-0.96922525562108064</v>
      </c>
      <c r="H320">
        <v>1.2458618885918409E-2</v>
      </c>
      <c r="I320" t="s">
        <v>80</v>
      </c>
    </row>
    <row r="321" spans="1:9" x14ac:dyDescent="0.35">
      <c r="A321" t="s">
        <v>74</v>
      </c>
      <c r="B321" t="s">
        <v>42</v>
      </c>
      <c r="C321" t="s">
        <v>40</v>
      </c>
      <c r="D321">
        <v>2012</v>
      </c>
      <c r="E321">
        <v>0.53448290594637626</v>
      </c>
      <c r="F321">
        <v>-0.53795048916406796</v>
      </c>
      <c r="G321">
        <f t="shared" si="4"/>
        <v>-1.0724333951104441</v>
      </c>
      <c r="H321">
        <v>1.2458618885918409E-2</v>
      </c>
      <c r="I321" t="s">
        <v>80</v>
      </c>
    </row>
    <row r="322" spans="1:9" x14ac:dyDescent="0.35">
      <c r="A322" t="s">
        <v>76</v>
      </c>
      <c r="B322" t="s">
        <v>37</v>
      </c>
      <c r="C322" t="s">
        <v>38</v>
      </c>
      <c r="D322">
        <v>2012</v>
      </c>
      <c r="E322">
        <v>0.49861923570131422</v>
      </c>
      <c r="F322">
        <v>-0.98761966818776048</v>
      </c>
      <c r="G322">
        <f t="shared" ref="G322:G385" si="5">IF(OR(F322="",E322=""),"",F322-E322)</f>
        <v>-1.4862389038890746</v>
      </c>
      <c r="H322">
        <v>2.7962413886549891E-2</v>
      </c>
      <c r="I322" t="s">
        <v>80</v>
      </c>
    </row>
    <row r="323" spans="1:9" x14ac:dyDescent="0.35">
      <c r="A323" t="s">
        <v>76</v>
      </c>
      <c r="B323" t="s">
        <v>39</v>
      </c>
      <c r="C323" t="s">
        <v>40</v>
      </c>
      <c r="D323">
        <v>2012</v>
      </c>
      <c r="E323">
        <v>1.661047212655653</v>
      </c>
      <c r="F323">
        <v>-0.98761966818776048</v>
      </c>
      <c r="G323">
        <f t="shared" si="5"/>
        <v>-2.6486668808434137</v>
      </c>
      <c r="H323">
        <v>2.7962413886549891E-2</v>
      </c>
      <c r="I323" t="s">
        <v>80</v>
      </c>
    </row>
    <row r="324" spans="1:9" x14ac:dyDescent="0.35">
      <c r="A324" t="s">
        <v>76</v>
      </c>
      <c r="B324" t="s">
        <v>41</v>
      </c>
      <c r="C324" t="s">
        <v>38</v>
      </c>
      <c r="D324">
        <v>2012</v>
      </c>
      <c r="E324">
        <v>-0.28000741980042099</v>
      </c>
      <c r="F324">
        <v>-0.98761966818776048</v>
      </c>
      <c r="G324">
        <f t="shared" si="5"/>
        <v>-0.70761224838733949</v>
      </c>
      <c r="H324">
        <v>2.7962413886549891E-2</v>
      </c>
      <c r="I324" t="s">
        <v>80</v>
      </c>
    </row>
    <row r="325" spans="1:9" x14ac:dyDescent="0.35">
      <c r="A325" t="s">
        <v>76</v>
      </c>
      <c r="B325" t="s">
        <v>42</v>
      </c>
      <c r="C325" t="s">
        <v>40</v>
      </c>
      <c r="D325">
        <v>2012</v>
      </c>
      <c r="E325">
        <v>-0.88737458554019044</v>
      </c>
      <c r="F325">
        <v>-0.98761966818776048</v>
      </c>
      <c r="G325">
        <f t="shared" si="5"/>
        <v>-0.10024508264757004</v>
      </c>
      <c r="H325">
        <v>2.7962413886549891E-2</v>
      </c>
      <c r="I325" t="s">
        <v>80</v>
      </c>
    </row>
    <row r="326" spans="1:9" x14ac:dyDescent="0.35">
      <c r="A326" t="s">
        <v>36</v>
      </c>
      <c r="B326" t="s">
        <v>41</v>
      </c>
      <c r="C326" t="s">
        <v>38</v>
      </c>
      <c r="D326">
        <v>2013</v>
      </c>
      <c r="E326">
        <v>0.86316182913936945</v>
      </c>
      <c r="F326">
        <v>-0.32817504676766701</v>
      </c>
      <c r="G326">
        <f t="shared" si="5"/>
        <v>-1.1913368759070364</v>
      </c>
      <c r="H326">
        <v>4.9104806969426009E-3</v>
      </c>
      <c r="I326" t="s">
        <v>80</v>
      </c>
    </row>
    <row r="327" spans="1:9" x14ac:dyDescent="0.35">
      <c r="A327" t="s">
        <v>36</v>
      </c>
      <c r="B327" t="s">
        <v>42</v>
      </c>
      <c r="C327" t="s">
        <v>40</v>
      </c>
      <c r="D327">
        <v>2013</v>
      </c>
      <c r="E327">
        <v>1.669657429075766</v>
      </c>
      <c r="F327">
        <v>-0.32817504676766701</v>
      </c>
      <c r="G327">
        <f t="shared" si="5"/>
        <v>-1.9978324758434329</v>
      </c>
      <c r="H327">
        <v>4.9104806969426009E-3</v>
      </c>
      <c r="I327" t="s">
        <v>80</v>
      </c>
    </row>
    <row r="328" spans="1:9" x14ac:dyDescent="0.35">
      <c r="A328" t="s">
        <v>36</v>
      </c>
      <c r="B328" t="s">
        <v>43</v>
      </c>
      <c r="C328" t="s">
        <v>38</v>
      </c>
      <c r="D328">
        <v>2013</v>
      </c>
      <c r="E328">
        <v>0.40906708913857059</v>
      </c>
      <c r="F328">
        <v>-0.32817504676766701</v>
      </c>
      <c r="G328">
        <f t="shared" si="5"/>
        <v>-0.73724213590623755</v>
      </c>
      <c r="H328">
        <v>4.9104806969426009E-3</v>
      </c>
      <c r="I328" t="s">
        <v>80</v>
      </c>
    </row>
    <row r="329" spans="1:9" x14ac:dyDescent="0.35">
      <c r="A329" t="s">
        <v>36</v>
      </c>
      <c r="B329" t="s">
        <v>44</v>
      </c>
      <c r="C329" t="s">
        <v>40</v>
      </c>
      <c r="D329">
        <v>2013</v>
      </c>
      <c r="E329">
        <v>0.5837846269189928</v>
      </c>
      <c r="F329">
        <v>-0.32817504676766701</v>
      </c>
      <c r="G329">
        <f t="shared" si="5"/>
        <v>-0.91195967368665976</v>
      </c>
      <c r="H329">
        <v>4.9104806969426009E-3</v>
      </c>
      <c r="I329" t="s">
        <v>80</v>
      </c>
    </row>
    <row r="330" spans="1:9" x14ac:dyDescent="0.35">
      <c r="A330" t="s">
        <v>68</v>
      </c>
      <c r="B330" t="s">
        <v>41</v>
      </c>
      <c r="C330" t="s">
        <v>38</v>
      </c>
      <c r="D330">
        <v>2013</v>
      </c>
      <c r="E330">
        <v>0.83761648451896598</v>
      </c>
      <c r="F330">
        <v>0.57080505068838228</v>
      </c>
      <c r="G330">
        <f t="shared" si="5"/>
        <v>-0.2668114338305837</v>
      </c>
      <c r="H330">
        <v>4.7224478417125654E-3</v>
      </c>
      <c r="I330" t="s">
        <v>80</v>
      </c>
    </row>
    <row r="331" spans="1:9" x14ac:dyDescent="0.35">
      <c r="A331" t="s">
        <v>68</v>
      </c>
      <c r="B331" t="s">
        <v>42</v>
      </c>
      <c r="C331" t="s">
        <v>40</v>
      </c>
      <c r="D331">
        <v>2013</v>
      </c>
      <c r="E331">
        <v>1.6744076981229929</v>
      </c>
      <c r="F331">
        <v>0.57080505068838228</v>
      </c>
      <c r="G331">
        <f t="shared" si="5"/>
        <v>-1.1036026474346108</v>
      </c>
      <c r="H331">
        <v>4.7224478417125654E-3</v>
      </c>
      <c r="I331" t="s">
        <v>80</v>
      </c>
    </row>
    <row r="332" spans="1:9" x14ac:dyDescent="0.35">
      <c r="A332" t="s">
        <v>68</v>
      </c>
      <c r="B332" t="s">
        <v>43</v>
      </c>
      <c r="C332" t="s">
        <v>38</v>
      </c>
      <c r="D332">
        <v>2013</v>
      </c>
      <c r="E332">
        <v>0.46473090150995772</v>
      </c>
      <c r="F332">
        <v>0.57080505068838228</v>
      </c>
      <c r="G332">
        <f t="shared" si="5"/>
        <v>0.10607414917842456</v>
      </c>
      <c r="H332">
        <v>4.7224478417125654E-3</v>
      </c>
      <c r="I332" t="s">
        <v>80</v>
      </c>
    </row>
    <row r="333" spans="1:9" x14ac:dyDescent="0.35">
      <c r="A333" t="s">
        <v>68</v>
      </c>
      <c r="B333" t="s">
        <v>44</v>
      </c>
      <c r="C333" t="s">
        <v>40</v>
      </c>
      <c r="D333">
        <v>2013</v>
      </c>
      <c r="E333">
        <v>0.37981982770534112</v>
      </c>
      <c r="F333">
        <v>0.57080505068838228</v>
      </c>
      <c r="G333">
        <f t="shared" si="5"/>
        <v>0.19098522298304116</v>
      </c>
      <c r="H333">
        <v>4.7224478417125654E-3</v>
      </c>
      <c r="I333" t="s">
        <v>80</v>
      </c>
    </row>
    <row r="334" spans="1:9" x14ac:dyDescent="0.35">
      <c r="A334" t="s">
        <v>73</v>
      </c>
      <c r="B334" t="s">
        <v>41</v>
      </c>
      <c r="C334" t="s">
        <v>38</v>
      </c>
      <c r="D334">
        <v>2013</v>
      </c>
      <c r="E334">
        <v>0.38047816820923058</v>
      </c>
      <c r="F334">
        <v>0.92634815984379837</v>
      </c>
      <c r="G334">
        <f t="shared" si="5"/>
        <v>0.54586999163456773</v>
      </c>
      <c r="H334">
        <v>2.824804133814965E-3</v>
      </c>
      <c r="I334" t="s">
        <v>80</v>
      </c>
    </row>
    <row r="335" spans="1:9" x14ac:dyDescent="0.35">
      <c r="A335" t="s">
        <v>73</v>
      </c>
      <c r="B335" t="s">
        <v>42</v>
      </c>
      <c r="C335" t="s">
        <v>40</v>
      </c>
      <c r="D335">
        <v>2013</v>
      </c>
      <c r="E335">
        <v>1.3369944796204569</v>
      </c>
      <c r="F335">
        <v>0.92634815984379837</v>
      </c>
      <c r="G335">
        <f t="shared" si="5"/>
        <v>-0.41064631977665855</v>
      </c>
      <c r="H335">
        <v>2.824804133814965E-3</v>
      </c>
      <c r="I335" t="s">
        <v>80</v>
      </c>
    </row>
    <row r="336" spans="1:9" x14ac:dyDescent="0.35">
      <c r="A336" t="s">
        <v>73</v>
      </c>
      <c r="B336" t="s">
        <v>43</v>
      </c>
      <c r="C336" t="s">
        <v>38</v>
      </c>
      <c r="D336">
        <v>2013</v>
      </c>
      <c r="E336">
        <v>0.21992165083872811</v>
      </c>
      <c r="F336">
        <v>0.92634815984379837</v>
      </c>
      <c r="G336">
        <f t="shared" si="5"/>
        <v>0.70642650900507031</v>
      </c>
      <c r="H336">
        <v>2.824804133814965E-3</v>
      </c>
      <c r="I336" t="s">
        <v>80</v>
      </c>
    </row>
    <row r="337" spans="1:9" x14ac:dyDescent="0.35">
      <c r="A337" t="s">
        <v>73</v>
      </c>
      <c r="B337" t="s">
        <v>44</v>
      </c>
      <c r="C337" t="s">
        <v>40</v>
      </c>
      <c r="D337">
        <v>2013</v>
      </c>
      <c r="E337">
        <v>-9.6293692429949562E-2</v>
      </c>
      <c r="F337">
        <v>0.92634815984379837</v>
      </c>
      <c r="G337">
        <f t="shared" si="5"/>
        <v>1.0226418522737479</v>
      </c>
      <c r="H337">
        <v>2.824804133814965E-3</v>
      </c>
      <c r="I337" t="s">
        <v>80</v>
      </c>
    </row>
    <row r="338" spans="1:9" x14ac:dyDescent="0.35">
      <c r="A338" t="s">
        <v>74</v>
      </c>
      <c r="B338" t="s">
        <v>41</v>
      </c>
      <c r="C338" t="s">
        <v>38</v>
      </c>
      <c r="D338">
        <v>2013</v>
      </c>
      <c r="E338">
        <v>1.055742969234341</v>
      </c>
      <c r="F338">
        <v>2.260800070139938</v>
      </c>
      <c r="G338">
        <f t="shared" si="5"/>
        <v>1.205057100905597</v>
      </c>
      <c r="H338">
        <v>1.455907609421961E-2</v>
      </c>
      <c r="I338" t="s">
        <v>80</v>
      </c>
    </row>
    <row r="339" spans="1:9" x14ac:dyDescent="0.35">
      <c r="A339" t="s">
        <v>74</v>
      </c>
      <c r="B339" t="s">
        <v>42</v>
      </c>
      <c r="C339" t="s">
        <v>40</v>
      </c>
      <c r="D339">
        <v>2013</v>
      </c>
      <c r="E339">
        <v>1.9060651556646271</v>
      </c>
      <c r="F339">
        <v>2.260800070139938</v>
      </c>
      <c r="G339">
        <f t="shared" si="5"/>
        <v>0.35473491447531091</v>
      </c>
      <c r="H339">
        <v>1.455907609421961E-2</v>
      </c>
      <c r="I339" t="s">
        <v>80</v>
      </c>
    </row>
    <row r="340" spans="1:9" x14ac:dyDescent="0.35">
      <c r="A340" t="s">
        <v>74</v>
      </c>
      <c r="B340" t="s">
        <v>43</v>
      </c>
      <c r="C340" t="s">
        <v>38</v>
      </c>
      <c r="D340">
        <v>2013</v>
      </c>
      <c r="E340">
        <v>0.30402131855349351</v>
      </c>
      <c r="F340">
        <v>2.260800070139938</v>
      </c>
      <c r="G340">
        <f t="shared" si="5"/>
        <v>1.9567787515864445</v>
      </c>
      <c r="H340">
        <v>1.455907609421961E-2</v>
      </c>
      <c r="I340" t="s">
        <v>80</v>
      </c>
    </row>
    <row r="341" spans="1:9" x14ac:dyDescent="0.35">
      <c r="A341" t="s">
        <v>74</v>
      </c>
      <c r="B341" t="s">
        <v>44</v>
      </c>
      <c r="C341" t="s">
        <v>40</v>
      </c>
      <c r="D341">
        <v>2013</v>
      </c>
      <c r="E341">
        <v>1.069987927348115</v>
      </c>
      <c r="F341">
        <v>2.260800070139938</v>
      </c>
      <c r="G341">
        <f t="shared" si="5"/>
        <v>1.190812142791823</v>
      </c>
      <c r="H341">
        <v>1.455907609421961E-2</v>
      </c>
      <c r="I341" t="s">
        <v>80</v>
      </c>
    </row>
    <row r="342" spans="1:9" x14ac:dyDescent="0.35">
      <c r="A342" t="s">
        <v>76</v>
      </c>
      <c r="B342" t="s">
        <v>41</v>
      </c>
      <c r="C342" t="s">
        <v>38</v>
      </c>
      <c r="D342">
        <v>2013</v>
      </c>
      <c r="E342">
        <v>0.25101306409311958</v>
      </c>
      <c r="F342">
        <v>1.2707283722487859E-2</v>
      </c>
      <c r="G342">
        <f t="shared" si="5"/>
        <v>-0.23830578037063171</v>
      </c>
      <c r="H342">
        <v>2.9090525421548951E-2</v>
      </c>
      <c r="I342" t="s">
        <v>80</v>
      </c>
    </row>
    <row r="343" spans="1:9" x14ac:dyDescent="0.35">
      <c r="A343" t="s">
        <v>76</v>
      </c>
      <c r="B343" t="s">
        <v>42</v>
      </c>
      <c r="C343" t="s">
        <v>40</v>
      </c>
      <c r="D343">
        <v>2013</v>
      </c>
      <c r="E343">
        <v>0.70707026821927865</v>
      </c>
      <c r="F343">
        <v>1.2707283722487859E-2</v>
      </c>
      <c r="G343">
        <f t="shared" si="5"/>
        <v>-0.69436298449679079</v>
      </c>
      <c r="H343">
        <v>2.9090525421548951E-2</v>
      </c>
      <c r="I343" t="s">
        <v>80</v>
      </c>
    </row>
    <row r="344" spans="1:9" x14ac:dyDescent="0.35">
      <c r="A344" t="s">
        <v>76</v>
      </c>
      <c r="B344" t="s">
        <v>43</v>
      </c>
      <c r="C344" t="s">
        <v>38</v>
      </c>
      <c r="D344">
        <v>2013</v>
      </c>
      <c r="E344">
        <v>-0.9800045037945293</v>
      </c>
      <c r="F344">
        <v>1.2707283722487859E-2</v>
      </c>
      <c r="G344">
        <f t="shared" si="5"/>
        <v>0.99271178751701716</v>
      </c>
      <c r="H344">
        <v>2.9090525421548951E-2</v>
      </c>
      <c r="I344" t="s">
        <v>80</v>
      </c>
    </row>
    <row r="345" spans="1:9" x14ac:dyDescent="0.35">
      <c r="A345" t="s">
        <v>76</v>
      </c>
      <c r="B345" t="s">
        <v>44</v>
      </c>
      <c r="C345" t="s">
        <v>40</v>
      </c>
      <c r="D345">
        <v>2013</v>
      </c>
      <c r="E345">
        <v>-0.79000434577850553</v>
      </c>
      <c r="F345">
        <v>1.2707283722487859E-2</v>
      </c>
      <c r="G345">
        <f t="shared" si="5"/>
        <v>0.8027116295009934</v>
      </c>
      <c r="H345">
        <v>2.9090525421548951E-2</v>
      </c>
      <c r="I345" t="s">
        <v>80</v>
      </c>
    </row>
    <row r="346" spans="1:9" x14ac:dyDescent="0.35">
      <c r="A346" t="s">
        <v>36</v>
      </c>
      <c r="B346" t="s">
        <v>43</v>
      </c>
      <c r="C346" t="s">
        <v>38</v>
      </c>
      <c r="D346">
        <v>2014</v>
      </c>
      <c r="E346">
        <v>1.6172789472429281</v>
      </c>
      <c r="F346">
        <v>0.87952767279372546</v>
      </c>
      <c r="G346">
        <f t="shared" si="5"/>
        <v>-0.73775127444920263</v>
      </c>
      <c r="H346">
        <v>5.2414028038574598E-3</v>
      </c>
      <c r="I346" t="s">
        <v>80</v>
      </c>
    </row>
    <row r="347" spans="1:9" x14ac:dyDescent="0.35">
      <c r="A347" t="s">
        <v>36</v>
      </c>
      <c r="B347" t="s">
        <v>44</v>
      </c>
      <c r="C347" t="s">
        <v>40</v>
      </c>
      <c r="D347">
        <v>2014</v>
      </c>
      <c r="E347">
        <v>1.753478025840405</v>
      </c>
      <c r="F347">
        <v>0.87952767279372546</v>
      </c>
      <c r="G347">
        <f t="shared" si="5"/>
        <v>-0.87395035304667956</v>
      </c>
      <c r="H347">
        <v>5.2414028038574598E-3</v>
      </c>
      <c r="I347" t="s">
        <v>80</v>
      </c>
    </row>
    <row r="348" spans="1:9" x14ac:dyDescent="0.35">
      <c r="A348" t="s">
        <v>36</v>
      </c>
      <c r="B348" t="s">
        <v>45</v>
      </c>
      <c r="C348" t="s">
        <v>38</v>
      </c>
      <c r="D348">
        <v>2014</v>
      </c>
      <c r="E348">
        <v>0.67669638838701029</v>
      </c>
      <c r="F348">
        <v>0.87952767279372546</v>
      </c>
      <c r="G348">
        <f t="shared" si="5"/>
        <v>0.20283128440671516</v>
      </c>
      <c r="H348">
        <v>5.2414028038574598E-3</v>
      </c>
      <c r="I348" t="s">
        <v>80</v>
      </c>
    </row>
    <row r="349" spans="1:9" x14ac:dyDescent="0.35">
      <c r="A349" t="s">
        <v>36</v>
      </c>
      <c r="B349" t="s">
        <v>46</v>
      </c>
      <c r="C349" t="s">
        <v>40</v>
      </c>
      <c r="D349">
        <v>2014</v>
      </c>
      <c r="E349">
        <v>1.6499152648066451</v>
      </c>
      <c r="F349">
        <v>0.87952767279372546</v>
      </c>
      <c r="G349">
        <f t="shared" si="5"/>
        <v>-0.77038759201291962</v>
      </c>
      <c r="H349">
        <v>5.2414028038574598E-3</v>
      </c>
      <c r="I349" t="s">
        <v>80</v>
      </c>
    </row>
    <row r="350" spans="1:9" x14ac:dyDescent="0.35">
      <c r="A350" t="s">
        <v>68</v>
      </c>
      <c r="B350" t="s">
        <v>43</v>
      </c>
      <c r="C350" t="s">
        <v>38</v>
      </c>
      <c r="D350">
        <v>2014</v>
      </c>
      <c r="E350">
        <v>1.702614326444496</v>
      </c>
      <c r="F350">
        <v>2.2065294370805351</v>
      </c>
      <c r="G350">
        <f t="shared" si="5"/>
        <v>0.50391511063603911</v>
      </c>
      <c r="H350">
        <v>5.3357040941452126E-3</v>
      </c>
      <c r="I350" t="s">
        <v>80</v>
      </c>
    </row>
    <row r="351" spans="1:9" x14ac:dyDescent="0.35">
      <c r="A351" t="s">
        <v>68</v>
      </c>
      <c r="B351" t="s">
        <v>44</v>
      </c>
      <c r="C351" t="s">
        <v>40</v>
      </c>
      <c r="D351">
        <v>2014</v>
      </c>
      <c r="E351">
        <v>1.821630101383787</v>
      </c>
      <c r="F351">
        <v>2.2065294370805351</v>
      </c>
      <c r="G351">
        <f t="shared" si="5"/>
        <v>0.38489933569674806</v>
      </c>
      <c r="H351">
        <v>5.3357040941452126E-3</v>
      </c>
      <c r="I351" t="s">
        <v>80</v>
      </c>
    </row>
    <row r="352" spans="1:9" x14ac:dyDescent="0.35">
      <c r="A352" t="s">
        <v>68</v>
      </c>
      <c r="B352" t="s">
        <v>45</v>
      </c>
      <c r="C352" t="s">
        <v>38</v>
      </c>
      <c r="D352">
        <v>2014</v>
      </c>
      <c r="E352">
        <v>1.267570285804642</v>
      </c>
      <c r="F352">
        <v>2.2065294370805351</v>
      </c>
      <c r="G352">
        <f t="shared" si="5"/>
        <v>0.93895915127589302</v>
      </c>
      <c r="H352">
        <v>5.3357040941452126E-3</v>
      </c>
      <c r="I352" t="s">
        <v>80</v>
      </c>
    </row>
    <row r="353" spans="1:9" x14ac:dyDescent="0.35">
      <c r="A353" t="s">
        <v>68</v>
      </c>
      <c r="B353" t="s">
        <v>46</v>
      </c>
      <c r="C353" t="s">
        <v>40</v>
      </c>
      <c r="D353">
        <v>2014</v>
      </c>
      <c r="E353">
        <v>1.846054067989833</v>
      </c>
      <c r="F353">
        <v>2.2065294370805351</v>
      </c>
      <c r="G353">
        <f t="shared" si="5"/>
        <v>0.3604753690907021</v>
      </c>
      <c r="H353">
        <v>5.3357040941452126E-3</v>
      </c>
      <c r="I353" t="s">
        <v>80</v>
      </c>
    </row>
    <row r="354" spans="1:9" x14ac:dyDescent="0.35">
      <c r="A354" t="s">
        <v>74</v>
      </c>
      <c r="B354" t="s">
        <v>43</v>
      </c>
      <c r="C354" t="s">
        <v>38</v>
      </c>
      <c r="D354">
        <v>2014</v>
      </c>
      <c r="E354">
        <v>1.703044407164489</v>
      </c>
      <c r="F354">
        <v>9.0504209935939262</v>
      </c>
      <c r="G354">
        <f t="shared" si="5"/>
        <v>7.3473765864294371</v>
      </c>
      <c r="H354">
        <v>1.379857452669039E-2</v>
      </c>
      <c r="I354" t="s">
        <v>80</v>
      </c>
    </row>
    <row r="355" spans="1:9" x14ac:dyDescent="0.35">
      <c r="A355" t="s">
        <v>74</v>
      </c>
      <c r="B355" t="s">
        <v>44</v>
      </c>
      <c r="C355" t="s">
        <v>40</v>
      </c>
      <c r="D355">
        <v>2014</v>
      </c>
      <c r="E355">
        <v>2.1762610607392712</v>
      </c>
      <c r="F355">
        <v>9.0504209935939262</v>
      </c>
      <c r="G355">
        <f t="shared" si="5"/>
        <v>6.8741599328546545</v>
      </c>
      <c r="H355">
        <v>1.379857452669039E-2</v>
      </c>
      <c r="I355" t="s">
        <v>80</v>
      </c>
    </row>
    <row r="356" spans="1:9" x14ac:dyDescent="0.35">
      <c r="A356" t="s">
        <v>74</v>
      </c>
      <c r="B356" t="s">
        <v>45</v>
      </c>
      <c r="C356" t="s">
        <v>38</v>
      </c>
      <c r="D356">
        <v>2014</v>
      </c>
      <c r="E356">
        <v>4.6151910205822766</v>
      </c>
      <c r="F356">
        <v>9.0504209935939262</v>
      </c>
      <c r="G356">
        <f t="shared" si="5"/>
        <v>4.4352299730116496</v>
      </c>
      <c r="H356">
        <v>1.379857452669039E-2</v>
      </c>
      <c r="I356" t="s">
        <v>80</v>
      </c>
    </row>
    <row r="357" spans="1:9" x14ac:dyDescent="0.35">
      <c r="A357" t="s">
        <v>74</v>
      </c>
      <c r="B357" t="s">
        <v>46</v>
      </c>
      <c r="C357" t="s">
        <v>40</v>
      </c>
      <c r="D357">
        <v>2014</v>
      </c>
      <c r="E357">
        <v>1.740487538042057</v>
      </c>
      <c r="F357">
        <v>9.0504209935939262</v>
      </c>
      <c r="G357">
        <f t="shared" si="5"/>
        <v>7.3099334555518691</v>
      </c>
      <c r="H357">
        <v>1.379857452669039E-2</v>
      </c>
      <c r="I357" t="s">
        <v>80</v>
      </c>
    </row>
    <row r="358" spans="1:9" x14ac:dyDescent="0.35">
      <c r="A358" t="s">
        <v>76</v>
      </c>
      <c r="B358" t="s">
        <v>43</v>
      </c>
      <c r="C358" t="s">
        <v>38</v>
      </c>
      <c r="D358">
        <v>2014</v>
      </c>
      <c r="E358">
        <v>0.2460103096358246</v>
      </c>
      <c r="F358">
        <v>1.6013721912486829</v>
      </c>
      <c r="G358">
        <f t="shared" si="5"/>
        <v>1.3553618816128583</v>
      </c>
      <c r="H358">
        <v>3.2188351395378782E-2</v>
      </c>
      <c r="I358" t="s">
        <v>80</v>
      </c>
    </row>
    <row r="359" spans="1:9" x14ac:dyDescent="0.35">
      <c r="A359" t="s">
        <v>76</v>
      </c>
      <c r="B359" t="s">
        <v>44</v>
      </c>
      <c r="C359" t="s">
        <v>40</v>
      </c>
      <c r="D359">
        <v>2014</v>
      </c>
      <c r="E359">
        <v>0.89594425952546075</v>
      </c>
      <c r="F359">
        <v>1.6013721912486829</v>
      </c>
      <c r="G359">
        <f t="shared" si="5"/>
        <v>0.70542793172322216</v>
      </c>
      <c r="H359">
        <v>3.2188351395378782E-2</v>
      </c>
      <c r="I359" t="s">
        <v>80</v>
      </c>
    </row>
    <row r="360" spans="1:9" x14ac:dyDescent="0.35">
      <c r="A360" t="s">
        <v>76</v>
      </c>
      <c r="B360" t="s">
        <v>45</v>
      </c>
      <c r="C360" t="s">
        <v>38</v>
      </c>
      <c r="D360">
        <v>2014</v>
      </c>
      <c r="E360">
        <v>0.87813009513062479</v>
      </c>
      <c r="F360">
        <v>1.6013721912486829</v>
      </c>
      <c r="G360">
        <f t="shared" si="5"/>
        <v>0.72324209611805812</v>
      </c>
      <c r="H360">
        <v>3.2188351395378782E-2</v>
      </c>
      <c r="I360" t="s">
        <v>80</v>
      </c>
    </row>
    <row r="361" spans="1:9" x14ac:dyDescent="0.35">
      <c r="A361" t="s">
        <v>76</v>
      </c>
      <c r="B361" t="s">
        <v>46</v>
      </c>
      <c r="C361" t="s">
        <v>40</v>
      </c>
      <c r="D361">
        <v>2014</v>
      </c>
      <c r="E361">
        <v>1.1634467886850299</v>
      </c>
      <c r="F361">
        <v>1.6013721912486829</v>
      </c>
      <c r="G361">
        <f t="shared" si="5"/>
        <v>0.43792540256365298</v>
      </c>
      <c r="H361">
        <v>3.2188351395378782E-2</v>
      </c>
      <c r="I361" t="s">
        <v>80</v>
      </c>
    </row>
    <row r="362" spans="1:9" x14ac:dyDescent="0.35">
      <c r="A362" t="s">
        <v>36</v>
      </c>
      <c r="B362" t="s">
        <v>45</v>
      </c>
      <c r="C362" t="s">
        <v>38</v>
      </c>
      <c r="D362">
        <v>2015</v>
      </c>
      <c r="E362">
        <v>1.23399360343428</v>
      </c>
      <c r="F362">
        <v>1.2553290281528069</v>
      </c>
      <c r="G362">
        <f t="shared" si="5"/>
        <v>2.1335424718526896E-2</v>
      </c>
      <c r="H362">
        <v>5.6174915482511594E-3</v>
      </c>
      <c r="I362" t="s">
        <v>80</v>
      </c>
    </row>
    <row r="363" spans="1:9" x14ac:dyDescent="0.35">
      <c r="A363" t="s">
        <v>36</v>
      </c>
      <c r="B363" t="s">
        <v>46</v>
      </c>
      <c r="C363" t="s">
        <v>40</v>
      </c>
      <c r="D363">
        <v>2015</v>
      </c>
      <c r="E363">
        <v>1.8494694742448909</v>
      </c>
      <c r="F363">
        <v>1.2553290281528069</v>
      </c>
      <c r="G363">
        <f t="shared" si="5"/>
        <v>-0.59414044609208405</v>
      </c>
      <c r="H363">
        <v>5.6174915482511594E-3</v>
      </c>
      <c r="I363" t="s">
        <v>80</v>
      </c>
    </row>
    <row r="364" spans="1:9" x14ac:dyDescent="0.35">
      <c r="A364" t="s">
        <v>36</v>
      </c>
      <c r="B364" t="s">
        <v>47</v>
      </c>
      <c r="C364" t="s">
        <v>38</v>
      </c>
      <c r="D364">
        <v>2015</v>
      </c>
      <c r="E364">
        <v>0.59754498836805947</v>
      </c>
      <c r="F364">
        <v>1.2553290281528069</v>
      </c>
      <c r="G364">
        <f t="shared" si="5"/>
        <v>0.65778403978474742</v>
      </c>
      <c r="H364">
        <v>5.6174915482511594E-3</v>
      </c>
      <c r="I364" t="s">
        <v>80</v>
      </c>
    </row>
    <row r="365" spans="1:9" x14ac:dyDescent="0.35">
      <c r="A365" t="s">
        <v>36</v>
      </c>
      <c r="B365" t="s">
        <v>48</v>
      </c>
      <c r="C365" t="s">
        <v>40</v>
      </c>
      <c r="D365">
        <v>2015</v>
      </c>
      <c r="E365">
        <v>0.79966080907698522</v>
      </c>
      <c r="F365">
        <v>1.2553290281528069</v>
      </c>
      <c r="G365">
        <f t="shared" si="5"/>
        <v>0.45566821907582167</v>
      </c>
      <c r="H365">
        <v>5.6174915482511594E-3</v>
      </c>
      <c r="I365" t="s">
        <v>80</v>
      </c>
    </row>
    <row r="366" spans="1:9" x14ac:dyDescent="0.35">
      <c r="A366" t="s">
        <v>68</v>
      </c>
      <c r="B366" t="s">
        <v>45</v>
      </c>
      <c r="C366" t="s">
        <v>38</v>
      </c>
      <c r="D366">
        <v>2015</v>
      </c>
      <c r="E366">
        <v>1.095015499462715</v>
      </c>
      <c r="F366">
        <v>1.511701771928704</v>
      </c>
      <c r="G366">
        <f t="shared" si="5"/>
        <v>0.41668627246598899</v>
      </c>
      <c r="H366">
        <v>5.4147439174576876E-3</v>
      </c>
      <c r="I366" t="s">
        <v>80</v>
      </c>
    </row>
    <row r="367" spans="1:9" x14ac:dyDescent="0.35">
      <c r="A367" t="s">
        <v>68</v>
      </c>
      <c r="B367" t="s">
        <v>46</v>
      </c>
      <c r="C367" t="s">
        <v>40</v>
      </c>
      <c r="D367">
        <v>2015</v>
      </c>
      <c r="E367">
        <v>1.9840546273578901</v>
      </c>
      <c r="F367">
        <v>1.511701771928704</v>
      </c>
      <c r="G367">
        <f t="shared" si="5"/>
        <v>-0.47235285542918604</v>
      </c>
      <c r="H367">
        <v>5.4147439174576876E-3</v>
      </c>
      <c r="I367" t="s">
        <v>80</v>
      </c>
    </row>
    <row r="368" spans="1:9" x14ac:dyDescent="0.35">
      <c r="A368" t="s">
        <v>68</v>
      </c>
      <c r="B368" t="s">
        <v>47</v>
      </c>
      <c r="C368" t="s">
        <v>38</v>
      </c>
      <c r="D368">
        <v>2015</v>
      </c>
      <c r="E368">
        <v>1.7105611289528031</v>
      </c>
      <c r="F368">
        <v>1.511701771928704</v>
      </c>
      <c r="G368">
        <f t="shared" si="5"/>
        <v>-0.19885935702409907</v>
      </c>
      <c r="H368">
        <v>5.4147439174576876E-3</v>
      </c>
      <c r="I368" t="s">
        <v>80</v>
      </c>
    </row>
    <row r="369" spans="1:9" x14ac:dyDescent="0.35">
      <c r="A369" t="s">
        <v>68</v>
      </c>
      <c r="B369" t="s">
        <v>48</v>
      </c>
      <c r="C369" t="s">
        <v>40</v>
      </c>
      <c r="D369">
        <v>2015</v>
      </c>
      <c r="E369">
        <v>1.8717908251089099</v>
      </c>
      <c r="F369">
        <v>1.511701771928704</v>
      </c>
      <c r="G369">
        <f t="shared" si="5"/>
        <v>-0.3600890531802059</v>
      </c>
      <c r="H369">
        <v>5.4147439174576876E-3</v>
      </c>
      <c r="I369" t="s">
        <v>80</v>
      </c>
    </row>
    <row r="370" spans="1:9" x14ac:dyDescent="0.35">
      <c r="A370" t="s">
        <v>73</v>
      </c>
      <c r="B370" t="s">
        <v>45</v>
      </c>
      <c r="C370" t="s">
        <v>38</v>
      </c>
      <c r="D370">
        <v>2015</v>
      </c>
      <c r="E370">
        <v>0.69497120757255892</v>
      </c>
      <c r="F370">
        <v>0.99352475042418931</v>
      </c>
      <c r="G370">
        <f t="shared" si="5"/>
        <v>0.29855354285163038</v>
      </c>
      <c r="H370">
        <v>2.8317362322561861E-3</v>
      </c>
      <c r="I370" t="s">
        <v>80</v>
      </c>
    </row>
    <row r="371" spans="1:9" x14ac:dyDescent="0.35">
      <c r="A371" t="s">
        <v>73</v>
      </c>
      <c r="B371" t="s">
        <v>46</v>
      </c>
      <c r="C371" t="s">
        <v>40</v>
      </c>
      <c r="D371">
        <v>2015</v>
      </c>
      <c r="E371">
        <v>1.4732524317461191</v>
      </c>
      <c r="F371">
        <v>0.99352475042418931</v>
      </c>
      <c r="G371">
        <f t="shared" si="5"/>
        <v>-0.47972768132192978</v>
      </c>
      <c r="H371">
        <v>2.8317362322561861E-3</v>
      </c>
      <c r="I371" t="s">
        <v>80</v>
      </c>
    </row>
    <row r="372" spans="1:9" x14ac:dyDescent="0.35">
      <c r="A372" t="s">
        <v>73</v>
      </c>
      <c r="B372" t="s">
        <v>47</v>
      </c>
      <c r="C372" t="s">
        <v>38</v>
      </c>
      <c r="D372">
        <v>2015</v>
      </c>
      <c r="E372">
        <v>1.0829396488476919</v>
      </c>
      <c r="F372">
        <v>0.99352475042418931</v>
      </c>
      <c r="G372">
        <f t="shared" si="5"/>
        <v>-8.9414898423502587E-2</v>
      </c>
      <c r="H372">
        <v>2.8317362322561861E-3</v>
      </c>
      <c r="I372" t="s">
        <v>80</v>
      </c>
    </row>
    <row r="373" spans="1:9" x14ac:dyDescent="0.35">
      <c r="A373" t="s">
        <v>73</v>
      </c>
      <c r="B373" t="s">
        <v>48</v>
      </c>
      <c r="C373" t="s">
        <v>40</v>
      </c>
      <c r="D373">
        <v>2015</v>
      </c>
      <c r="E373">
        <v>1.081963871443703</v>
      </c>
      <c r="F373">
        <v>0.99352475042418931</v>
      </c>
      <c r="G373">
        <f t="shared" si="5"/>
        <v>-8.8439121019513678E-2</v>
      </c>
      <c r="H373">
        <v>2.8317362322561861E-3</v>
      </c>
      <c r="I373" t="s">
        <v>80</v>
      </c>
    </row>
    <row r="374" spans="1:9" x14ac:dyDescent="0.35">
      <c r="A374" t="s">
        <v>74</v>
      </c>
      <c r="B374" t="s">
        <v>45</v>
      </c>
      <c r="C374" t="s">
        <v>38</v>
      </c>
      <c r="D374">
        <v>2015</v>
      </c>
      <c r="E374">
        <v>3.6221665910883831</v>
      </c>
      <c r="F374">
        <v>21.950744654507421</v>
      </c>
      <c r="G374">
        <f t="shared" si="5"/>
        <v>18.328578063419037</v>
      </c>
      <c r="H374">
        <v>1.2536821512101341E-2</v>
      </c>
      <c r="I374" t="s">
        <v>80</v>
      </c>
    </row>
    <row r="375" spans="1:9" x14ac:dyDescent="0.35">
      <c r="A375" t="s">
        <v>74</v>
      </c>
      <c r="B375" t="s">
        <v>46</v>
      </c>
      <c r="C375" t="s">
        <v>40</v>
      </c>
      <c r="D375">
        <v>2015</v>
      </c>
      <c r="E375">
        <v>2.99572233370986</v>
      </c>
      <c r="F375">
        <v>21.950744654507421</v>
      </c>
      <c r="G375">
        <f t="shared" si="5"/>
        <v>18.955022320797561</v>
      </c>
      <c r="H375">
        <v>1.2536821512101341E-2</v>
      </c>
      <c r="I375" t="s">
        <v>80</v>
      </c>
    </row>
    <row r="376" spans="1:9" x14ac:dyDescent="0.35">
      <c r="A376" t="s">
        <v>74</v>
      </c>
      <c r="B376" t="s">
        <v>47</v>
      </c>
      <c r="C376" t="s">
        <v>38</v>
      </c>
      <c r="D376">
        <v>2015</v>
      </c>
      <c r="E376">
        <v>6.0449344943167782</v>
      </c>
      <c r="F376">
        <v>21.950744654507421</v>
      </c>
      <c r="G376">
        <f t="shared" si="5"/>
        <v>15.905810160190644</v>
      </c>
      <c r="H376">
        <v>1.2536821512101341E-2</v>
      </c>
      <c r="I376" t="s">
        <v>80</v>
      </c>
    </row>
    <row r="377" spans="1:9" x14ac:dyDescent="0.35">
      <c r="A377" t="s">
        <v>74</v>
      </c>
      <c r="B377" t="s">
        <v>48</v>
      </c>
      <c r="C377" t="s">
        <v>40</v>
      </c>
      <c r="D377">
        <v>2015</v>
      </c>
      <c r="E377">
        <v>3.6070418929936339</v>
      </c>
      <c r="F377">
        <v>21.950744654507421</v>
      </c>
      <c r="G377">
        <f t="shared" si="5"/>
        <v>18.343702761513786</v>
      </c>
      <c r="H377">
        <v>1.2536821512101341E-2</v>
      </c>
      <c r="I377" t="s">
        <v>80</v>
      </c>
    </row>
    <row r="378" spans="1:9" x14ac:dyDescent="0.35">
      <c r="A378" t="s">
        <v>76</v>
      </c>
      <c r="B378" t="s">
        <v>45</v>
      </c>
      <c r="C378" t="s">
        <v>38</v>
      </c>
      <c r="D378">
        <v>2015</v>
      </c>
      <c r="E378">
        <v>1.4152411951803721</v>
      </c>
      <c r="F378">
        <v>2.075992985655045</v>
      </c>
      <c r="G378">
        <f t="shared" si="5"/>
        <v>0.66075179047467292</v>
      </c>
      <c r="H378">
        <v>3.2685922756560681E-2</v>
      </c>
      <c r="I378" t="s">
        <v>80</v>
      </c>
    </row>
    <row r="379" spans="1:9" x14ac:dyDescent="0.35">
      <c r="A379" t="s">
        <v>76</v>
      </c>
      <c r="B379" t="s">
        <v>46</v>
      </c>
      <c r="C379" t="s">
        <v>40</v>
      </c>
      <c r="D379">
        <v>2015</v>
      </c>
      <c r="E379">
        <v>1.3587126188379759</v>
      </c>
      <c r="F379">
        <v>2.075992985655045</v>
      </c>
      <c r="G379">
        <f t="shared" si="5"/>
        <v>0.71728036681706908</v>
      </c>
      <c r="H379">
        <v>3.2685922756560681E-2</v>
      </c>
      <c r="I379" t="s">
        <v>80</v>
      </c>
    </row>
    <row r="380" spans="1:9" x14ac:dyDescent="0.35">
      <c r="A380" t="s">
        <v>76</v>
      </c>
      <c r="B380" t="s">
        <v>47</v>
      </c>
      <c r="C380" t="s">
        <v>38</v>
      </c>
      <c r="D380">
        <v>2015</v>
      </c>
      <c r="E380">
        <v>2.048080115775686</v>
      </c>
      <c r="F380">
        <v>2.075992985655045</v>
      </c>
      <c r="G380">
        <f t="shared" si="5"/>
        <v>2.7912869879358926E-2</v>
      </c>
      <c r="H380">
        <v>3.2685922756560681E-2</v>
      </c>
      <c r="I380" t="s">
        <v>80</v>
      </c>
    </row>
    <row r="381" spans="1:9" x14ac:dyDescent="0.35">
      <c r="A381" t="s">
        <v>76</v>
      </c>
      <c r="B381" t="s">
        <v>48</v>
      </c>
      <c r="C381" t="s">
        <v>40</v>
      </c>
      <c r="D381">
        <v>2015</v>
      </c>
      <c r="E381">
        <v>1.634744403265187</v>
      </c>
      <c r="F381">
        <v>2.075992985655045</v>
      </c>
      <c r="G381">
        <f t="shared" si="5"/>
        <v>0.44124858238985798</v>
      </c>
      <c r="H381">
        <v>3.2685922756560681E-2</v>
      </c>
      <c r="I381" t="s">
        <v>80</v>
      </c>
    </row>
    <row r="382" spans="1:9" x14ac:dyDescent="0.35">
      <c r="A382" t="s">
        <v>36</v>
      </c>
      <c r="B382" t="s">
        <v>47</v>
      </c>
      <c r="C382" t="s">
        <v>38</v>
      </c>
      <c r="D382">
        <v>2016</v>
      </c>
      <c r="E382">
        <v>1.4571009650163671</v>
      </c>
      <c r="F382">
        <v>2.1495386728737769</v>
      </c>
      <c r="G382">
        <f t="shared" si="5"/>
        <v>0.69243770785740977</v>
      </c>
      <c r="H382">
        <v>5.5009113707549639E-3</v>
      </c>
      <c r="I382" t="s">
        <v>80</v>
      </c>
    </row>
    <row r="383" spans="1:9" x14ac:dyDescent="0.35">
      <c r="A383" t="s">
        <v>36</v>
      </c>
      <c r="B383" t="s">
        <v>48</v>
      </c>
      <c r="C383" t="s">
        <v>40</v>
      </c>
      <c r="D383">
        <v>2016</v>
      </c>
      <c r="E383">
        <v>1.4528661212303451</v>
      </c>
      <c r="F383">
        <v>2.1495386728737769</v>
      </c>
      <c r="G383">
        <f t="shared" si="5"/>
        <v>0.69667255164343178</v>
      </c>
      <c r="H383">
        <v>5.5009113707549639E-3</v>
      </c>
      <c r="I383" t="s">
        <v>80</v>
      </c>
    </row>
    <row r="384" spans="1:9" x14ac:dyDescent="0.35">
      <c r="A384" t="s">
        <v>36</v>
      </c>
      <c r="B384" t="s">
        <v>49</v>
      </c>
      <c r="C384" t="s">
        <v>38</v>
      </c>
      <c r="D384">
        <v>2016</v>
      </c>
      <c r="E384">
        <v>1.493056987075114</v>
      </c>
      <c r="F384">
        <v>2.1495386728737769</v>
      </c>
      <c r="G384">
        <f t="shared" si="5"/>
        <v>0.65648168579866284</v>
      </c>
      <c r="H384">
        <v>5.5009113707549639E-3</v>
      </c>
      <c r="I384" t="s">
        <v>80</v>
      </c>
    </row>
    <row r="385" spans="1:9" x14ac:dyDescent="0.35">
      <c r="A385" t="s">
        <v>36</v>
      </c>
      <c r="B385" t="s">
        <v>50</v>
      </c>
      <c r="C385" t="s">
        <v>40</v>
      </c>
      <c r="D385">
        <v>2016</v>
      </c>
      <c r="E385">
        <v>1.4756673621598939</v>
      </c>
      <c r="F385">
        <v>2.1495386728737769</v>
      </c>
      <c r="G385">
        <f t="shared" si="5"/>
        <v>0.67387131071388295</v>
      </c>
      <c r="H385">
        <v>5.5009113707549639E-3</v>
      </c>
      <c r="I385" t="s">
        <v>80</v>
      </c>
    </row>
    <row r="386" spans="1:9" x14ac:dyDescent="0.35">
      <c r="A386" t="s">
        <v>68</v>
      </c>
      <c r="B386" t="s">
        <v>47</v>
      </c>
      <c r="C386" t="s">
        <v>38</v>
      </c>
      <c r="D386">
        <v>2016</v>
      </c>
      <c r="E386">
        <v>1.9064608618794221</v>
      </c>
      <c r="F386">
        <v>2.1850659941992001</v>
      </c>
      <c r="G386">
        <f t="shared" ref="G386:G449" si="6">IF(OR(F386="",E386=""),"",F386-E386)</f>
        <v>0.27860513231977801</v>
      </c>
      <c r="H386">
        <v>5.3806800427406544E-3</v>
      </c>
      <c r="I386" t="s">
        <v>80</v>
      </c>
    </row>
    <row r="387" spans="1:9" x14ac:dyDescent="0.35">
      <c r="A387" t="s">
        <v>68</v>
      </c>
      <c r="B387" t="s">
        <v>48</v>
      </c>
      <c r="C387" t="s">
        <v>40</v>
      </c>
      <c r="D387">
        <v>2016</v>
      </c>
      <c r="E387">
        <v>2.0247448397811012</v>
      </c>
      <c r="F387">
        <v>2.1850659941992001</v>
      </c>
      <c r="G387">
        <f t="shared" si="6"/>
        <v>0.16032115441809891</v>
      </c>
      <c r="H387">
        <v>5.3806800427406544E-3</v>
      </c>
      <c r="I387" t="s">
        <v>80</v>
      </c>
    </row>
    <row r="388" spans="1:9" x14ac:dyDescent="0.35">
      <c r="A388" t="s">
        <v>68</v>
      </c>
      <c r="B388" t="s">
        <v>49</v>
      </c>
      <c r="C388" t="s">
        <v>38</v>
      </c>
      <c r="D388">
        <v>2016</v>
      </c>
      <c r="E388">
        <v>1.9388708932542631</v>
      </c>
      <c r="F388">
        <v>2.1850659941992001</v>
      </c>
      <c r="G388">
        <f t="shared" si="6"/>
        <v>0.24619510094493702</v>
      </c>
      <c r="H388">
        <v>5.3806800427406544E-3</v>
      </c>
      <c r="I388" t="s">
        <v>80</v>
      </c>
    </row>
    <row r="389" spans="1:9" x14ac:dyDescent="0.35">
      <c r="A389" t="s">
        <v>68</v>
      </c>
      <c r="B389" t="s">
        <v>50</v>
      </c>
      <c r="C389" t="s">
        <v>40</v>
      </c>
      <c r="D389">
        <v>2016</v>
      </c>
      <c r="E389">
        <v>1.624850184809512</v>
      </c>
      <c r="F389">
        <v>2.1850659941992001</v>
      </c>
      <c r="G389">
        <f t="shared" si="6"/>
        <v>0.56021580938968807</v>
      </c>
      <c r="H389">
        <v>5.3806800427406544E-3</v>
      </c>
      <c r="I389" t="s">
        <v>80</v>
      </c>
    </row>
    <row r="390" spans="1:9" x14ac:dyDescent="0.35">
      <c r="A390" t="s">
        <v>73</v>
      </c>
      <c r="B390" t="s">
        <v>47</v>
      </c>
      <c r="C390" t="s">
        <v>38</v>
      </c>
      <c r="D390">
        <v>2016</v>
      </c>
      <c r="E390">
        <v>1.4293943423307589</v>
      </c>
      <c r="F390">
        <v>0.7341997048160207</v>
      </c>
      <c r="G390">
        <f t="shared" si="6"/>
        <v>-0.6951946375147382</v>
      </c>
      <c r="H390">
        <v>2.7643537690768671E-3</v>
      </c>
      <c r="I390" t="s">
        <v>80</v>
      </c>
    </row>
    <row r="391" spans="1:9" x14ac:dyDescent="0.35">
      <c r="A391" t="s">
        <v>73</v>
      </c>
      <c r="B391" t="s">
        <v>48</v>
      </c>
      <c r="C391" t="s">
        <v>40</v>
      </c>
      <c r="D391">
        <v>2016</v>
      </c>
      <c r="E391">
        <v>1.6816047146198001</v>
      </c>
      <c r="F391">
        <v>0.7341997048160207</v>
      </c>
      <c r="G391">
        <f t="shared" si="6"/>
        <v>-0.9474050098037794</v>
      </c>
      <c r="H391">
        <v>2.7643537690768671E-3</v>
      </c>
      <c r="I391" t="s">
        <v>80</v>
      </c>
    </row>
    <row r="392" spans="1:9" x14ac:dyDescent="0.35">
      <c r="A392" t="s">
        <v>73</v>
      </c>
      <c r="B392" t="s">
        <v>49</v>
      </c>
      <c r="C392" t="s">
        <v>38</v>
      </c>
      <c r="D392">
        <v>2016</v>
      </c>
      <c r="E392">
        <v>1.254473785454957</v>
      </c>
      <c r="F392">
        <v>0.7341997048160207</v>
      </c>
      <c r="G392">
        <f t="shared" si="6"/>
        <v>-0.52027408063893632</v>
      </c>
      <c r="H392">
        <v>2.7643537690768671E-3</v>
      </c>
      <c r="I392" t="s">
        <v>80</v>
      </c>
    </row>
    <row r="393" spans="1:9" x14ac:dyDescent="0.35">
      <c r="A393" t="s">
        <v>73</v>
      </c>
      <c r="B393" t="s">
        <v>50</v>
      </c>
      <c r="C393" t="s">
        <v>40</v>
      </c>
      <c r="D393">
        <v>2016</v>
      </c>
      <c r="E393">
        <v>1.331417785335498</v>
      </c>
      <c r="F393">
        <v>0.7341997048160207</v>
      </c>
      <c r="G393">
        <f t="shared" si="6"/>
        <v>-0.59721808051947733</v>
      </c>
      <c r="H393">
        <v>2.7643537690768671E-3</v>
      </c>
      <c r="I393" t="s">
        <v>80</v>
      </c>
    </row>
    <row r="394" spans="1:9" x14ac:dyDescent="0.35">
      <c r="A394" t="s">
        <v>74</v>
      </c>
      <c r="B394" t="s">
        <v>47</v>
      </c>
      <c r="C394" t="s">
        <v>38</v>
      </c>
      <c r="D394">
        <v>2016</v>
      </c>
      <c r="E394">
        <v>4.4841243342324866</v>
      </c>
      <c r="F394">
        <v>1.1725462785856491</v>
      </c>
      <c r="G394">
        <f t="shared" si="6"/>
        <v>-3.3115780556468373</v>
      </c>
      <c r="H394">
        <v>1.039757696796211E-2</v>
      </c>
      <c r="I394" t="s">
        <v>80</v>
      </c>
    </row>
    <row r="395" spans="1:9" x14ac:dyDescent="0.35">
      <c r="A395" t="s">
        <v>74</v>
      </c>
      <c r="B395" t="s">
        <v>48</v>
      </c>
      <c r="C395" t="s">
        <v>40</v>
      </c>
      <c r="D395">
        <v>2016</v>
      </c>
      <c r="E395">
        <v>3.4764574668220138</v>
      </c>
      <c r="F395">
        <v>1.1725462785856491</v>
      </c>
      <c r="G395">
        <f t="shared" si="6"/>
        <v>-2.3039111882363645</v>
      </c>
      <c r="H395">
        <v>1.039757696796211E-2</v>
      </c>
      <c r="I395" t="s">
        <v>80</v>
      </c>
    </row>
    <row r="396" spans="1:9" x14ac:dyDescent="0.35">
      <c r="A396" t="s">
        <v>74</v>
      </c>
      <c r="B396" t="s">
        <v>49</v>
      </c>
      <c r="C396" t="s">
        <v>38</v>
      </c>
      <c r="D396">
        <v>2016</v>
      </c>
      <c r="E396">
        <v>4.0884411162628984</v>
      </c>
      <c r="F396">
        <v>1.1725462785856491</v>
      </c>
      <c r="G396">
        <f t="shared" si="6"/>
        <v>-2.9158948376772491</v>
      </c>
      <c r="H396">
        <v>1.039757696796211E-2</v>
      </c>
      <c r="I396" t="s">
        <v>80</v>
      </c>
    </row>
    <row r="397" spans="1:9" x14ac:dyDescent="0.35">
      <c r="A397" t="s">
        <v>74</v>
      </c>
      <c r="B397" t="s">
        <v>50</v>
      </c>
      <c r="C397" t="s">
        <v>40</v>
      </c>
      <c r="D397">
        <v>2016</v>
      </c>
      <c r="E397">
        <v>4.8687098071762858</v>
      </c>
      <c r="F397">
        <v>1.1725462785856491</v>
      </c>
      <c r="G397">
        <f t="shared" si="6"/>
        <v>-3.6961635285906365</v>
      </c>
      <c r="H397">
        <v>1.039757696796211E-2</v>
      </c>
      <c r="I397" t="s">
        <v>80</v>
      </c>
    </row>
    <row r="398" spans="1:9" x14ac:dyDescent="0.35">
      <c r="A398" t="s">
        <v>76</v>
      </c>
      <c r="B398" t="s">
        <v>47</v>
      </c>
      <c r="C398" t="s">
        <v>38</v>
      </c>
      <c r="D398">
        <v>2016</v>
      </c>
      <c r="E398">
        <v>2.1325986777734669</v>
      </c>
      <c r="F398">
        <v>2.3909782656438301</v>
      </c>
      <c r="G398">
        <f t="shared" si="6"/>
        <v>0.25837958787036319</v>
      </c>
      <c r="H398">
        <v>3.3329279039429373E-2</v>
      </c>
      <c r="I398" t="s">
        <v>80</v>
      </c>
    </row>
    <row r="399" spans="1:9" x14ac:dyDescent="0.35">
      <c r="A399" t="s">
        <v>76</v>
      </c>
      <c r="B399" t="s">
        <v>48</v>
      </c>
      <c r="C399" t="s">
        <v>40</v>
      </c>
      <c r="D399">
        <v>2016</v>
      </c>
      <c r="E399">
        <v>1.7327119888610909</v>
      </c>
      <c r="F399">
        <v>2.3909782656438301</v>
      </c>
      <c r="G399">
        <f t="shared" si="6"/>
        <v>0.65826627678273919</v>
      </c>
      <c r="H399">
        <v>3.3329279039429373E-2</v>
      </c>
      <c r="I399" t="s">
        <v>80</v>
      </c>
    </row>
    <row r="400" spans="1:9" x14ac:dyDescent="0.35">
      <c r="A400" t="s">
        <v>76</v>
      </c>
      <c r="B400" t="s">
        <v>49</v>
      </c>
      <c r="C400" t="s">
        <v>38</v>
      </c>
      <c r="D400">
        <v>2016</v>
      </c>
      <c r="E400">
        <v>1.6589744219452249</v>
      </c>
      <c r="F400">
        <v>2.3909782656438301</v>
      </c>
      <c r="G400">
        <f t="shared" si="6"/>
        <v>0.73200384369860516</v>
      </c>
      <c r="H400">
        <v>3.3329279039429373E-2</v>
      </c>
      <c r="I400" t="s">
        <v>80</v>
      </c>
    </row>
    <row r="401" spans="1:9" x14ac:dyDescent="0.35">
      <c r="A401" t="s">
        <v>76</v>
      </c>
      <c r="B401" t="s">
        <v>50</v>
      </c>
      <c r="C401" t="s">
        <v>40</v>
      </c>
      <c r="D401">
        <v>2016</v>
      </c>
      <c r="E401">
        <v>1.6774792555238389</v>
      </c>
      <c r="F401">
        <v>2.3909782656438301</v>
      </c>
      <c r="G401">
        <f t="shared" si="6"/>
        <v>0.71349901011999117</v>
      </c>
      <c r="H401">
        <v>3.3329279039429373E-2</v>
      </c>
      <c r="I401" t="s">
        <v>80</v>
      </c>
    </row>
    <row r="402" spans="1:9" x14ac:dyDescent="0.35">
      <c r="A402" t="s">
        <v>36</v>
      </c>
      <c r="B402" t="s">
        <v>49</v>
      </c>
      <c r="C402" t="s">
        <v>38</v>
      </c>
      <c r="D402">
        <v>2017</v>
      </c>
      <c r="E402">
        <v>1.5818491497620271</v>
      </c>
      <c r="F402">
        <v>2.3680132788277781</v>
      </c>
      <c r="G402">
        <f t="shared" si="6"/>
        <v>0.78616412906575106</v>
      </c>
      <c r="H402">
        <v>5.3416232953854264E-3</v>
      </c>
      <c r="I402" t="s">
        <v>80</v>
      </c>
    </row>
    <row r="403" spans="1:9" x14ac:dyDescent="0.35">
      <c r="A403" t="s">
        <v>36</v>
      </c>
      <c r="B403" t="s">
        <v>50</v>
      </c>
      <c r="C403" t="s">
        <v>40</v>
      </c>
      <c r="D403">
        <v>2017</v>
      </c>
      <c r="E403">
        <v>1.626978361111475</v>
      </c>
      <c r="F403">
        <v>2.3680132788277781</v>
      </c>
      <c r="G403">
        <f t="shared" si="6"/>
        <v>0.74103491771630314</v>
      </c>
      <c r="H403">
        <v>5.3416232953854264E-3</v>
      </c>
      <c r="I403" t="s">
        <v>80</v>
      </c>
    </row>
    <row r="404" spans="1:9" x14ac:dyDescent="0.35">
      <c r="A404" t="s">
        <v>36</v>
      </c>
      <c r="B404" t="s">
        <v>51</v>
      </c>
      <c r="C404" t="s">
        <v>38</v>
      </c>
      <c r="D404">
        <v>2017</v>
      </c>
      <c r="E404">
        <v>2.5716586567718469</v>
      </c>
      <c r="F404">
        <v>2.3680132788277781</v>
      </c>
      <c r="G404">
        <f t="shared" si="6"/>
        <v>-0.20364537794406878</v>
      </c>
      <c r="H404">
        <v>5.3416232953854264E-3</v>
      </c>
      <c r="I404" t="s">
        <v>80</v>
      </c>
    </row>
    <row r="405" spans="1:9" x14ac:dyDescent="0.35">
      <c r="A405" t="s">
        <v>36</v>
      </c>
      <c r="B405" t="s">
        <v>52</v>
      </c>
      <c r="C405" t="s">
        <v>40</v>
      </c>
      <c r="D405">
        <v>2017</v>
      </c>
      <c r="E405">
        <v>1.728692467241477</v>
      </c>
      <c r="F405">
        <v>2.3680132788277781</v>
      </c>
      <c r="G405">
        <f t="shared" si="6"/>
        <v>0.63932081158630116</v>
      </c>
      <c r="H405">
        <v>5.3416232953854264E-3</v>
      </c>
      <c r="I405" t="s">
        <v>80</v>
      </c>
    </row>
    <row r="406" spans="1:9" x14ac:dyDescent="0.35">
      <c r="A406" t="s">
        <v>67</v>
      </c>
      <c r="B406" t="s">
        <v>49</v>
      </c>
      <c r="C406" t="s">
        <v>38</v>
      </c>
      <c r="D406">
        <v>2017</v>
      </c>
      <c r="E406">
        <v>1.3129307877172809</v>
      </c>
      <c r="F406">
        <v>1.4637105039357461</v>
      </c>
      <c r="G406">
        <f t="shared" si="6"/>
        <v>0.1507797162184652</v>
      </c>
      <c r="H406">
        <v>2.8564511679683561E-3</v>
      </c>
      <c r="I406" t="s">
        <v>80</v>
      </c>
    </row>
    <row r="407" spans="1:9" x14ac:dyDescent="0.35">
      <c r="A407" t="s">
        <v>67</v>
      </c>
      <c r="B407" t="s">
        <v>50</v>
      </c>
      <c r="C407" t="s">
        <v>40</v>
      </c>
      <c r="D407">
        <v>2017</v>
      </c>
      <c r="E407">
        <v>1.566209901734994</v>
      </c>
      <c r="F407">
        <v>1.4637105039357461</v>
      </c>
      <c r="G407">
        <f t="shared" si="6"/>
        <v>-0.10249939779924788</v>
      </c>
      <c r="H407">
        <v>2.8564511679683561E-3</v>
      </c>
      <c r="I407" t="s">
        <v>80</v>
      </c>
    </row>
    <row r="408" spans="1:9" x14ac:dyDescent="0.35">
      <c r="A408" t="s">
        <v>67</v>
      </c>
      <c r="B408" t="s">
        <v>51</v>
      </c>
      <c r="C408" t="s">
        <v>38</v>
      </c>
      <c r="D408">
        <v>2017</v>
      </c>
      <c r="E408">
        <v>1.732555567629479</v>
      </c>
      <c r="F408">
        <v>1.4637105039357461</v>
      </c>
      <c r="G408">
        <f t="shared" si="6"/>
        <v>-0.26884506369373296</v>
      </c>
      <c r="H408">
        <v>2.8564511679683561E-3</v>
      </c>
      <c r="I408" t="s">
        <v>80</v>
      </c>
    </row>
    <row r="409" spans="1:9" x14ac:dyDescent="0.35">
      <c r="A409" t="s">
        <v>67</v>
      </c>
      <c r="B409" t="s">
        <v>52</v>
      </c>
      <c r="C409" t="s">
        <v>40</v>
      </c>
      <c r="D409">
        <v>2017</v>
      </c>
      <c r="E409">
        <v>1.543494370971477</v>
      </c>
      <c r="F409">
        <v>1.4637105039357461</v>
      </c>
      <c r="G409">
        <f t="shared" si="6"/>
        <v>-7.9783867035730927E-2</v>
      </c>
      <c r="H409">
        <v>2.8564511679683561E-3</v>
      </c>
      <c r="I409" t="s">
        <v>80</v>
      </c>
    </row>
    <row r="410" spans="1:9" x14ac:dyDescent="0.35">
      <c r="A410" t="s">
        <v>68</v>
      </c>
      <c r="B410" t="s">
        <v>49</v>
      </c>
      <c r="C410" t="s">
        <v>38</v>
      </c>
      <c r="D410">
        <v>2017</v>
      </c>
      <c r="E410">
        <v>1.4744000913811779</v>
      </c>
      <c r="F410">
        <v>3.139119319610074</v>
      </c>
      <c r="G410">
        <f t="shared" si="6"/>
        <v>1.6647192282288961</v>
      </c>
      <c r="H410">
        <v>6.2433576307011837E-3</v>
      </c>
      <c r="I410" t="s">
        <v>80</v>
      </c>
    </row>
    <row r="411" spans="1:9" x14ac:dyDescent="0.35">
      <c r="A411" t="s">
        <v>68</v>
      </c>
      <c r="B411" t="s">
        <v>50</v>
      </c>
      <c r="C411" t="s">
        <v>40</v>
      </c>
      <c r="D411">
        <v>2017</v>
      </c>
      <c r="E411">
        <v>1.5665137095587811</v>
      </c>
      <c r="F411">
        <v>3.139119319610074</v>
      </c>
      <c r="G411">
        <f t="shared" si="6"/>
        <v>1.5726056100512928</v>
      </c>
      <c r="H411">
        <v>6.2433576307011837E-3</v>
      </c>
      <c r="I411" t="s">
        <v>80</v>
      </c>
    </row>
    <row r="412" spans="1:9" x14ac:dyDescent="0.35">
      <c r="A412" t="s">
        <v>68</v>
      </c>
      <c r="B412" t="s">
        <v>51</v>
      </c>
      <c r="C412" t="s">
        <v>38</v>
      </c>
      <c r="D412">
        <v>2017</v>
      </c>
      <c r="E412">
        <v>2.1518537819505301</v>
      </c>
      <c r="F412">
        <v>3.139119319610074</v>
      </c>
      <c r="G412">
        <f t="shared" si="6"/>
        <v>0.98726553765954383</v>
      </c>
      <c r="H412">
        <v>6.2433576307011837E-3</v>
      </c>
      <c r="I412" t="s">
        <v>80</v>
      </c>
    </row>
    <row r="413" spans="1:9" x14ac:dyDescent="0.35">
      <c r="A413" t="s">
        <v>68</v>
      </c>
      <c r="B413" t="s">
        <v>52</v>
      </c>
      <c r="C413" t="s">
        <v>40</v>
      </c>
      <c r="D413">
        <v>2017</v>
      </c>
      <c r="E413">
        <v>1.6411721834364681</v>
      </c>
      <c r="F413">
        <v>3.139119319610074</v>
      </c>
      <c r="G413">
        <f t="shared" si="6"/>
        <v>1.4979471361736059</v>
      </c>
      <c r="H413">
        <v>6.2433576307011837E-3</v>
      </c>
      <c r="I413" t="s">
        <v>80</v>
      </c>
    </row>
    <row r="414" spans="1:9" x14ac:dyDescent="0.35">
      <c r="A414" t="s">
        <v>73</v>
      </c>
      <c r="B414" t="s">
        <v>49</v>
      </c>
      <c r="C414" t="s">
        <v>38</v>
      </c>
      <c r="D414">
        <v>2017</v>
      </c>
      <c r="E414">
        <v>1.3568331696729889</v>
      </c>
      <c r="F414">
        <v>2.2441414587468929</v>
      </c>
      <c r="G414">
        <f t="shared" si="6"/>
        <v>0.88730828907390391</v>
      </c>
      <c r="H414">
        <v>2.9273748927723382E-3</v>
      </c>
      <c r="I414" t="s">
        <v>80</v>
      </c>
    </row>
    <row r="415" spans="1:9" x14ac:dyDescent="0.35">
      <c r="A415" t="s">
        <v>73</v>
      </c>
      <c r="B415" t="s">
        <v>50</v>
      </c>
      <c r="C415" t="s">
        <v>40</v>
      </c>
      <c r="D415">
        <v>2017</v>
      </c>
      <c r="E415">
        <v>1.686145619472357</v>
      </c>
      <c r="F415">
        <v>2.2441414587468929</v>
      </c>
      <c r="G415">
        <f t="shared" si="6"/>
        <v>0.55799583927453589</v>
      </c>
      <c r="H415">
        <v>2.9273748927723382E-3</v>
      </c>
      <c r="I415" t="s">
        <v>80</v>
      </c>
    </row>
    <row r="416" spans="1:9" x14ac:dyDescent="0.35">
      <c r="A416" t="s">
        <v>73</v>
      </c>
      <c r="B416" t="s">
        <v>51</v>
      </c>
      <c r="C416" t="s">
        <v>38</v>
      </c>
      <c r="D416">
        <v>2017</v>
      </c>
      <c r="E416">
        <v>1.6108305416448809</v>
      </c>
      <c r="F416">
        <v>2.2441414587468929</v>
      </c>
      <c r="G416">
        <f t="shared" si="6"/>
        <v>0.63331091710201193</v>
      </c>
      <c r="H416">
        <v>2.9273748927723382E-3</v>
      </c>
      <c r="I416" t="s">
        <v>80</v>
      </c>
    </row>
    <row r="417" spans="1:9" x14ac:dyDescent="0.35">
      <c r="A417" t="s">
        <v>73</v>
      </c>
      <c r="B417" t="s">
        <v>52</v>
      </c>
      <c r="C417" t="s">
        <v>40</v>
      </c>
      <c r="D417">
        <v>2017</v>
      </c>
      <c r="E417">
        <v>1.353609964652547</v>
      </c>
      <c r="F417">
        <v>2.2441414587468929</v>
      </c>
      <c r="G417">
        <f t="shared" si="6"/>
        <v>0.89053149409434584</v>
      </c>
      <c r="H417">
        <v>2.9273748927723382E-3</v>
      </c>
      <c r="I417" t="s">
        <v>80</v>
      </c>
    </row>
    <row r="418" spans="1:9" x14ac:dyDescent="0.35">
      <c r="A418" t="s">
        <v>74</v>
      </c>
      <c r="B418" t="s">
        <v>49</v>
      </c>
      <c r="C418" t="s">
        <v>38</v>
      </c>
      <c r="D418">
        <v>2017</v>
      </c>
      <c r="E418">
        <v>3.6014209648164601</v>
      </c>
      <c r="F418">
        <v>9.6242949957613337</v>
      </c>
      <c r="G418">
        <f t="shared" si="6"/>
        <v>6.0228740309448732</v>
      </c>
      <c r="H418">
        <v>9.9008587730576251E-3</v>
      </c>
      <c r="I418" t="s">
        <v>80</v>
      </c>
    </row>
    <row r="419" spans="1:9" x14ac:dyDescent="0.35">
      <c r="A419" t="s">
        <v>74</v>
      </c>
      <c r="B419" t="s">
        <v>50</v>
      </c>
      <c r="C419" t="s">
        <v>40</v>
      </c>
      <c r="D419">
        <v>2017</v>
      </c>
      <c r="E419">
        <v>3.6717987560630938</v>
      </c>
      <c r="F419">
        <v>9.6242949957613337</v>
      </c>
      <c r="G419">
        <f t="shared" si="6"/>
        <v>5.9524962396982399</v>
      </c>
      <c r="H419">
        <v>9.9008587730576251E-3</v>
      </c>
      <c r="I419" t="s">
        <v>80</v>
      </c>
    </row>
    <row r="420" spans="1:9" x14ac:dyDescent="0.35">
      <c r="A420" t="s">
        <v>74</v>
      </c>
      <c r="B420" t="s">
        <v>51</v>
      </c>
      <c r="C420" t="s">
        <v>38</v>
      </c>
      <c r="D420">
        <v>2017</v>
      </c>
      <c r="E420">
        <v>4.8263025218790556</v>
      </c>
      <c r="F420">
        <v>9.6242949957613337</v>
      </c>
      <c r="G420">
        <f t="shared" si="6"/>
        <v>4.7979924738822781</v>
      </c>
      <c r="H420">
        <v>9.9008587730576251E-3</v>
      </c>
      <c r="I420" t="s">
        <v>80</v>
      </c>
    </row>
    <row r="421" spans="1:9" x14ac:dyDescent="0.35">
      <c r="A421" t="s">
        <v>74</v>
      </c>
      <c r="B421" t="s">
        <v>52</v>
      </c>
      <c r="C421" t="s">
        <v>40</v>
      </c>
      <c r="D421">
        <v>2017</v>
      </c>
      <c r="E421">
        <v>3.9509452446526701</v>
      </c>
      <c r="F421">
        <v>9.6242949957613337</v>
      </c>
      <c r="G421">
        <f t="shared" si="6"/>
        <v>5.6733497511086632</v>
      </c>
      <c r="H421">
        <v>9.9008587730576251E-3</v>
      </c>
      <c r="I421" t="s">
        <v>80</v>
      </c>
    </row>
    <row r="422" spans="1:9" x14ac:dyDescent="0.35">
      <c r="A422" t="s">
        <v>76</v>
      </c>
      <c r="B422" t="s">
        <v>49</v>
      </c>
      <c r="C422" t="s">
        <v>38</v>
      </c>
      <c r="D422">
        <v>2017</v>
      </c>
      <c r="E422">
        <v>1.6517530585588249</v>
      </c>
      <c r="F422">
        <v>2.7431906089065579</v>
      </c>
      <c r="G422">
        <f t="shared" si="6"/>
        <v>1.0914375503477329</v>
      </c>
      <c r="H422">
        <v>3.1898869597727753E-2</v>
      </c>
      <c r="I422" t="s">
        <v>80</v>
      </c>
    </row>
    <row r="423" spans="1:9" x14ac:dyDescent="0.35">
      <c r="A423" t="s">
        <v>76</v>
      </c>
      <c r="B423" t="s">
        <v>50</v>
      </c>
      <c r="C423" t="s">
        <v>40</v>
      </c>
      <c r="D423">
        <v>2017</v>
      </c>
      <c r="E423">
        <v>1.9694041267229729</v>
      </c>
      <c r="F423">
        <v>2.7431906089065579</v>
      </c>
      <c r="G423">
        <f t="shared" si="6"/>
        <v>0.77378648218358492</v>
      </c>
      <c r="H423">
        <v>3.1898869597727753E-2</v>
      </c>
      <c r="I423" t="s">
        <v>80</v>
      </c>
    </row>
    <row r="424" spans="1:9" x14ac:dyDescent="0.35">
      <c r="A424" t="s">
        <v>76</v>
      </c>
      <c r="B424" t="s">
        <v>51</v>
      </c>
      <c r="C424" t="s">
        <v>38</v>
      </c>
      <c r="D424">
        <v>2017</v>
      </c>
      <c r="E424">
        <v>3.2081591137887999</v>
      </c>
      <c r="F424">
        <v>2.7431906089065579</v>
      </c>
      <c r="G424">
        <f t="shared" si="6"/>
        <v>-0.46496850488224206</v>
      </c>
      <c r="H424">
        <v>3.1898869597727753E-2</v>
      </c>
      <c r="I424" t="s">
        <v>80</v>
      </c>
    </row>
    <row r="425" spans="1:9" x14ac:dyDescent="0.35">
      <c r="A425" t="s">
        <v>76</v>
      </c>
      <c r="B425" t="s">
        <v>52</v>
      </c>
      <c r="C425" t="s">
        <v>40</v>
      </c>
      <c r="D425">
        <v>2017</v>
      </c>
      <c r="E425">
        <v>2.1108256212513781</v>
      </c>
      <c r="F425">
        <v>2.7431906089065579</v>
      </c>
      <c r="G425">
        <f t="shared" si="6"/>
        <v>0.63236498765517979</v>
      </c>
      <c r="H425">
        <v>3.1898869597727753E-2</v>
      </c>
      <c r="I425" t="s">
        <v>80</v>
      </c>
    </row>
    <row r="426" spans="1:9" x14ac:dyDescent="0.35">
      <c r="A426" t="s">
        <v>36</v>
      </c>
      <c r="B426" t="s">
        <v>51</v>
      </c>
      <c r="C426" t="s">
        <v>38</v>
      </c>
      <c r="D426">
        <v>2018</v>
      </c>
      <c r="E426">
        <v>2.3931358040782502</v>
      </c>
      <c r="F426">
        <v>2.3622453086648898</v>
      </c>
      <c r="G426">
        <f t="shared" si="6"/>
        <v>-3.0890495413360419E-2</v>
      </c>
      <c r="H426">
        <v>6.1210722167909584E-3</v>
      </c>
      <c r="I426" t="s">
        <v>80</v>
      </c>
    </row>
    <row r="427" spans="1:9" x14ac:dyDescent="0.35">
      <c r="A427" t="s">
        <v>36</v>
      </c>
      <c r="B427" t="s">
        <v>52</v>
      </c>
      <c r="C427" t="s">
        <v>40</v>
      </c>
      <c r="D427">
        <v>2018</v>
      </c>
      <c r="E427">
        <v>1.65788346393998</v>
      </c>
      <c r="F427">
        <v>2.3622453086648898</v>
      </c>
      <c r="G427">
        <f t="shared" si="6"/>
        <v>0.70436184472490981</v>
      </c>
      <c r="H427">
        <v>6.1210722167909584E-3</v>
      </c>
      <c r="I427" t="s">
        <v>80</v>
      </c>
    </row>
    <row r="428" spans="1:9" x14ac:dyDescent="0.35">
      <c r="A428" t="s">
        <v>36</v>
      </c>
      <c r="B428" t="s">
        <v>53</v>
      </c>
      <c r="C428" t="s">
        <v>38</v>
      </c>
      <c r="D428">
        <v>2018</v>
      </c>
      <c r="E428">
        <v>2.740700342709967</v>
      </c>
      <c r="F428">
        <v>2.3622453086648898</v>
      </c>
      <c r="G428">
        <f t="shared" si="6"/>
        <v>-0.37845503404507719</v>
      </c>
      <c r="H428">
        <v>6.1210722167909584E-3</v>
      </c>
      <c r="I428" t="s">
        <v>80</v>
      </c>
    </row>
    <row r="429" spans="1:9" x14ac:dyDescent="0.35">
      <c r="A429" t="s">
        <v>36</v>
      </c>
      <c r="B429" t="s">
        <v>54</v>
      </c>
      <c r="C429" t="s">
        <v>40</v>
      </c>
      <c r="D429">
        <v>2018</v>
      </c>
      <c r="E429">
        <v>2.8029630500962628</v>
      </c>
      <c r="F429">
        <v>2.3622453086648898</v>
      </c>
      <c r="G429">
        <f t="shared" si="6"/>
        <v>-0.44071774143137299</v>
      </c>
      <c r="H429">
        <v>6.1210722167909584E-3</v>
      </c>
      <c r="I429" t="s">
        <v>80</v>
      </c>
    </row>
    <row r="430" spans="1:9" x14ac:dyDescent="0.35">
      <c r="A430" t="s">
        <v>68</v>
      </c>
      <c r="B430" t="s">
        <v>51</v>
      </c>
      <c r="C430" t="s">
        <v>38</v>
      </c>
      <c r="D430">
        <v>2018</v>
      </c>
      <c r="E430">
        <v>2.1207866853858448</v>
      </c>
      <c r="F430">
        <v>1.2673227814059229</v>
      </c>
      <c r="G430">
        <f t="shared" si="6"/>
        <v>-0.85346390397992189</v>
      </c>
      <c r="H430">
        <v>6.8209627085312934E-3</v>
      </c>
      <c r="I430" t="s">
        <v>80</v>
      </c>
    </row>
    <row r="431" spans="1:9" x14ac:dyDescent="0.35">
      <c r="A431" t="s">
        <v>68</v>
      </c>
      <c r="B431" t="s">
        <v>52</v>
      </c>
      <c r="C431" t="s">
        <v>40</v>
      </c>
      <c r="D431">
        <v>2018</v>
      </c>
      <c r="E431">
        <v>1.853976950650349</v>
      </c>
      <c r="F431">
        <v>1.2673227814059229</v>
      </c>
      <c r="G431">
        <f t="shared" si="6"/>
        <v>-0.58665416924442604</v>
      </c>
      <c r="H431">
        <v>6.8209627085312934E-3</v>
      </c>
      <c r="I431" t="s">
        <v>80</v>
      </c>
    </row>
    <row r="432" spans="1:9" x14ac:dyDescent="0.35">
      <c r="A432" t="s">
        <v>68</v>
      </c>
      <c r="B432" t="s">
        <v>53</v>
      </c>
      <c r="C432" t="s">
        <v>38</v>
      </c>
      <c r="D432">
        <v>2018</v>
      </c>
      <c r="E432">
        <v>1.7181609113874341</v>
      </c>
      <c r="F432">
        <v>1.2673227814059229</v>
      </c>
      <c r="G432">
        <f t="shared" si="6"/>
        <v>-0.45083812998151118</v>
      </c>
      <c r="H432">
        <v>6.8209627085312934E-3</v>
      </c>
      <c r="I432" t="s">
        <v>80</v>
      </c>
    </row>
    <row r="433" spans="1:9" x14ac:dyDescent="0.35">
      <c r="A433" t="s">
        <v>68</v>
      </c>
      <c r="B433" t="s">
        <v>54</v>
      </c>
      <c r="C433" t="s">
        <v>40</v>
      </c>
      <c r="D433">
        <v>2018</v>
      </c>
      <c r="E433">
        <v>2.3062043523037761</v>
      </c>
      <c r="F433">
        <v>1.2673227814059229</v>
      </c>
      <c r="G433">
        <f t="shared" si="6"/>
        <v>-1.0388815708978532</v>
      </c>
      <c r="H433">
        <v>6.8209627085312934E-3</v>
      </c>
      <c r="I433" t="s">
        <v>80</v>
      </c>
    </row>
    <row r="434" spans="1:9" x14ac:dyDescent="0.35">
      <c r="A434" t="s">
        <v>73</v>
      </c>
      <c r="B434" t="s">
        <v>51</v>
      </c>
      <c r="C434" t="s">
        <v>38</v>
      </c>
      <c r="D434">
        <v>2018</v>
      </c>
      <c r="E434">
        <v>1.745757461080699</v>
      </c>
      <c r="F434">
        <v>1.5720137685547519</v>
      </c>
      <c r="G434">
        <f t="shared" si="6"/>
        <v>-0.17374369252594701</v>
      </c>
      <c r="H434">
        <v>3.2495723826400568E-3</v>
      </c>
      <c r="I434" t="s">
        <v>80</v>
      </c>
    </row>
    <row r="435" spans="1:9" x14ac:dyDescent="0.35">
      <c r="A435" t="s">
        <v>73</v>
      </c>
      <c r="B435" t="s">
        <v>52</v>
      </c>
      <c r="C435" t="s">
        <v>40</v>
      </c>
      <c r="D435">
        <v>2018</v>
      </c>
      <c r="E435">
        <v>1.72584962487905</v>
      </c>
      <c r="F435">
        <v>1.5720137685547519</v>
      </c>
      <c r="G435">
        <f t="shared" si="6"/>
        <v>-0.15383585632429808</v>
      </c>
      <c r="H435">
        <v>3.2495723826400568E-3</v>
      </c>
      <c r="I435" t="s">
        <v>80</v>
      </c>
    </row>
    <row r="436" spans="1:9" x14ac:dyDescent="0.35">
      <c r="A436" t="s">
        <v>73</v>
      </c>
      <c r="B436" t="s">
        <v>53</v>
      </c>
      <c r="C436" t="s">
        <v>38</v>
      </c>
      <c r="D436">
        <v>2018</v>
      </c>
      <c r="E436">
        <v>1.6664324661772369</v>
      </c>
      <c r="F436">
        <v>1.5720137685547519</v>
      </c>
      <c r="G436">
        <f t="shared" si="6"/>
        <v>-9.4418697622485004E-2</v>
      </c>
      <c r="H436">
        <v>3.2495723826400568E-3</v>
      </c>
      <c r="I436" t="s">
        <v>80</v>
      </c>
    </row>
    <row r="437" spans="1:9" x14ac:dyDescent="0.35">
      <c r="A437" t="s">
        <v>73</v>
      </c>
      <c r="B437" t="s">
        <v>54</v>
      </c>
      <c r="C437" t="s">
        <v>40</v>
      </c>
      <c r="D437">
        <v>2018</v>
      </c>
      <c r="E437">
        <v>1.989603282667241</v>
      </c>
      <c r="F437">
        <v>1.5720137685547519</v>
      </c>
      <c r="G437">
        <f t="shared" si="6"/>
        <v>-0.41758951411248901</v>
      </c>
      <c r="H437">
        <v>3.2495723826400568E-3</v>
      </c>
      <c r="I437" t="s">
        <v>80</v>
      </c>
    </row>
    <row r="438" spans="1:9" x14ac:dyDescent="0.35">
      <c r="A438" t="s">
        <v>74</v>
      </c>
      <c r="B438" t="s">
        <v>51</v>
      </c>
      <c r="C438" t="s">
        <v>38</v>
      </c>
      <c r="D438">
        <v>2018</v>
      </c>
      <c r="E438">
        <v>3.9055452515839528</v>
      </c>
      <c r="F438">
        <v>7.4446874521163222</v>
      </c>
      <c r="G438">
        <f t="shared" si="6"/>
        <v>3.5391422005323694</v>
      </c>
      <c r="H438">
        <v>1.0654359951493971E-2</v>
      </c>
      <c r="I438" t="s">
        <v>80</v>
      </c>
    </row>
    <row r="439" spans="1:9" x14ac:dyDescent="0.35">
      <c r="A439" t="s">
        <v>74</v>
      </c>
      <c r="B439" t="s">
        <v>52</v>
      </c>
      <c r="C439" t="s">
        <v>40</v>
      </c>
      <c r="D439">
        <v>2018</v>
      </c>
      <c r="E439">
        <v>3.6432271266646499</v>
      </c>
      <c r="F439">
        <v>7.4446874521163222</v>
      </c>
      <c r="G439">
        <f t="shared" si="6"/>
        <v>3.8014603254516723</v>
      </c>
      <c r="H439">
        <v>1.0654359951493971E-2</v>
      </c>
      <c r="I439" t="s">
        <v>80</v>
      </c>
    </row>
    <row r="440" spans="1:9" x14ac:dyDescent="0.35">
      <c r="A440" t="s">
        <v>74</v>
      </c>
      <c r="B440" t="s">
        <v>53</v>
      </c>
      <c r="C440" t="s">
        <v>38</v>
      </c>
      <c r="D440">
        <v>2018</v>
      </c>
      <c r="E440">
        <v>7.8117760082768486</v>
      </c>
      <c r="F440">
        <v>7.4446874521163222</v>
      </c>
      <c r="G440">
        <f t="shared" si="6"/>
        <v>-0.36708855616052638</v>
      </c>
      <c r="H440">
        <v>1.0654359951493971E-2</v>
      </c>
      <c r="I440" t="s">
        <v>80</v>
      </c>
    </row>
    <row r="441" spans="1:9" x14ac:dyDescent="0.35">
      <c r="A441" t="s">
        <v>74</v>
      </c>
      <c r="B441" t="s">
        <v>54</v>
      </c>
      <c r="C441" t="s">
        <v>40</v>
      </c>
      <c r="D441">
        <v>2018</v>
      </c>
      <c r="E441">
        <v>5.6808928025538163</v>
      </c>
      <c r="F441">
        <v>7.4446874521163222</v>
      </c>
      <c r="G441">
        <f t="shared" si="6"/>
        <v>1.7637946495625059</v>
      </c>
      <c r="H441">
        <v>1.0654359951493971E-2</v>
      </c>
      <c r="I441" t="s">
        <v>80</v>
      </c>
    </row>
    <row r="442" spans="1:9" x14ac:dyDescent="0.35">
      <c r="A442" t="s">
        <v>76</v>
      </c>
      <c r="B442" t="s">
        <v>51</v>
      </c>
      <c r="C442" t="s">
        <v>38</v>
      </c>
      <c r="D442">
        <v>2018</v>
      </c>
      <c r="E442">
        <v>2.719855882122268</v>
      </c>
      <c r="F442">
        <v>2.2276489335745251</v>
      </c>
      <c r="G442">
        <f t="shared" si="6"/>
        <v>-0.49220694854774294</v>
      </c>
      <c r="H442">
        <v>3.6017884371874691E-2</v>
      </c>
      <c r="I442" t="s">
        <v>80</v>
      </c>
    </row>
    <row r="443" spans="1:9" x14ac:dyDescent="0.35">
      <c r="A443" t="s">
        <v>76</v>
      </c>
      <c r="B443" t="s">
        <v>52</v>
      </c>
      <c r="C443" t="s">
        <v>40</v>
      </c>
      <c r="D443">
        <v>2018</v>
      </c>
      <c r="E443">
        <v>1.81696463155987</v>
      </c>
      <c r="F443">
        <v>2.2276489335745251</v>
      </c>
      <c r="G443">
        <f t="shared" si="6"/>
        <v>0.41068430201465511</v>
      </c>
      <c r="H443">
        <v>3.6017884371874691E-2</v>
      </c>
      <c r="I443" t="s">
        <v>80</v>
      </c>
    </row>
    <row r="444" spans="1:9" x14ac:dyDescent="0.35">
      <c r="A444" t="s">
        <v>76</v>
      </c>
      <c r="B444" t="s">
        <v>53</v>
      </c>
      <c r="C444" t="s">
        <v>38</v>
      </c>
      <c r="D444">
        <v>2018</v>
      </c>
      <c r="E444">
        <v>2.836804692292016</v>
      </c>
      <c r="F444">
        <v>2.2276489335745251</v>
      </c>
      <c r="G444">
        <f t="shared" si="6"/>
        <v>-0.60915575871749095</v>
      </c>
      <c r="H444">
        <v>3.6017884371874691E-2</v>
      </c>
      <c r="I444" t="s">
        <v>80</v>
      </c>
    </row>
    <row r="445" spans="1:9" x14ac:dyDescent="0.35">
      <c r="A445" t="s">
        <v>76</v>
      </c>
      <c r="B445" t="s">
        <v>54</v>
      </c>
      <c r="C445" t="s">
        <v>40</v>
      </c>
      <c r="D445">
        <v>2018</v>
      </c>
      <c r="E445">
        <v>2.9504045313044398</v>
      </c>
      <c r="F445">
        <v>2.2276489335745251</v>
      </c>
      <c r="G445">
        <f t="shared" si="6"/>
        <v>-0.72275559772991471</v>
      </c>
      <c r="H445">
        <v>3.6017884371874691E-2</v>
      </c>
      <c r="I445" t="s">
        <v>80</v>
      </c>
    </row>
    <row r="446" spans="1:9" x14ac:dyDescent="0.35">
      <c r="A446" t="s">
        <v>36</v>
      </c>
      <c r="B446" t="s">
        <v>53</v>
      </c>
      <c r="C446" t="s">
        <v>38</v>
      </c>
      <c r="D446">
        <v>2019</v>
      </c>
      <c r="E446">
        <v>1.956993039697497</v>
      </c>
      <c r="F446">
        <v>1.6857084827373969</v>
      </c>
      <c r="G446">
        <f t="shared" si="6"/>
        <v>-0.27128455696010012</v>
      </c>
      <c r="H446">
        <v>6.350496657154401E-3</v>
      </c>
      <c r="I446" t="s">
        <v>80</v>
      </c>
    </row>
    <row r="447" spans="1:9" x14ac:dyDescent="0.35">
      <c r="A447" t="s">
        <v>36</v>
      </c>
      <c r="B447" t="s">
        <v>54</v>
      </c>
      <c r="C447" t="s">
        <v>40</v>
      </c>
      <c r="D447">
        <v>2019</v>
      </c>
      <c r="E447">
        <v>2.158686474515914</v>
      </c>
      <c r="F447">
        <v>1.6857084827373969</v>
      </c>
      <c r="G447">
        <f t="shared" si="6"/>
        <v>-0.47297799177851707</v>
      </c>
      <c r="H447">
        <v>6.350496657154401E-3</v>
      </c>
      <c r="I447" t="s">
        <v>80</v>
      </c>
    </row>
    <row r="448" spans="1:9" x14ac:dyDescent="0.35">
      <c r="A448" t="s">
        <v>36</v>
      </c>
      <c r="B448" t="s">
        <v>55</v>
      </c>
      <c r="C448" t="s">
        <v>38</v>
      </c>
      <c r="D448">
        <v>2019</v>
      </c>
      <c r="E448">
        <v>1.548243112232184</v>
      </c>
      <c r="F448">
        <v>1.6857084827373969</v>
      </c>
      <c r="G448">
        <f t="shared" si="6"/>
        <v>0.1374653705052129</v>
      </c>
      <c r="H448">
        <v>6.350496657154401E-3</v>
      </c>
      <c r="I448" t="s">
        <v>80</v>
      </c>
    </row>
    <row r="449" spans="1:9" x14ac:dyDescent="0.35">
      <c r="A449" t="s">
        <v>36</v>
      </c>
      <c r="B449" t="s">
        <v>56</v>
      </c>
      <c r="C449" t="s">
        <v>40</v>
      </c>
      <c r="D449">
        <v>2019</v>
      </c>
      <c r="E449">
        <v>1.5232710630633359</v>
      </c>
      <c r="F449">
        <v>1.6857084827373969</v>
      </c>
      <c r="G449">
        <f t="shared" si="6"/>
        <v>0.162437419674061</v>
      </c>
      <c r="H449">
        <v>6.350496657154401E-3</v>
      </c>
      <c r="I449" t="s">
        <v>80</v>
      </c>
    </row>
    <row r="450" spans="1:9" x14ac:dyDescent="0.35">
      <c r="A450" t="s">
        <v>68</v>
      </c>
      <c r="B450" t="s">
        <v>53</v>
      </c>
      <c r="C450" t="s">
        <v>38</v>
      </c>
      <c r="D450">
        <v>2019</v>
      </c>
      <c r="E450">
        <v>1.837083008004692</v>
      </c>
      <c r="F450">
        <v>1.110244719033926</v>
      </c>
      <c r="G450">
        <f t="shared" ref="G450:G513" si="7">IF(OR(F450="",E450=""),"",F450-E450)</f>
        <v>-0.72683828897076608</v>
      </c>
      <c r="H450">
        <v>7.0803682370956548E-3</v>
      </c>
      <c r="I450" t="s">
        <v>80</v>
      </c>
    </row>
    <row r="451" spans="1:9" x14ac:dyDescent="0.35">
      <c r="A451" t="s">
        <v>68</v>
      </c>
      <c r="B451" t="s">
        <v>54</v>
      </c>
      <c r="C451" t="s">
        <v>40</v>
      </c>
      <c r="D451">
        <v>2019</v>
      </c>
      <c r="E451">
        <v>2.050241516126516</v>
      </c>
      <c r="F451">
        <v>1.110244719033926</v>
      </c>
      <c r="G451">
        <f t="shared" si="7"/>
        <v>-0.93999679709258999</v>
      </c>
      <c r="H451">
        <v>7.0803682370956548E-3</v>
      </c>
      <c r="I451" t="s">
        <v>80</v>
      </c>
    </row>
    <row r="452" spans="1:9" x14ac:dyDescent="0.35">
      <c r="A452" t="s">
        <v>68</v>
      </c>
      <c r="B452" t="s">
        <v>55</v>
      </c>
      <c r="C452" t="s">
        <v>38</v>
      </c>
      <c r="D452">
        <v>2019</v>
      </c>
      <c r="E452">
        <v>0.43652728225691551</v>
      </c>
      <c r="F452">
        <v>1.110244719033926</v>
      </c>
      <c r="G452">
        <f t="shared" si="7"/>
        <v>0.67371743677701046</v>
      </c>
      <c r="H452">
        <v>7.0803682370956548E-3</v>
      </c>
      <c r="I452" t="s">
        <v>80</v>
      </c>
    </row>
    <row r="453" spans="1:9" x14ac:dyDescent="0.35">
      <c r="A453" t="s">
        <v>68</v>
      </c>
      <c r="B453" t="s">
        <v>56</v>
      </c>
      <c r="C453" t="s">
        <v>40</v>
      </c>
      <c r="D453">
        <v>2019</v>
      </c>
      <c r="E453">
        <v>0.54362498919910962</v>
      </c>
      <c r="F453">
        <v>1.110244719033926</v>
      </c>
      <c r="G453">
        <f t="shared" si="7"/>
        <v>0.56661972983481634</v>
      </c>
      <c r="H453">
        <v>7.0803682370956548E-3</v>
      </c>
      <c r="I453" t="s">
        <v>80</v>
      </c>
    </row>
    <row r="454" spans="1:9" x14ac:dyDescent="0.35">
      <c r="A454" t="s">
        <v>73</v>
      </c>
      <c r="B454" t="s">
        <v>53</v>
      </c>
      <c r="C454" t="s">
        <v>38</v>
      </c>
      <c r="D454">
        <v>2019</v>
      </c>
      <c r="E454">
        <v>1.641202261320762</v>
      </c>
      <c r="F454">
        <v>2.0796189403330492</v>
      </c>
      <c r="G454">
        <f t="shared" si="7"/>
        <v>0.4384166790122872</v>
      </c>
      <c r="H454">
        <v>2.742059689911831E-3</v>
      </c>
      <c r="I454" t="s">
        <v>80</v>
      </c>
    </row>
    <row r="455" spans="1:9" x14ac:dyDescent="0.35">
      <c r="A455" t="s">
        <v>73</v>
      </c>
      <c r="B455" t="s">
        <v>54</v>
      </c>
      <c r="C455" t="s">
        <v>40</v>
      </c>
      <c r="D455">
        <v>2019</v>
      </c>
      <c r="E455">
        <v>1.837933157898797</v>
      </c>
      <c r="F455">
        <v>2.0796189403330492</v>
      </c>
      <c r="G455">
        <f t="shared" si="7"/>
        <v>0.24168578243425221</v>
      </c>
      <c r="H455">
        <v>2.742059689911831E-3</v>
      </c>
      <c r="I455" t="s">
        <v>80</v>
      </c>
    </row>
    <row r="456" spans="1:9" x14ac:dyDescent="0.35">
      <c r="A456" t="s">
        <v>73</v>
      </c>
      <c r="B456" t="s">
        <v>55</v>
      </c>
      <c r="C456" t="s">
        <v>38</v>
      </c>
      <c r="D456">
        <v>2019</v>
      </c>
      <c r="E456">
        <v>1.2870082454169649</v>
      </c>
      <c r="F456">
        <v>2.0796189403330492</v>
      </c>
      <c r="G456">
        <f t="shared" si="7"/>
        <v>0.79261069491608427</v>
      </c>
      <c r="H456">
        <v>2.742059689911831E-3</v>
      </c>
      <c r="I456" t="s">
        <v>80</v>
      </c>
    </row>
    <row r="457" spans="1:9" x14ac:dyDescent="0.35">
      <c r="A457" t="s">
        <v>73</v>
      </c>
      <c r="B457" t="s">
        <v>56</v>
      </c>
      <c r="C457" t="s">
        <v>40</v>
      </c>
      <c r="D457">
        <v>2019</v>
      </c>
      <c r="E457">
        <v>1.333589129915191</v>
      </c>
      <c r="F457">
        <v>2.0796189403330492</v>
      </c>
      <c r="G457">
        <f t="shared" si="7"/>
        <v>0.74602981041785821</v>
      </c>
      <c r="H457">
        <v>2.742059689911831E-3</v>
      </c>
      <c r="I457" t="s">
        <v>80</v>
      </c>
    </row>
    <row r="458" spans="1:9" x14ac:dyDescent="0.35">
      <c r="A458" t="s">
        <v>74</v>
      </c>
      <c r="B458" t="s">
        <v>53</v>
      </c>
      <c r="C458" t="s">
        <v>38</v>
      </c>
      <c r="D458">
        <v>2019</v>
      </c>
      <c r="E458">
        <v>4.5299756937161373</v>
      </c>
      <c r="F458">
        <v>4.8237638263446936</v>
      </c>
      <c r="G458">
        <f t="shared" si="7"/>
        <v>0.2937881326285563</v>
      </c>
      <c r="H458">
        <v>1.1273356968778309E-2</v>
      </c>
      <c r="I458" t="s">
        <v>80</v>
      </c>
    </row>
    <row r="459" spans="1:9" x14ac:dyDescent="0.35">
      <c r="A459" t="s">
        <v>74</v>
      </c>
      <c r="B459" t="s">
        <v>54</v>
      </c>
      <c r="C459" t="s">
        <v>40</v>
      </c>
      <c r="D459">
        <v>2019</v>
      </c>
      <c r="E459">
        <v>4.058674421459818</v>
      </c>
      <c r="F459">
        <v>4.8237638263446936</v>
      </c>
      <c r="G459">
        <f t="shared" si="7"/>
        <v>0.76508940488487553</v>
      </c>
      <c r="H459">
        <v>1.1273356968778309E-2</v>
      </c>
      <c r="I459" t="s">
        <v>80</v>
      </c>
    </row>
    <row r="460" spans="1:9" x14ac:dyDescent="0.35">
      <c r="A460" t="s">
        <v>74</v>
      </c>
      <c r="B460" t="s">
        <v>55</v>
      </c>
      <c r="C460" t="s">
        <v>38</v>
      </c>
      <c r="D460">
        <v>2019</v>
      </c>
      <c r="E460">
        <v>5.6355935792373302</v>
      </c>
      <c r="F460">
        <v>4.8237638263446936</v>
      </c>
      <c r="G460">
        <f t="shared" si="7"/>
        <v>-0.81182975289263659</v>
      </c>
      <c r="H460">
        <v>1.1273356968778309E-2</v>
      </c>
      <c r="I460" t="s">
        <v>80</v>
      </c>
    </row>
    <row r="461" spans="1:9" x14ac:dyDescent="0.35">
      <c r="A461" t="s">
        <v>74</v>
      </c>
      <c r="B461" t="s">
        <v>56</v>
      </c>
      <c r="C461" t="s">
        <v>40</v>
      </c>
      <c r="D461">
        <v>2019</v>
      </c>
      <c r="E461">
        <v>3.759569376747196</v>
      </c>
      <c r="F461">
        <v>4.8237638263446936</v>
      </c>
      <c r="G461">
        <f t="shared" si="7"/>
        <v>1.0641944495974975</v>
      </c>
      <c r="H461">
        <v>1.1273356968778309E-2</v>
      </c>
      <c r="I461" t="s">
        <v>80</v>
      </c>
    </row>
    <row r="462" spans="1:9" x14ac:dyDescent="0.35">
      <c r="A462" t="s">
        <v>76</v>
      </c>
      <c r="B462" t="s">
        <v>53</v>
      </c>
      <c r="C462" t="s">
        <v>38</v>
      </c>
      <c r="D462">
        <v>2019</v>
      </c>
      <c r="E462">
        <v>2.3973855170303038</v>
      </c>
      <c r="F462">
        <v>2.2687921571426761</v>
      </c>
      <c r="G462">
        <f t="shared" si="7"/>
        <v>-0.12859335988762766</v>
      </c>
      <c r="H462">
        <v>3.7054754499917721E-2</v>
      </c>
      <c r="I462" t="s">
        <v>80</v>
      </c>
    </row>
    <row r="463" spans="1:9" x14ac:dyDescent="0.35">
      <c r="A463" t="s">
        <v>76</v>
      </c>
      <c r="B463" t="s">
        <v>54</v>
      </c>
      <c r="C463" t="s">
        <v>40</v>
      </c>
      <c r="D463">
        <v>2019</v>
      </c>
      <c r="E463">
        <v>2.5903398154754731</v>
      </c>
      <c r="F463">
        <v>2.2687921571426761</v>
      </c>
      <c r="G463">
        <f t="shared" si="7"/>
        <v>-0.32154765833279697</v>
      </c>
      <c r="H463">
        <v>3.7054754499917721E-2</v>
      </c>
      <c r="I463" t="s">
        <v>80</v>
      </c>
    </row>
    <row r="464" spans="1:9" x14ac:dyDescent="0.35">
      <c r="A464" t="s">
        <v>76</v>
      </c>
      <c r="B464" t="s">
        <v>55</v>
      </c>
      <c r="C464" t="s">
        <v>38</v>
      </c>
      <c r="D464">
        <v>2019</v>
      </c>
      <c r="E464">
        <v>1.699934171052897</v>
      </c>
      <c r="F464">
        <v>2.2687921571426761</v>
      </c>
      <c r="G464">
        <f t="shared" si="7"/>
        <v>0.56885798608977911</v>
      </c>
      <c r="H464">
        <v>3.7054754499917721E-2</v>
      </c>
      <c r="I464" t="s">
        <v>80</v>
      </c>
    </row>
    <row r="465" spans="1:9" x14ac:dyDescent="0.35">
      <c r="A465" t="s">
        <v>76</v>
      </c>
      <c r="B465" t="s">
        <v>56</v>
      </c>
      <c r="C465" t="s">
        <v>40</v>
      </c>
      <c r="D465">
        <v>2019</v>
      </c>
      <c r="E465">
        <v>1.627911133653104</v>
      </c>
      <c r="F465">
        <v>2.2687921571426761</v>
      </c>
      <c r="G465">
        <f t="shared" si="7"/>
        <v>0.6408810234895721</v>
      </c>
      <c r="H465">
        <v>3.7054754499917721E-2</v>
      </c>
      <c r="I465" t="s">
        <v>80</v>
      </c>
    </row>
    <row r="466" spans="1:9" x14ac:dyDescent="0.35">
      <c r="A466" t="s">
        <v>36</v>
      </c>
      <c r="B466" t="s">
        <v>55</v>
      </c>
      <c r="C466" t="s">
        <v>38</v>
      </c>
      <c r="D466">
        <v>2020</v>
      </c>
      <c r="E466">
        <v>1.3947816095145389</v>
      </c>
      <c r="F466">
        <v>-6.5900132771165296</v>
      </c>
      <c r="G466">
        <f t="shared" si="7"/>
        <v>-7.9847948866310681</v>
      </c>
      <c r="H466">
        <v>8.5662439392624936E-3</v>
      </c>
      <c r="I466" t="s">
        <v>80</v>
      </c>
    </row>
    <row r="467" spans="1:9" x14ac:dyDescent="0.35">
      <c r="A467" t="s">
        <v>36</v>
      </c>
      <c r="B467" t="s">
        <v>56</v>
      </c>
      <c r="C467" t="s">
        <v>40</v>
      </c>
      <c r="D467">
        <v>2020</v>
      </c>
      <c r="E467">
        <v>1.6306467331163921</v>
      </c>
      <c r="F467">
        <v>-6.5900132771165296</v>
      </c>
      <c r="G467">
        <f t="shared" si="7"/>
        <v>-8.2206600102329226</v>
      </c>
      <c r="H467">
        <v>8.5662439392624936E-3</v>
      </c>
      <c r="I467" t="s">
        <v>80</v>
      </c>
    </row>
    <row r="468" spans="1:9" x14ac:dyDescent="0.35">
      <c r="A468" t="s">
        <v>36</v>
      </c>
      <c r="B468" t="s">
        <v>57</v>
      </c>
      <c r="C468" t="s">
        <v>38</v>
      </c>
      <c r="D468">
        <v>2020</v>
      </c>
      <c r="E468">
        <v>-7.0511951651758391</v>
      </c>
      <c r="F468">
        <v>-6.5900132771165296</v>
      </c>
      <c r="G468">
        <f t="shared" si="7"/>
        <v>0.46118188805930949</v>
      </c>
      <c r="H468">
        <v>8.5662439392624936E-3</v>
      </c>
      <c r="I468" t="s">
        <v>80</v>
      </c>
    </row>
    <row r="469" spans="1:9" x14ac:dyDescent="0.35">
      <c r="A469" t="s">
        <v>36</v>
      </c>
      <c r="B469" t="s">
        <v>58</v>
      </c>
      <c r="C469" t="s">
        <v>40</v>
      </c>
      <c r="D469">
        <v>2020</v>
      </c>
      <c r="E469">
        <v>-5.5131277655310118</v>
      </c>
      <c r="F469">
        <v>-6.5900132771165296</v>
      </c>
      <c r="G469">
        <f t="shared" si="7"/>
        <v>-1.0768855115855178</v>
      </c>
      <c r="H469">
        <v>8.5662439392624936E-3</v>
      </c>
      <c r="I469" t="s">
        <v>80</v>
      </c>
    </row>
    <row r="470" spans="1:9" x14ac:dyDescent="0.35">
      <c r="A470" t="s">
        <v>68</v>
      </c>
      <c r="B470" t="s">
        <v>55</v>
      </c>
      <c r="C470" t="s">
        <v>38</v>
      </c>
      <c r="D470">
        <v>2020</v>
      </c>
      <c r="E470">
        <v>1.0098419735112829</v>
      </c>
      <c r="F470">
        <v>-4.5019012679871278</v>
      </c>
      <c r="G470">
        <f t="shared" si="7"/>
        <v>-5.5117432414984107</v>
      </c>
      <c r="H470">
        <v>7.8392311441250039E-3</v>
      </c>
      <c r="I470" t="s">
        <v>80</v>
      </c>
    </row>
    <row r="471" spans="1:9" x14ac:dyDescent="0.35">
      <c r="A471" t="s">
        <v>68</v>
      </c>
      <c r="B471" t="s">
        <v>56</v>
      </c>
      <c r="C471" t="s">
        <v>40</v>
      </c>
      <c r="D471">
        <v>2020</v>
      </c>
      <c r="E471">
        <v>1.5458815393741829</v>
      </c>
      <c r="F471">
        <v>-4.5019012679871278</v>
      </c>
      <c r="G471">
        <f t="shared" si="7"/>
        <v>-6.0477828073613109</v>
      </c>
      <c r="H471">
        <v>7.8392311441250039E-3</v>
      </c>
      <c r="I471" t="s">
        <v>80</v>
      </c>
    </row>
    <row r="472" spans="1:9" x14ac:dyDescent="0.35">
      <c r="A472" t="s">
        <v>68</v>
      </c>
      <c r="B472" t="s">
        <v>57</v>
      </c>
      <c r="C472" t="s">
        <v>38</v>
      </c>
      <c r="D472">
        <v>2020</v>
      </c>
      <c r="E472">
        <v>-5.5682040725027582</v>
      </c>
      <c r="F472">
        <v>-4.5019012679871278</v>
      </c>
      <c r="G472">
        <f t="shared" si="7"/>
        <v>1.0663028045156304</v>
      </c>
      <c r="H472">
        <v>7.8392311441250039E-3</v>
      </c>
      <c r="I472" t="s">
        <v>80</v>
      </c>
    </row>
    <row r="473" spans="1:9" x14ac:dyDescent="0.35">
      <c r="A473" t="s">
        <v>68</v>
      </c>
      <c r="B473" t="s">
        <v>58</v>
      </c>
      <c r="C473" t="s">
        <v>40</v>
      </c>
      <c r="D473">
        <v>2020</v>
      </c>
      <c r="E473">
        <v>-6.4695771848944261</v>
      </c>
      <c r="F473">
        <v>-4.5019012679871278</v>
      </c>
      <c r="G473">
        <f t="shared" si="7"/>
        <v>1.9676759169072984</v>
      </c>
      <c r="H473">
        <v>7.8392311441250039E-3</v>
      </c>
      <c r="I473" t="s">
        <v>80</v>
      </c>
    </row>
    <row r="474" spans="1:9" x14ac:dyDescent="0.35">
      <c r="A474" t="s">
        <v>73</v>
      </c>
      <c r="B474" t="s">
        <v>55</v>
      </c>
      <c r="C474" t="s">
        <v>38</v>
      </c>
      <c r="D474">
        <v>2020</v>
      </c>
      <c r="E474">
        <v>1.285387661815784</v>
      </c>
      <c r="F474">
        <v>-7.9120138942178206</v>
      </c>
      <c r="G474">
        <f t="shared" si="7"/>
        <v>-9.1974015560336042</v>
      </c>
      <c r="H474">
        <v>3.0499904166596229E-3</v>
      </c>
      <c r="I474" t="s">
        <v>80</v>
      </c>
    </row>
    <row r="475" spans="1:9" x14ac:dyDescent="0.35">
      <c r="A475" t="s">
        <v>73</v>
      </c>
      <c r="B475" t="s">
        <v>56</v>
      </c>
      <c r="C475" t="s">
        <v>40</v>
      </c>
      <c r="D475">
        <v>2020</v>
      </c>
      <c r="E475">
        <v>1.503749975943047</v>
      </c>
      <c r="F475">
        <v>-7.9120138942178206</v>
      </c>
      <c r="G475">
        <f t="shared" si="7"/>
        <v>-9.4157638701608679</v>
      </c>
      <c r="H475">
        <v>3.0499904166596229E-3</v>
      </c>
      <c r="I475" t="s">
        <v>80</v>
      </c>
    </row>
    <row r="476" spans="1:9" x14ac:dyDescent="0.35">
      <c r="A476" t="s">
        <v>73</v>
      </c>
      <c r="B476" t="s">
        <v>57</v>
      </c>
      <c r="C476" t="s">
        <v>38</v>
      </c>
      <c r="D476">
        <v>2020</v>
      </c>
      <c r="E476">
        <v>-9.3511426009976422</v>
      </c>
      <c r="F476">
        <v>-7.9120138942178206</v>
      </c>
      <c r="G476">
        <f t="shared" si="7"/>
        <v>1.4391287067798215</v>
      </c>
      <c r="H476">
        <v>3.0499904166596229E-3</v>
      </c>
      <c r="I476" t="s">
        <v>80</v>
      </c>
    </row>
    <row r="477" spans="1:9" x14ac:dyDescent="0.35">
      <c r="A477" t="s">
        <v>73</v>
      </c>
      <c r="B477" t="s">
        <v>58</v>
      </c>
      <c r="C477" t="s">
        <v>40</v>
      </c>
      <c r="D477">
        <v>2020</v>
      </c>
      <c r="E477">
        <v>-8.2482980854368328</v>
      </c>
      <c r="F477">
        <v>-7.9120138942178206</v>
      </c>
      <c r="G477">
        <f t="shared" si="7"/>
        <v>0.33628419121901221</v>
      </c>
      <c r="H477">
        <v>3.0499904166596229E-3</v>
      </c>
      <c r="I477" t="s">
        <v>80</v>
      </c>
    </row>
    <row r="478" spans="1:9" x14ac:dyDescent="0.35">
      <c r="A478" t="s">
        <v>74</v>
      </c>
      <c r="B478" t="s">
        <v>55</v>
      </c>
      <c r="C478" t="s">
        <v>38</v>
      </c>
      <c r="D478">
        <v>2020</v>
      </c>
      <c r="E478">
        <v>3.528571869780794</v>
      </c>
      <c r="F478">
        <v>6.9863814303713827</v>
      </c>
      <c r="G478">
        <f t="shared" si="7"/>
        <v>3.4578095605905887</v>
      </c>
      <c r="H478">
        <v>9.2278925085046721E-3</v>
      </c>
      <c r="I478" t="s">
        <v>80</v>
      </c>
    </row>
    <row r="479" spans="1:9" x14ac:dyDescent="0.35">
      <c r="A479" t="s">
        <v>74</v>
      </c>
      <c r="B479" t="s">
        <v>56</v>
      </c>
      <c r="C479" t="s">
        <v>40</v>
      </c>
      <c r="D479">
        <v>2020</v>
      </c>
      <c r="E479">
        <v>3.3676156234285992</v>
      </c>
      <c r="F479">
        <v>6.9863814303713827</v>
      </c>
      <c r="G479">
        <f t="shared" si="7"/>
        <v>3.6187658069427835</v>
      </c>
      <c r="H479">
        <v>9.2278925085046721E-3</v>
      </c>
      <c r="I479" t="s">
        <v>80</v>
      </c>
    </row>
    <row r="480" spans="1:9" x14ac:dyDescent="0.35">
      <c r="A480" t="s">
        <v>74</v>
      </c>
      <c r="B480" t="s">
        <v>57</v>
      </c>
      <c r="C480" t="s">
        <v>38</v>
      </c>
      <c r="D480">
        <v>2020</v>
      </c>
      <c r="E480">
        <v>-2.3373996171914708</v>
      </c>
      <c r="F480">
        <v>6.9863814303713827</v>
      </c>
      <c r="G480">
        <f t="shared" si="7"/>
        <v>9.3237810475628535</v>
      </c>
      <c r="H480">
        <v>9.2278925085046721E-3</v>
      </c>
      <c r="I480" t="s">
        <v>80</v>
      </c>
    </row>
    <row r="481" spans="1:9" x14ac:dyDescent="0.35">
      <c r="A481" t="s">
        <v>74</v>
      </c>
      <c r="B481" t="s">
        <v>58</v>
      </c>
      <c r="C481" t="s">
        <v>40</v>
      </c>
      <c r="D481">
        <v>2020</v>
      </c>
      <c r="E481">
        <v>-7.9470480138547073</v>
      </c>
      <c r="F481">
        <v>6.9863814303713827</v>
      </c>
      <c r="G481">
        <f t="shared" si="7"/>
        <v>14.933429444226089</v>
      </c>
      <c r="H481">
        <v>9.2278925085046721E-3</v>
      </c>
      <c r="I481" t="s">
        <v>80</v>
      </c>
    </row>
    <row r="482" spans="1:9" x14ac:dyDescent="0.35">
      <c r="A482" t="s">
        <v>76</v>
      </c>
      <c r="B482" t="s">
        <v>55</v>
      </c>
      <c r="C482" t="s">
        <v>38</v>
      </c>
      <c r="D482">
        <v>2020</v>
      </c>
      <c r="E482">
        <v>1.2831214058191649</v>
      </c>
      <c r="F482">
        <v>-3.9039509434828492</v>
      </c>
      <c r="G482">
        <f t="shared" si="7"/>
        <v>-5.1870723493020137</v>
      </c>
      <c r="H482">
        <v>4.2581579870975293E-2</v>
      </c>
      <c r="I482" t="s">
        <v>80</v>
      </c>
    </row>
    <row r="483" spans="1:9" x14ac:dyDescent="0.35">
      <c r="A483" t="s">
        <v>76</v>
      </c>
      <c r="B483" t="s">
        <v>56</v>
      </c>
      <c r="C483" t="s">
        <v>40</v>
      </c>
      <c r="D483">
        <v>2020</v>
      </c>
      <c r="E483">
        <v>1.619436814413677</v>
      </c>
      <c r="F483">
        <v>-3.9039509434828492</v>
      </c>
      <c r="G483">
        <f t="shared" si="7"/>
        <v>-5.5233877578965265</v>
      </c>
      <c r="H483">
        <v>4.2581579870975293E-2</v>
      </c>
      <c r="I483" t="s">
        <v>80</v>
      </c>
    </row>
    <row r="484" spans="1:9" x14ac:dyDescent="0.35">
      <c r="A484" t="s">
        <v>76</v>
      </c>
      <c r="B484" t="s">
        <v>57</v>
      </c>
      <c r="C484" t="s">
        <v>38</v>
      </c>
      <c r="D484">
        <v>2020</v>
      </c>
      <c r="E484">
        <v>-5.3222217587985954</v>
      </c>
      <c r="F484">
        <v>-3.9039509434828492</v>
      </c>
      <c r="G484">
        <f t="shared" si="7"/>
        <v>1.4182708153157462</v>
      </c>
      <c r="H484">
        <v>4.2581579870975293E-2</v>
      </c>
      <c r="I484" t="s">
        <v>80</v>
      </c>
    </row>
    <row r="485" spans="1:9" x14ac:dyDescent="0.35">
      <c r="A485" t="s">
        <v>76</v>
      </c>
      <c r="B485" t="s">
        <v>58</v>
      </c>
      <c r="C485" t="s">
        <v>40</v>
      </c>
      <c r="D485">
        <v>2020</v>
      </c>
      <c r="E485">
        <v>-6.8478963820636896</v>
      </c>
      <c r="F485">
        <v>-3.9039509434828492</v>
      </c>
      <c r="G485">
        <f t="shared" si="7"/>
        <v>2.9439454385808403</v>
      </c>
      <c r="H485">
        <v>4.2581579870975293E-2</v>
      </c>
      <c r="I485" t="s">
        <v>80</v>
      </c>
    </row>
    <row r="486" spans="1:9" x14ac:dyDescent="0.35">
      <c r="A486" t="s">
        <v>36</v>
      </c>
      <c r="B486" t="s">
        <v>57</v>
      </c>
      <c r="C486" t="s">
        <v>38</v>
      </c>
      <c r="D486">
        <v>2021</v>
      </c>
      <c r="E486">
        <v>4.1159384107752661</v>
      </c>
      <c r="F486">
        <v>4.8848712783015431</v>
      </c>
      <c r="G486">
        <f t="shared" si="7"/>
        <v>0.76893286752627699</v>
      </c>
      <c r="H486">
        <v>8.943056702231925E-3</v>
      </c>
      <c r="I486" t="s">
        <v>80</v>
      </c>
    </row>
    <row r="487" spans="1:9" x14ac:dyDescent="0.35">
      <c r="A487" t="s">
        <v>36</v>
      </c>
      <c r="B487" t="s">
        <v>58</v>
      </c>
      <c r="C487" t="s">
        <v>40</v>
      </c>
      <c r="D487">
        <v>2021</v>
      </c>
      <c r="E487">
        <v>5.0052790018873416</v>
      </c>
      <c r="F487">
        <v>4.8848712783015431</v>
      </c>
      <c r="G487">
        <f t="shared" si="7"/>
        <v>-0.12040772358579854</v>
      </c>
      <c r="H487">
        <v>8.943056702231925E-3</v>
      </c>
      <c r="I487" t="s">
        <v>80</v>
      </c>
    </row>
    <row r="488" spans="1:9" x14ac:dyDescent="0.35">
      <c r="A488" t="s">
        <v>36</v>
      </c>
      <c r="B488" t="s">
        <v>59</v>
      </c>
      <c r="C488" t="s">
        <v>38</v>
      </c>
      <c r="D488">
        <v>2021</v>
      </c>
      <c r="E488">
        <v>4.4031542878007812</v>
      </c>
      <c r="F488">
        <v>4.8848712783015431</v>
      </c>
      <c r="G488">
        <f t="shared" si="7"/>
        <v>0.48171699050076189</v>
      </c>
      <c r="H488">
        <v>8.943056702231925E-3</v>
      </c>
      <c r="I488" t="s">
        <v>80</v>
      </c>
    </row>
    <row r="489" spans="1:9" x14ac:dyDescent="0.35">
      <c r="A489" t="s">
        <v>36</v>
      </c>
      <c r="B489" t="s">
        <v>60</v>
      </c>
      <c r="C489" t="s">
        <v>40</v>
      </c>
      <c r="D489">
        <v>2021</v>
      </c>
      <c r="E489">
        <v>3.407915196652112</v>
      </c>
      <c r="F489">
        <v>4.8848712783015431</v>
      </c>
      <c r="G489">
        <f t="shared" si="7"/>
        <v>1.4769560816494312</v>
      </c>
      <c r="H489">
        <v>8.943056702231925E-3</v>
      </c>
      <c r="I489" t="s">
        <v>80</v>
      </c>
    </row>
    <row r="490" spans="1:9" x14ac:dyDescent="0.35">
      <c r="A490" t="s">
        <v>68</v>
      </c>
      <c r="B490" t="s">
        <v>57</v>
      </c>
      <c r="C490" t="s">
        <v>38</v>
      </c>
      <c r="D490">
        <v>2021</v>
      </c>
      <c r="E490">
        <v>3.5168418141955371</v>
      </c>
      <c r="F490">
        <v>3.8314526417859192</v>
      </c>
      <c r="G490">
        <f t="shared" si="7"/>
        <v>0.31461082759038206</v>
      </c>
      <c r="H490">
        <v>7.7356755077016047E-3</v>
      </c>
      <c r="I490" t="s">
        <v>80</v>
      </c>
    </row>
    <row r="491" spans="1:9" x14ac:dyDescent="0.35">
      <c r="A491" t="s">
        <v>68</v>
      </c>
      <c r="B491" t="s">
        <v>58</v>
      </c>
      <c r="C491" t="s">
        <v>40</v>
      </c>
      <c r="D491">
        <v>2021</v>
      </c>
      <c r="E491">
        <v>5.8723795390502653</v>
      </c>
      <c r="F491">
        <v>3.8314526417859192</v>
      </c>
      <c r="G491">
        <f t="shared" si="7"/>
        <v>-2.0409268972643462</v>
      </c>
      <c r="H491">
        <v>7.7356755077016047E-3</v>
      </c>
      <c r="I491" t="s">
        <v>80</v>
      </c>
    </row>
    <row r="492" spans="1:9" x14ac:dyDescent="0.35">
      <c r="A492" t="s">
        <v>68</v>
      </c>
      <c r="B492" t="s">
        <v>59</v>
      </c>
      <c r="C492" t="s">
        <v>38</v>
      </c>
      <c r="D492">
        <v>2021</v>
      </c>
      <c r="E492">
        <v>2.7343389231728081</v>
      </c>
      <c r="F492">
        <v>3.8314526417859192</v>
      </c>
      <c r="G492">
        <f t="shared" si="7"/>
        <v>1.097113718613111</v>
      </c>
      <c r="H492">
        <v>7.7356755077016047E-3</v>
      </c>
      <c r="I492" t="s">
        <v>80</v>
      </c>
    </row>
    <row r="493" spans="1:9" x14ac:dyDescent="0.35">
      <c r="A493" t="s">
        <v>68</v>
      </c>
      <c r="B493" t="s">
        <v>60</v>
      </c>
      <c r="C493" t="s">
        <v>40</v>
      </c>
      <c r="D493">
        <v>2021</v>
      </c>
      <c r="E493">
        <v>3.405406776981335</v>
      </c>
      <c r="F493">
        <v>3.8314526417859192</v>
      </c>
      <c r="G493">
        <f t="shared" si="7"/>
        <v>0.42604586480458417</v>
      </c>
      <c r="H493">
        <v>7.7356755077016047E-3</v>
      </c>
      <c r="I493" t="s">
        <v>80</v>
      </c>
    </row>
    <row r="494" spans="1:9" x14ac:dyDescent="0.35">
      <c r="A494" t="s">
        <v>73</v>
      </c>
      <c r="B494" t="s">
        <v>57</v>
      </c>
      <c r="C494" t="s">
        <v>38</v>
      </c>
      <c r="D494">
        <v>2021</v>
      </c>
      <c r="E494">
        <v>5.7952659026178077</v>
      </c>
      <c r="F494">
        <v>6.5701884772546428</v>
      </c>
      <c r="G494">
        <f t="shared" si="7"/>
        <v>0.77492257463683512</v>
      </c>
      <c r="H494">
        <v>3.231172514807625E-3</v>
      </c>
      <c r="I494" t="s">
        <v>80</v>
      </c>
    </row>
    <row r="495" spans="1:9" x14ac:dyDescent="0.35">
      <c r="A495" t="s">
        <v>73</v>
      </c>
      <c r="B495" t="s">
        <v>58</v>
      </c>
      <c r="C495" t="s">
        <v>40</v>
      </c>
      <c r="D495">
        <v>2021</v>
      </c>
      <c r="E495">
        <v>7.4011344913377686</v>
      </c>
      <c r="F495">
        <v>6.5701884772546428</v>
      </c>
      <c r="G495">
        <f t="shared" si="7"/>
        <v>-0.83094601408312574</v>
      </c>
      <c r="H495">
        <v>3.231172514807625E-3</v>
      </c>
      <c r="I495" t="s">
        <v>80</v>
      </c>
    </row>
    <row r="496" spans="1:9" x14ac:dyDescent="0.35">
      <c r="A496" t="s">
        <v>73</v>
      </c>
      <c r="B496" t="s">
        <v>59</v>
      </c>
      <c r="C496" t="s">
        <v>38</v>
      </c>
      <c r="D496">
        <v>2021</v>
      </c>
      <c r="E496">
        <v>6.5425794292067074</v>
      </c>
      <c r="F496">
        <v>6.5701884772546428</v>
      </c>
      <c r="G496">
        <f t="shared" si="7"/>
        <v>2.7609048047935403E-2</v>
      </c>
      <c r="H496">
        <v>3.231172514807625E-3</v>
      </c>
      <c r="I496" t="s">
        <v>80</v>
      </c>
    </row>
    <row r="497" spans="1:9" x14ac:dyDescent="0.35">
      <c r="A497" t="s">
        <v>73</v>
      </c>
      <c r="B497" t="s">
        <v>60</v>
      </c>
      <c r="C497" t="s">
        <v>40</v>
      </c>
      <c r="D497">
        <v>2021</v>
      </c>
      <c r="E497">
        <v>5.7147026734028614</v>
      </c>
      <c r="F497">
        <v>6.5701884772546428</v>
      </c>
      <c r="G497">
        <f t="shared" si="7"/>
        <v>0.85548580385178141</v>
      </c>
      <c r="H497">
        <v>3.231172514807625E-3</v>
      </c>
      <c r="I497" t="s">
        <v>80</v>
      </c>
    </row>
    <row r="498" spans="1:9" x14ac:dyDescent="0.35">
      <c r="A498" t="s">
        <v>74</v>
      </c>
      <c r="B498" t="s">
        <v>57</v>
      </c>
      <c r="C498" t="s">
        <v>38</v>
      </c>
      <c r="D498">
        <v>2021</v>
      </c>
      <c r="E498">
        <v>2.947813244873676</v>
      </c>
      <c r="F498">
        <v>15.1246997065809</v>
      </c>
      <c r="G498">
        <f t="shared" si="7"/>
        <v>12.176886461707223</v>
      </c>
      <c r="H498">
        <v>7.4467517837094243E-3</v>
      </c>
      <c r="I498" t="s">
        <v>80</v>
      </c>
    </row>
    <row r="499" spans="1:9" x14ac:dyDescent="0.35">
      <c r="A499" t="s">
        <v>74</v>
      </c>
      <c r="B499" t="s">
        <v>58</v>
      </c>
      <c r="C499" t="s">
        <v>40</v>
      </c>
      <c r="D499">
        <v>2021</v>
      </c>
      <c r="E499">
        <v>6.0844415228506374</v>
      </c>
      <c r="F499">
        <v>15.1246997065809</v>
      </c>
      <c r="G499">
        <f t="shared" si="7"/>
        <v>9.0402581837302627</v>
      </c>
      <c r="H499">
        <v>7.4467517837094243E-3</v>
      </c>
      <c r="I499" t="s">
        <v>80</v>
      </c>
    </row>
    <row r="500" spans="1:9" x14ac:dyDescent="0.35">
      <c r="A500" t="s">
        <v>74</v>
      </c>
      <c r="B500" t="s">
        <v>59</v>
      </c>
      <c r="C500" t="s">
        <v>38</v>
      </c>
      <c r="D500">
        <v>2021</v>
      </c>
      <c r="E500">
        <v>14.562981111404421</v>
      </c>
      <c r="F500">
        <v>15.1246997065809</v>
      </c>
      <c r="G500">
        <f t="shared" si="7"/>
        <v>0.5617185951764796</v>
      </c>
      <c r="H500">
        <v>7.4467517837094243E-3</v>
      </c>
      <c r="I500" t="s">
        <v>80</v>
      </c>
    </row>
    <row r="501" spans="1:9" x14ac:dyDescent="0.35">
      <c r="A501" t="s">
        <v>74</v>
      </c>
      <c r="B501" t="s">
        <v>60</v>
      </c>
      <c r="C501" t="s">
        <v>40</v>
      </c>
      <c r="D501">
        <v>2021</v>
      </c>
      <c r="E501">
        <v>4.5993257541988797</v>
      </c>
      <c r="F501">
        <v>15.1246997065809</v>
      </c>
      <c r="G501">
        <f t="shared" si="7"/>
        <v>10.52537395238202</v>
      </c>
      <c r="H501">
        <v>7.4467517837094243E-3</v>
      </c>
      <c r="I501" t="s">
        <v>80</v>
      </c>
    </row>
    <row r="502" spans="1:9" x14ac:dyDescent="0.35">
      <c r="A502" t="s">
        <v>76</v>
      </c>
      <c r="B502" t="s">
        <v>57</v>
      </c>
      <c r="C502" t="s">
        <v>38</v>
      </c>
      <c r="D502">
        <v>2021</v>
      </c>
      <c r="E502">
        <v>2.161323818880434</v>
      </c>
      <c r="F502">
        <v>6.0197643563294596</v>
      </c>
      <c r="G502">
        <f t="shared" si="7"/>
        <v>3.8584405374490256</v>
      </c>
      <c r="H502">
        <v>4.2229620878678473E-2</v>
      </c>
      <c r="I502" t="s">
        <v>80</v>
      </c>
    </row>
    <row r="503" spans="1:9" x14ac:dyDescent="0.35">
      <c r="A503" t="s">
        <v>76</v>
      </c>
      <c r="B503" t="s">
        <v>58</v>
      </c>
      <c r="C503" t="s">
        <v>40</v>
      </c>
      <c r="D503">
        <v>2021</v>
      </c>
      <c r="E503">
        <v>4.963640025345617</v>
      </c>
      <c r="F503">
        <v>6.0197643563294596</v>
      </c>
      <c r="G503">
        <f t="shared" si="7"/>
        <v>1.0561243309838426</v>
      </c>
      <c r="H503">
        <v>4.2229620878678473E-2</v>
      </c>
      <c r="I503" t="s">
        <v>80</v>
      </c>
    </row>
    <row r="504" spans="1:9" x14ac:dyDescent="0.35">
      <c r="A504" t="s">
        <v>76</v>
      </c>
      <c r="B504" t="s">
        <v>59</v>
      </c>
      <c r="C504" t="s">
        <v>38</v>
      </c>
      <c r="D504">
        <v>2021</v>
      </c>
      <c r="E504">
        <v>3.9728248180522558</v>
      </c>
      <c r="F504">
        <v>6.0197643563294596</v>
      </c>
      <c r="G504">
        <f t="shared" si="7"/>
        <v>2.0469395382772038</v>
      </c>
      <c r="H504">
        <v>4.2229620878678473E-2</v>
      </c>
      <c r="I504" t="s">
        <v>80</v>
      </c>
    </row>
    <row r="505" spans="1:9" x14ac:dyDescent="0.35">
      <c r="A505" t="s">
        <v>76</v>
      </c>
      <c r="B505" t="s">
        <v>60</v>
      </c>
      <c r="C505" t="s">
        <v>40</v>
      </c>
      <c r="D505">
        <v>2021</v>
      </c>
      <c r="E505">
        <v>2.3382369164345769</v>
      </c>
      <c r="F505">
        <v>6.0197643563294596</v>
      </c>
      <c r="G505">
        <f t="shared" si="7"/>
        <v>3.6815274398948827</v>
      </c>
      <c r="H505">
        <v>4.2229620878678473E-2</v>
      </c>
      <c r="I505" t="s">
        <v>80</v>
      </c>
    </row>
    <row r="506" spans="1:9" x14ac:dyDescent="0.35">
      <c r="A506" t="s">
        <v>36</v>
      </c>
      <c r="B506" t="s">
        <v>59</v>
      </c>
      <c r="C506" t="s">
        <v>38</v>
      </c>
      <c r="D506">
        <v>2022</v>
      </c>
      <c r="E506">
        <v>4.8883580526853274</v>
      </c>
      <c r="F506">
        <v>5.2899005620960757</v>
      </c>
      <c r="G506">
        <f t="shared" si="7"/>
        <v>0.40154250941074832</v>
      </c>
      <c r="H506">
        <v>8.9996521427787666E-3</v>
      </c>
      <c r="I506" t="s">
        <v>80</v>
      </c>
    </row>
    <row r="507" spans="1:9" x14ac:dyDescent="0.35">
      <c r="A507" t="s">
        <v>36</v>
      </c>
      <c r="B507" t="s">
        <v>60</v>
      </c>
      <c r="C507" t="s">
        <v>40</v>
      </c>
      <c r="D507">
        <v>2022</v>
      </c>
      <c r="E507">
        <v>4.2814646537613577</v>
      </c>
      <c r="F507">
        <v>5.2899005620960757</v>
      </c>
      <c r="G507">
        <f t="shared" si="7"/>
        <v>1.0084359083347181</v>
      </c>
      <c r="H507">
        <v>8.9996521427787666E-3</v>
      </c>
      <c r="I507" t="s">
        <v>80</v>
      </c>
    </row>
    <row r="508" spans="1:9" x14ac:dyDescent="0.35">
      <c r="A508" t="s">
        <v>36</v>
      </c>
      <c r="B508" t="s">
        <v>61</v>
      </c>
      <c r="C508" t="s">
        <v>38</v>
      </c>
      <c r="D508">
        <v>2022</v>
      </c>
      <c r="E508">
        <v>4.6469116666415733</v>
      </c>
      <c r="F508">
        <v>5.2899005620960757</v>
      </c>
      <c r="G508">
        <f t="shared" si="7"/>
        <v>0.64298889545450244</v>
      </c>
      <c r="H508">
        <v>8.9996521427787666E-3</v>
      </c>
      <c r="I508" t="s">
        <v>80</v>
      </c>
    </row>
    <row r="509" spans="1:9" x14ac:dyDescent="0.35">
      <c r="A509" t="s">
        <v>36</v>
      </c>
      <c r="B509" t="s">
        <v>62</v>
      </c>
      <c r="C509" t="s">
        <v>40</v>
      </c>
      <c r="D509">
        <v>2022</v>
      </c>
      <c r="E509">
        <v>3.9196460068068979</v>
      </c>
      <c r="F509">
        <v>5.2899005620960757</v>
      </c>
      <c r="G509">
        <f t="shared" si="7"/>
        <v>1.3702545552891778</v>
      </c>
      <c r="H509">
        <v>8.9996521427787666E-3</v>
      </c>
      <c r="I509" t="s">
        <v>80</v>
      </c>
    </row>
    <row r="510" spans="1:9" x14ac:dyDescent="0.35">
      <c r="A510" t="s">
        <v>68</v>
      </c>
      <c r="B510" t="s">
        <v>59</v>
      </c>
      <c r="C510" t="s">
        <v>38</v>
      </c>
      <c r="D510">
        <v>2022</v>
      </c>
      <c r="E510">
        <v>4.5927784434600882</v>
      </c>
      <c r="F510">
        <v>1.931834126476093</v>
      </c>
      <c r="G510">
        <f t="shared" si="7"/>
        <v>-2.6609443169839953</v>
      </c>
      <c r="H510">
        <v>7.6054945428721031E-3</v>
      </c>
      <c r="I510" t="s">
        <v>80</v>
      </c>
    </row>
    <row r="511" spans="1:9" x14ac:dyDescent="0.35">
      <c r="A511" t="s">
        <v>68</v>
      </c>
      <c r="B511" t="s">
        <v>60</v>
      </c>
      <c r="C511" t="s">
        <v>40</v>
      </c>
      <c r="D511">
        <v>2022</v>
      </c>
      <c r="E511">
        <v>4.0547699734103224</v>
      </c>
      <c r="F511">
        <v>1.931834126476093</v>
      </c>
      <c r="G511">
        <f t="shared" si="7"/>
        <v>-2.1229358469342294</v>
      </c>
      <c r="H511">
        <v>7.6054945428721031E-3</v>
      </c>
      <c r="I511" t="s">
        <v>80</v>
      </c>
    </row>
    <row r="512" spans="1:9" x14ac:dyDescent="0.35">
      <c r="A512" t="s">
        <v>68</v>
      </c>
      <c r="B512" t="s">
        <v>61</v>
      </c>
      <c r="C512" t="s">
        <v>38</v>
      </c>
      <c r="D512">
        <v>2022</v>
      </c>
      <c r="E512">
        <v>1.55845355711639</v>
      </c>
      <c r="F512">
        <v>1.931834126476093</v>
      </c>
      <c r="G512">
        <f t="shared" si="7"/>
        <v>0.37338056935970299</v>
      </c>
      <c r="H512">
        <v>7.6054945428721031E-3</v>
      </c>
      <c r="I512" t="s">
        <v>80</v>
      </c>
    </row>
    <row r="513" spans="1:9" x14ac:dyDescent="0.35">
      <c r="A513" t="s">
        <v>68</v>
      </c>
      <c r="B513" t="s">
        <v>62</v>
      </c>
      <c r="C513" t="s">
        <v>40</v>
      </c>
      <c r="D513">
        <v>2022</v>
      </c>
      <c r="E513">
        <v>1.5579683422439761</v>
      </c>
      <c r="F513">
        <v>1.931834126476093</v>
      </c>
      <c r="G513">
        <f t="shared" si="7"/>
        <v>0.37386578423211692</v>
      </c>
      <c r="H513">
        <v>7.6054945428721031E-3</v>
      </c>
      <c r="I513" t="s">
        <v>80</v>
      </c>
    </row>
    <row r="514" spans="1:9" x14ac:dyDescent="0.35">
      <c r="A514" t="s">
        <v>73</v>
      </c>
      <c r="B514" t="s">
        <v>59</v>
      </c>
      <c r="C514" t="s">
        <v>38</v>
      </c>
      <c r="D514">
        <v>2022</v>
      </c>
      <c r="E514">
        <v>3.7661475579403141</v>
      </c>
      <c r="F514">
        <v>2.761671160127166</v>
      </c>
      <c r="G514">
        <f t="shared" ref="G514:G577" si="8">IF(OR(F514="",E514=""),"",F514-E514)</f>
        <v>-1.0044763978131481</v>
      </c>
      <c r="H514">
        <v>3.2520324935252378E-3</v>
      </c>
      <c r="I514" t="s">
        <v>80</v>
      </c>
    </row>
    <row r="515" spans="1:9" x14ac:dyDescent="0.35">
      <c r="A515" t="s">
        <v>73</v>
      </c>
      <c r="B515" t="s">
        <v>60</v>
      </c>
      <c r="C515" t="s">
        <v>40</v>
      </c>
      <c r="D515">
        <v>2022</v>
      </c>
      <c r="E515">
        <v>4.2114770737248453</v>
      </c>
      <c r="F515">
        <v>2.761671160127166</v>
      </c>
      <c r="G515">
        <f t="shared" si="8"/>
        <v>-1.4498059135976793</v>
      </c>
      <c r="H515">
        <v>3.2520324935252378E-3</v>
      </c>
      <c r="I515" t="s">
        <v>80</v>
      </c>
    </row>
    <row r="516" spans="1:9" x14ac:dyDescent="0.35">
      <c r="A516" t="s">
        <v>73</v>
      </c>
      <c r="B516" t="s">
        <v>61</v>
      </c>
      <c r="C516" t="s">
        <v>38</v>
      </c>
      <c r="D516">
        <v>2022</v>
      </c>
      <c r="E516">
        <v>2.6294584401195249</v>
      </c>
      <c r="F516">
        <v>2.761671160127166</v>
      </c>
      <c r="G516">
        <f t="shared" si="8"/>
        <v>0.13221272000764106</v>
      </c>
      <c r="H516">
        <v>3.2520324935252378E-3</v>
      </c>
      <c r="I516" t="s">
        <v>80</v>
      </c>
    </row>
    <row r="517" spans="1:9" x14ac:dyDescent="0.35">
      <c r="A517" t="s">
        <v>73</v>
      </c>
      <c r="B517" t="s">
        <v>62</v>
      </c>
      <c r="C517" t="s">
        <v>40</v>
      </c>
      <c r="D517">
        <v>2022</v>
      </c>
      <c r="E517">
        <v>3.0989524183168582</v>
      </c>
      <c r="F517">
        <v>2.761671160127166</v>
      </c>
      <c r="G517">
        <f t="shared" si="8"/>
        <v>-0.33728125818969223</v>
      </c>
      <c r="H517">
        <v>3.2520324935252378E-3</v>
      </c>
      <c r="I517" t="s">
        <v>80</v>
      </c>
    </row>
    <row r="518" spans="1:9" x14ac:dyDescent="0.35">
      <c r="A518" t="s">
        <v>74</v>
      </c>
      <c r="B518" t="s">
        <v>59</v>
      </c>
      <c r="C518" t="s">
        <v>38</v>
      </c>
      <c r="D518">
        <v>2022</v>
      </c>
      <c r="E518">
        <v>5.0918722980731523</v>
      </c>
      <c r="F518">
        <v>7.9894443369245964</v>
      </c>
      <c r="G518">
        <f t="shared" si="8"/>
        <v>2.8975720388514441</v>
      </c>
      <c r="H518">
        <v>7.2438945945355968E-3</v>
      </c>
      <c r="I518" t="s">
        <v>80</v>
      </c>
    </row>
    <row r="519" spans="1:9" x14ac:dyDescent="0.35">
      <c r="A519" t="s">
        <v>74</v>
      </c>
      <c r="B519" t="s">
        <v>60</v>
      </c>
      <c r="C519" t="s">
        <v>40</v>
      </c>
      <c r="D519">
        <v>2022</v>
      </c>
      <c r="E519">
        <v>4.9759868399277041</v>
      </c>
      <c r="F519">
        <v>7.9894443369245964</v>
      </c>
      <c r="G519">
        <f t="shared" si="8"/>
        <v>3.0134574969968924</v>
      </c>
      <c r="H519">
        <v>7.2438945945355968E-3</v>
      </c>
      <c r="I519" t="s">
        <v>80</v>
      </c>
    </row>
    <row r="520" spans="1:9" x14ac:dyDescent="0.35">
      <c r="A520" t="s">
        <v>74</v>
      </c>
      <c r="B520" t="s">
        <v>61</v>
      </c>
      <c r="C520" t="s">
        <v>38</v>
      </c>
      <c r="D520">
        <v>2022</v>
      </c>
      <c r="E520">
        <v>7.8710837662645083</v>
      </c>
      <c r="F520">
        <v>7.9894443369245964</v>
      </c>
      <c r="G520">
        <f t="shared" si="8"/>
        <v>0.11836057066008809</v>
      </c>
      <c r="H520">
        <v>7.2438945945355968E-3</v>
      </c>
      <c r="I520" t="s">
        <v>80</v>
      </c>
    </row>
    <row r="521" spans="1:9" x14ac:dyDescent="0.35">
      <c r="A521" t="s">
        <v>74</v>
      </c>
      <c r="B521" t="s">
        <v>62</v>
      </c>
      <c r="C521" t="s">
        <v>40</v>
      </c>
      <c r="D521">
        <v>2022</v>
      </c>
      <c r="E521">
        <v>5.3816861962496354</v>
      </c>
      <c r="F521">
        <v>7.9894443369245964</v>
      </c>
      <c r="G521">
        <f t="shared" si="8"/>
        <v>2.607758140674961</v>
      </c>
      <c r="H521">
        <v>7.2438945945355968E-3</v>
      </c>
      <c r="I521" t="s">
        <v>80</v>
      </c>
    </row>
    <row r="522" spans="1:9" x14ac:dyDescent="0.35">
      <c r="A522" t="s">
        <v>76</v>
      </c>
      <c r="B522" t="s">
        <v>59</v>
      </c>
      <c r="C522" t="s">
        <v>38</v>
      </c>
      <c r="D522">
        <v>2022</v>
      </c>
      <c r="E522">
        <v>3.3489770835561039</v>
      </c>
      <c r="F522">
        <v>4.8892912104023152</v>
      </c>
      <c r="G522">
        <f t="shared" si="8"/>
        <v>1.5403141268462113</v>
      </c>
      <c r="H522">
        <v>3.9751937262975177E-2</v>
      </c>
      <c r="I522" t="s">
        <v>80</v>
      </c>
    </row>
    <row r="523" spans="1:9" x14ac:dyDescent="0.35">
      <c r="A523" t="s">
        <v>76</v>
      </c>
      <c r="B523" t="s">
        <v>60</v>
      </c>
      <c r="C523" t="s">
        <v>40</v>
      </c>
      <c r="D523">
        <v>2022</v>
      </c>
      <c r="E523">
        <v>3.5790486712876879</v>
      </c>
      <c r="F523">
        <v>4.8892912104023152</v>
      </c>
      <c r="G523">
        <f t="shared" si="8"/>
        <v>1.3102425391146273</v>
      </c>
      <c r="H523">
        <v>3.9751937262975177E-2</v>
      </c>
      <c r="I523" t="s">
        <v>80</v>
      </c>
    </row>
    <row r="524" spans="1:9" x14ac:dyDescent="0.35">
      <c r="A524" t="s">
        <v>76</v>
      </c>
      <c r="B524" t="s">
        <v>61</v>
      </c>
      <c r="C524" t="s">
        <v>38</v>
      </c>
      <c r="D524">
        <v>2022</v>
      </c>
      <c r="E524">
        <v>4.6490196630740721</v>
      </c>
      <c r="F524">
        <v>4.8892912104023152</v>
      </c>
      <c r="G524">
        <f t="shared" si="8"/>
        <v>0.24027154732824307</v>
      </c>
      <c r="H524">
        <v>3.9751937262975177E-2</v>
      </c>
      <c r="I524" t="s">
        <v>80</v>
      </c>
    </row>
    <row r="525" spans="1:9" x14ac:dyDescent="0.35">
      <c r="A525" t="s">
        <v>76</v>
      </c>
      <c r="B525" t="s">
        <v>62</v>
      </c>
      <c r="C525" t="s">
        <v>40</v>
      </c>
      <c r="D525">
        <v>2022</v>
      </c>
      <c r="E525">
        <v>3.271330674458595</v>
      </c>
      <c r="F525">
        <v>4.8892912104023152</v>
      </c>
      <c r="G525">
        <f t="shared" si="8"/>
        <v>1.6179605359437201</v>
      </c>
      <c r="H525">
        <v>3.9751937262975177E-2</v>
      </c>
      <c r="I525" t="s">
        <v>80</v>
      </c>
    </row>
    <row r="526" spans="1:9" x14ac:dyDescent="0.35">
      <c r="A526" t="s">
        <v>36</v>
      </c>
      <c r="B526" t="s">
        <v>61</v>
      </c>
      <c r="C526" t="s">
        <v>38</v>
      </c>
      <c r="D526">
        <v>2023</v>
      </c>
      <c r="E526">
        <v>0.30335623159960518</v>
      </c>
      <c r="F526">
        <v>-0.6768389272940647</v>
      </c>
      <c r="G526">
        <f t="shared" si="8"/>
        <v>-0.98019515889366993</v>
      </c>
      <c r="H526">
        <v>1.018602861865241E-2</v>
      </c>
      <c r="I526" t="s">
        <v>80</v>
      </c>
    </row>
    <row r="527" spans="1:9" x14ac:dyDescent="0.35">
      <c r="A527" t="s">
        <v>36</v>
      </c>
      <c r="B527" t="s">
        <v>62</v>
      </c>
      <c r="C527" t="s">
        <v>40</v>
      </c>
      <c r="D527">
        <v>2023</v>
      </c>
      <c r="E527">
        <v>1.874018674886258</v>
      </c>
      <c r="F527">
        <v>-0.6768389272940647</v>
      </c>
      <c r="G527">
        <f t="shared" si="8"/>
        <v>-2.5508576021803226</v>
      </c>
      <c r="H527">
        <v>1.018602861865241E-2</v>
      </c>
      <c r="I527" t="s">
        <v>80</v>
      </c>
    </row>
    <row r="528" spans="1:9" x14ac:dyDescent="0.35">
      <c r="A528" t="s">
        <v>36</v>
      </c>
      <c r="B528" t="s">
        <v>63</v>
      </c>
      <c r="C528" t="s">
        <v>38</v>
      </c>
      <c r="D528">
        <v>2023</v>
      </c>
      <c r="E528">
        <v>-0.54656439605949014</v>
      </c>
      <c r="F528">
        <v>-0.6768389272940647</v>
      </c>
      <c r="G528">
        <f t="shared" si="8"/>
        <v>-0.13027453123457455</v>
      </c>
      <c r="H528">
        <v>1.018602861865241E-2</v>
      </c>
      <c r="I528" t="s">
        <v>80</v>
      </c>
    </row>
    <row r="529" spans="1:9" x14ac:dyDescent="0.35">
      <c r="A529" t="s">
        <v>36</v>
      </c>
      <c r="B529" t="s">
        <v>64</v>
      </c>
      <c r="C529" t="s">
        <v>40</v>
      </c>
      <c r="D529">
        <v>2023</v>
      </c>
      <c r="E529">
        <v>0.39339786418057798</v>
      </c>
      <c r="F529">
        <v>-0.6768389272940647</v>
      </c>
      <c r="G529">
        <f t="shared" si="8"/>
        <v>-1.0702367914746427</v>
      </c>
      <c r="H529">
        <v>1.018602861865241E-2</v>
      </c>
      <c r="I529" t="s">
        <v>80</v>
      </c>
    </row>
    <row r="530" spans="1:9" x14ac:dyDescent="0.35">
      <c r="A530" t="s">
        <v>68</v>
      </c>
      <c r="B530" t="s">
        <v>61</v>
      </c>
      <c r="C530" t="s">
        <v>38</v>
      </c>
      <c r="D530">
        <v>2023</v>
      </c>
      <c r="E530">
        <v>-0.62595524483003429</v>
      </c>
      <c r="F530">
        <v>-0.81689108427086243</v>
      </c>
      <c r="G530">
        <f t="shared" si="8"/>
        <v>-0.19093583944082815</v>
      </c>
      <c r="H530">
        <v>8.2683809672599654E-3</v>
      </c>
      <c r="I530" t="s">
        <v>80</v>
      </c>
    </row>
    <row r="531" spans="1:9" x14ac:dyDescent="0.35">
      <c r="A531" t="s">
        <v>68</v>
      </c>
      <c r="B531" t="s">
        <v>62</v>
      </c>
      <c r="C531" t="s">
        <v>40</v>
      </c>
      <c r="D531">
        <v>2023</v>
      </c>
      <c r="E531">
        <v>2.4090316591396821</v>
      </c>
      <c r="F531">
        <v>-0.81689108427086243</v>
      </c>
      <c r="G531">
        <f t="shared" si="8"/>
        <v>-3.2259227434105444</v>
      </c>
      <c r="H531">
        <v>8.2683809672599654E-3</v>
      </c>
      <c r="I531" t="s">
        <v>80</v>
      </c>
    </row>
    <row r="532" spans="1:9" x14ac:dyDescent="0.35">
      <c r="A532" t="s">
        <v>68</v>
      </c>
      <c r="B532" t="s">
        <v>63</v>
      </c>
      <c r="C532" t="s">
        <v>38</v>
      </c>
      <c r="D532">
        <v>2023</v>
      </c>
      <c r="E532">
        <v>-0.27334918709761569</v>
      </c>
      <c r="F532">
        <v>-0.81689108427086243</v>
      </c>
      <c r="G532">
        <f t="shared" si="8"/>
        <v>-0.54354189717324675</v>
      </c>
      <c r="H532">
        <v>8.2683809672599654E-3</v>
      </c>
      <c r="I532" t="s">
        <v>80</v>
      </c>
    </row>
    <row r="533" spans="1:9" x14ac:dyDescent="0.35">
      <c r="A533" t="s">
        <v>68</v>
      </c>
      <c r="B533" t="s">
        <v>64</v>
      </c>
      <c r="C533" t="s">
        <v>40</v>
      </c>
      <c r="D533">
        <v>2023</v>
      </c>
      <c r="E533">
        <v>0.18957305278237691</v>
      </c>
      <c r="F533">
        <v>-0.81689108427086243</v>
      </c>
      <c r="G533">
        <f t="shared" si="8"/>
        <v>-1.0064641370532392</v>
      </c>
      <c r="H533">
        <v>8.2683809672599654E-3</v>
      </c>
      <c r="I533" t="s">
        <v>80</v>
      </c>
    </row>
    <row r="534" spans="1:9" x14ac:dyDescent="0.35">
      <c r="A534" t="s">
        <v>74</v>
      </c>
      <c r="B534" t="s">
        <v>61</v>
      </c>
      <c r="C534" t="s">
        <v>38</v>
      </c>
      <c r="D534">
        <v>2023</v>
      </c>
      <c r="E534">
        <v>3.172255506856847</v>
      </c>
      <c r="F534">
        <v>-3.5205103013764418</v>
      </c>
      <c r="G534">
        <f t="shared" si="8"/>
        <v>-6.6927658082332888</v>
      </c>
      <c r="H534">
        <v>7.0481552886537402E-3</v>
      </c>
      <c r="I534" t="s">
        <v>80</v>
      </c>
    </row>
    <row r="535" spans="1:9" x14ac:dyDescent="0.35">
      <c r="A535" t="s">
        <v>74</v>
      </c>
      <c r="B535" t="s">
        <v>62</v>
      </c>
      <c r="C535" t="s">
        <v>40</v>
      </c>
      <c r="D535">
        <v>2023</v>
      </c>
      <c r="E535">
        <v>4.4348314017168322</v>
      </c>
      <c r="F535">
        <v>-3.5205103013764418</v>
      </c>
      <c r="G535">
        <f t="shared" si="8"/>
        <v>-7.955341703093274</v>
      </c>
      <c r="H535">
        <v>7.0481552886537402E-3</v>
      </c>
      <c r="I535" t="s">
        <v>80</v>
      </c>
    </row>
    <row r="536" spans="1:9" x14ac:dyDescent="0.35">
      <c r="A536" t="s">
        <v>74</v>
      </c>
      <c r="B536" t="s">
        <v>63</v>
      </c>
      <c r="C536" t="s">
        <v>38</v>
      </c>
      <c r="D536">
        <v>2023</v>
      </c>
      <c r="E536">
        <v>-0.93495600507882415</v>
      </c>
      <c r="F536">
        <v>-3.5205103013764418</v>
      </c>
      <c r="G536">
        <f t="shared" si="8"/>
        <v>-2.5855542962976177</v>
      </c>
      <c r="H536">
        <v>7.0481552886537402E-3</v>
      </c>
      <c r="I536" t="s">
        <v>80</v>
      </c>
    </row>
    <row r="537" spans="1:9" x14ac:dyDescent="0.35">
      <c r="A537" t="s">
        <v>74</v>
      </c>
      <c r="B537" t="s">
        <v>64</v>
      </c>
      <c r="C537" t="s">
        <v>40</v>
      </c>
      <c r="D537">
        <v>2023</v>
      </c>
      <c r="E537">
        <v>5.5170730455133654</v>
      </c>
      <c r="F537">
        <v>-3.5205103013764418</v>
      </c>
      <c r="G537">
        <f t="shared" si="8"/>
        <v>-9.0375833468898072</v>
      </c>
      <c r="H537">
        <v>7.0481552886537402E-3</v>
      </c>
      <c r="I537" t="s">
        <v>80</v>
      </c>
    </row>
    <row r="538" spans="1:9" x14ac:dyDescent="0.35">
      <c r="A538" t="s">
        <v>76</v>
      </c>
      <c r="B538" t="s">
        <v>61</v>
      </c>
      <c r="C538" t="s">
        <v>38</v>
      </c>
      <c r="D538">
        <v>2023</v>
      </c>
      <c r="E538">
        <v>0.64857323528075828</v>
      </c>
      <c r="F538">
        <v>-0.58469355622177965</v>
      </c>
      <c r="G538">
        <f t="shared" si="8"/>
        <v>-1.2332667915025379</v>
      </c>
      <c r="H538">
        <v>4.7209783201579453E-2</v>
      </c>
      <c r="I538" t="s">
        <v>80</v>
      </c>
    </row>
    <row r="539" spans="1:9" x14ac:dyDescent="0.35">
      <c r="A539" t="s">
        <v>76</v>
      </c>
      <c r="B539" t="s">
        <v>62</v>
      </c>
      <c r="C539" t="s">
        <v>40</v>
      </c>
      <c r="D539">
        <v>2023</v>
      </c>
      <c r="E539">
        <v>1.5682500170195011</v>
      </c>
      <c r="F539">
        <v>-0.58469355622177965</v>
      </c>
      <c r="G539">
        <f t="shared" si="8"/>
        <v>-2.1529435732412807</v>
      </c>
      <c r="H539">
        <v>4.7209783201579453E-2</v>
      </c>
      <c r="I539" t="s">
        <v>80</v>
      </c>
    </row>
    <row r="540" spans="1:9" x14ac:dyDescent="0.35">
      <c r="A540" t="s">
        <v>76</v>
      </c>
      <c r="B540" t="s">
        <v>63</v>
      </c>
      <c r="C540" t="s">
        <v>38</v>
      </c>
      <c r="D540">
        <v>2023</v>
      </c>
      <c r="E540">
        <v>0.5799247285826814</v>
      </c>
      <c r="F540">
        <v>-0.58469355622177965</v>
      </c>
      <c r="G540">
        <f t="shared" si="8"/>
        <v>-1.1646182848044611</v>
      </c>
      <c r="H540">
        <v>4.7209783201579453E-2</v>
      </c>
      <c r="I540" t="s">
        <v>80</v>
      </c>
    </row>
    <row r="541" spans="1:9" x14ac:dyDescent="0.35">
      <c r="A541" t="s">
        <v>76</v>
      </c>
      <c r="B541" t="s">
        <v>64</v>
      </c>
      <c r="C541" t="s">
        <v>40</v>
      </c>
      <c r="D541">
        <v>2023</v>
      </c>
      <c r="E541">
        <v>1.8009941751683021</v>
      </c>
      <c r="F541">
        <v>-0.58469355622177965</v>
      </c>
      <c r="G541">
        <f t="shared" si="8"/>
        <v>-2.3856877313900817</v>
      </c>
      <c r="H541">
        <v>4.7209783201579453E-2</v>
      </c>
      <c r="I541" t="s">
        <v>80</v>
      </c>
    </row>
    <row r="542" spans="1:9" x14ac:dyDescent="0.35">
      <c r="A542" t="s">
        <v>36</v>
      </c>
      <c r="B542" t="s">
        <v>63</v>
      </c>
      <c r="C542" t="s">
        <v>38</v>
      </c>
      <c r="D542">
        <v>2024</v>
      </c>
      <c r="E542">
        <v>1.003014698305593</v>
      </c>
      <c r="F542">
        <v>-0.83360128885911988</v>
      </c>
      <c r="G542">
        <f t="shared" si="8"/>
        <v>-1.8366159871647127</v>
      </c>
      <c r="H542">
        <v>1.1274054550446029E-2</v>
      </c>
      <c r="I542" t="s">
        <v>80</v>
      </c>
    </row>
    <row r="543" spans="1:9" x14ac:dyDescent="0.35">
      <c r="A543" t="s">
        <v>36</v>
      </c>
      <c r="B543" t="s">
        <v>64</v>
      </c>
      <c r="C543" t="s">
        <v>40</v>
      </c>
      <c r="D543">
        <v>2024</v>
      </c>
      <c r="E543">
        <v>1.612734355819456</v>
      </c>
      <c r="F543">
        <v>-0.83360128885911988</v>
      </c>
      <c r="G543">
        <f t="shared" si="8"/>
        <v>-2.4463356446785758</v>
      </c>
      <c r="H543">
        <v>1.1274054550446029E-2</v>
      </c>
      <c r="I543" t="s">
        <v>80</v>
      </c>
    </row>
    <row r="544" spans="1:9" x14ac:dyDescent="0.35">
      <c r="A544" t="s">
        <v>36</v>
      </c>
      <c r="B544" t="s">
        <v>65</v>
      </c>
      <c r="C544" t="s">
        <v>38</v>
      </c>
      <c r="D544">
        <v>2024</v>
      </c>
      <c r="E544">
        <v>-0.62164843681992155</v>
      </c>
      <c r="F544">
        <v>-0.83360128885911988</v>
      </c>
      <c r="G544">
        <f t="shared" si="8"/>
        <v>-0.21195285203919834</v>
      </c>
      <c r="H544">
        <v>1.1274054550446029E-2</v>
      </c>
      <c r="I544" t="s">
        <v>80</v>
      </c>
    </row>
    <row r="545" spans="1:9" x14ac:dyDescent="0.35">
      <c r="A545" t="s">
        <v>36</v>
      </c>
      <c r="B545" t="s">
        <v>66</v>
      </c>
      <c r="C545" t="s">
        <v>40</v>
      </c>
      <c r="D545">
        <v>2024</v>
      </c>
      <c r="E545">
        <v>0.29111977378135651</v>
      </c>
      <c r="F545">
        <v>-0.83360128885911988</v>
      </c>
      <c r="G545">
        <f t="shared" si="8"/>
        <v>-1.1247210626404764</v>
      </c>
      <c r="H545">
        <v>1.1274054550446029E-2</v>
      </c>
      <c r="I545" t="s">
        <v>80</v>
      </c>
    </row>
    <row r="546" spans="1:9" x14ac:dyDescent="0.35">
      <c r="A546" t="s">
        <v>68</v>
      </c>
      <c r="B546" t="s">
        <v>63</v>
      </c>
      <c r="C546" t="s">
        <v>38</v>
      </c>
      <c r="D546">
        <v>2024</v>
      </c>
      <c r="E546">
        <v>0.80450584510622924</v>
      </c>
      <c r="F546">
        <v>4.0523394564314849E-2</v>
      </c>
      <c r="G546">
        <f t="shared" si="8"/>
        <v>-0.76398245054191438</v>
      </c>
      <c r="H546">
        <v>9.0522441223979538E-3</v>
      </c>
      <c r="I546" t="s">
        <v>80</v>
      </c>
    </row>
    <row r="547" spans="1:9" x14ac:dyDescent="0.35">
      <c r="A547" t="s">
        <v>68</v>
      </c>
      <c r="B547" t="s">
        <v>64</v>
      </c>
      <c r="C547" t="s">
        <v>40</v>
      </c>
      <c r="D547">
        <v>2024</v>
      </c>
      <c r="E547">
        <v>1.358688832068133</v>
      </c>
      <c r="F547">
        <v>4.0523394564314849E-2</v>
      </c>
      <c r="G547">
        <f t="shared" si="8"/>
        <v>-1.3181654375038181</v>
      </c>
      <c r="H547">
        <v>9.0522441223979538E-3</v>
      </c>
      <c r="I547" t="s">
        <v>80</v>
      </c>
    </row>
    <row r="548" spans="1:9" x14ac:dyDescent="0.35">
      <c r="A548" t="s">
        <v>68</v>
      </c>
      <c r="B548" t="s">
        <v>65</v>
      </c>
      <c r="C548" t="s">
        <v>38</v>
      </c>
      <c r="D548">
        <v>2024</v>
      </c>
      <c r="E548">
        <v>-0.1114510968873272</v>
      </c>
      <c r="F548">
        <v>4.0523394564314849E-2</v>
      </c>
      <c r="G548">
        <f t="shared" si="8"/>
        <v>0.15197449145164205</v>
      </c>
      <c r="H548">
        <v>9.0522441223979538E-3</v>
      </c>
      <c r="I548" t="s">
        <v>80</v>
      </c>
    </row>
    <row r="549" spans="1:9" x14ac:dyDescent="0.35">
      <c r="A549" t="s">
        <v>68</v>
      </c>
      <c r="B549" t="s">
        <v>66</v>
      </c>
      <c r="C549" t="s">
        <v>40</v>
      </c>
      <c r="D549">
        <v>2024</v>
      </c>
      <c r="E549">
        <v>0.12753656568900151</v>
      </c>
      <c r="F549">
        <v>4.0523394564314849E-2</v>
      </c>
      <c r="G549">
        <f t="shared" si="8"/>
        <v>-8.7013171124686664E-2</v>
      </c>
      <c r="H549">
        <v>9.0522441223979538E-3</v>
      </c>
      <c r="I549" t="s">
        <v>80</v>
      </c>
    </row>
    <row r="550" spans="1:9" x14ac:dyDescent="0.35">
      <c r="A550" t="s">
        <v>73</v>
      </c>
      <c r="B550" t="s">
        <v>63</v>
      </c>
      <c r="C550" t="s">
        <v>38</v>
      </c>
      <c r="D550">
        <v>2024</v>
      </c>
      <c r="E550">
        <v>1.2470954330068731</v>
      </c>
      <c r="F550">
        <v>1.4144828845553741</v>
      </c>
      <c r="G550">
        <f t="shared" si="8"/>
        <v>0.16738745154850099</v>
      </c>
      <c r="H550">
        <v>2.7698144991347719E-3</v>
      </c>
      <c r="I550" t="s">
        <v>80</v>
      </c>
    </row>
    <row r="551" spans="1:9" x14ac:dyDescent="0.35">
      <c r="A551" t="s">
        <v>73</v>
      </c>
      <c r="B551" t="s">
        <v>64</v>
      </c>
      <c r="C551" t="s">
        <v>40</v>
      </c>
      <c r="D551">
        <v>2024</v>
      </c>
      <c r="E551">
        <v>1.41860461240253</v>
      </c>
      <c r="F551">
        <v>1.4144828845553741</v>
      </c>
      <c r="G551">
        <f t="shared" si="8"/>
        <v>-4.1217278471559204E-3</v>
      </c>
      <c r="H551">
        <v>2.7698144991347719E-3</v>
      </c>
      <c r="I551" t="s">
        <v>80</v>
      </c>
    </row>
    <row r="552" spans="1:9" x14ac:dyDescent="0.35">
      <c r="A552" t="s">
        <v>73</v>
      </c>
      <c r="B552" t="s">
        <v>65</v>
      </c>
      <c r="C552" t="s">
        <v>38</v>
      </c>
      <c r="D552">
        <v>2024</v>
      </c>
      <c r="E552">
        <v>1.13903040986485</v>
      </c>
      <c r="F552">
        <v>1.4144828845553741</v>
      </c>
      <c r="G552">
        <f t="shared" si="8"/>
        <v>0.27545247469052403</v>
      </c>
      <c r="H552">
        <v>2.7698144991347719E-3</v>
      </c>
      <c r="I552" t="s">
        <v>80</v>
      </c>
    </row>
    <row r="553" spans="1:9" x14ac:dyDescent="0.35">
      <c r="A553" t="s">
        <v>73</v>
      </c>
      <c r="B553" t="s">
        <v>66</v>
      </c>
      <c r="C553" t="s">
        <v>40</v>
      </c>
      <c r="D553">
        <v>2024</v>
      </c>
      <c r="E553">
        <v>0.72851910514837304</v>
      </c>
      <c r="F553">
        <v>1.4144828845553741</v>
      </c>
      <c r="G553">
        <f t="shared" si="8"/>
        <v>0.68596377940700104</v>
      </c>
      <c r="H553">
        <v>2.7698144991347719E-3</v>
      </c>
      <c r="I553" t="s">
        <v>80</v>
      </c>
    </row>
    <row r="554" spans="1:9" x14ac:dyDescent="0.35">
      <c r="A554" t="s">
        <v>74</v>
      </c>
      <c r="B554" t="s">
        <v>63</v>
      </c>
      <c r="C554" t="s">
        <v>38</v>
      </c>
      <c r="D554">
        <v>2024</v>
      </c>
      <c r="E554">
        <v>3.0440640134462789</v>
      </c>
      <c r="F554">
        <v>3.6203795629134459</v>
      </c>
      <c r="G554">
        <f t="shared" si="8"/>
        <v>0.57631554946716701</v>
      </c>
      <c r="H554">
        <v>8.9861308352750593E-3</v>
      </c>
      <c r="I554" t="s">
        <v>80</v>
      </c>
    </row>
    <row r="555" spans="1:9" x14ac:dyDescent="0.35">
      <c r="A555" t="s">
        <v>74</v>
      </c>
      <c r="B555" t="s">
        <v>64</v>
      </c>
      <c r="C555" t="s">
        <v>40</v>
      </c>
      <c r="D555">
        <v>2024</v>
      </c>
      <c r="E555">
        <v>4.9679452562146009</v>
      </c>
      <c r="F555">
        <v>3.6203795629134459</v>
      </c>
      <c r="G555">
        <f t="shared" si="8"/>
        <v>-1.3475656933011551</v>
      </c>
      <c r="H555">
        <v>8.9861308352750593E-3</v>
      </c>
      <c r="I555" t="s">
        <v>80</v>
      </c>
    </row>
    <row r="556" spans="1:9" x14ac:dyDescent="0.35">
      <c r="A556" t="s">
        <v>74</v>
      </c>
      <c r="B556" t="s">
        <v>65</v>
      </c>
      <c r="C556" t="s">
        <v>38</v>
      </c>
      <c r="D556">
        <v>2024</v>
      </c>
      <c r="E556">
        <v>-0.54062635287741578</v>
      </c>
      <c r="F556">
        <v>3.6203795629134459</v>
      </c>
      <c r="G556">
        <f t="shared" si="8"/>
        <v>4.1610059157908612</v>
      </c>
      <c r="H556">
        <v>8.9861308352750593E-3</v>
      </c>
      <c r="I556" t="s">
        <v>80</v>
      </c>
    </row>
    <row r="557" spans="1:9" x14ac:dyDescent="0.35">
      <c r="A557" t="s">
        <v>74</v>
      </c>
      <c r="B557" t="s">
        <v>66</v>
      </c>
      <c r="C557" t="s">
        <v>40</v>
      </c>
      <c r="D557">
        <v>2024</v>
      </c>
      <c r="E557">
        <v>1.2437124663212009</v>
      </c>
      <c r="F557">
        <v>3.6203795629134459</v>
      </c>
      <c r="G557">
        <f t="shared" si="8"/>
        <v>2.3766670965922447</v>
      </c>
      <c r="H557">
        <v>8.9861308352750593E-3</v>
      </c>
      <c r="I557" t="s">
        <v>80</v>
      </c>
    </row>
    <row r="558" spans="1:9" x14ac:dyDescent="0.35">
      <c r="A558" t="s">
        <v>76</v>
      </c>
      <c r="B558" t="s">
        <v>63</v>
      </c>
      <c r="C558" t="s">
        <v>38</v>
      </c>
      <c r="D558">
        <v>2024</v>
      </c>
      <c r="E558">
        <v>1.090974188365412</v>
      </c>
      <c r="F558">
        <v>1.058640812818894</v>
      </c>
      <c r="G558">
        <f t="shared" si="8"/>
        <v>-3.2333375546518051E-2</v>
      </c>
      <c r="H558">
        <v>5.4550377494533613E-2</v>
      </c>
      <c r="I558" t="s">
        <v>80</v>
      </c>
    </row>
    <row r="559" spans="1:9" x14ac:dyDescent="0.35">
      <c r="A559" t="s">
        <v>76</v>
      </c>
      <c r="B559" t="s">
        <v>64</v>
      </c>
      <c r="C559" t="s">
        <v>40</v>
      </c>
      <c r="D559">
        <v>2024</v>
      </c>
      <c r="E559">
        <v>1.181076174566176</v>
      </c>
      <c r="F559">
        <v>1.058640812818894</v>
      </c>
      <c r="G559">
        <f t="shared" si="8"/>
        <v>-0.12243536174728198</v>
      </c>
      <c r="H559">
        <v>5.4550377494533613E-2</v>
      </c>
      <c r="I559" t="s">
        <v>80</v>
      </c>
    </row>
    <row r="560" spans="1:9" x14ac:dyDescent="0.35">
      <c r="A560" t="s">
        <v>76</v>
      </c>
      <c r="B560" t="s">
        <v>65</v>
      </c>
      <c r="C560" t="s">
        <v>38</v>
      </c>
      <c r="D560">
        <v>2024</v>
      </c>
      <c r="E560">
        <v>0.84134331866276835</v>
      </c>
      <c r="F560">
        <v>1.058640812818894</v>
      </c>
      <c r="G560">
        <f t="shared" si="8"/>
        <v>0.21729749415612565</v>
      </c>
      <c r="H560">
        <v>5.4550377494533613E-2</v>
      </c>
      <c r="I560" t="s">
        <v>80</v>
      </c>
    </row>
    <row r="561" spans="1:9" x14ac:dyDescent="0.35">
      <c r="A561" t="s">
        <v>76</v>
      </c>
      <c r="B561" t="s">
        <v>66</v>
      </c>
      <c r="C561" t="s">
        <v>40</v>
      </c>
      <c r="D561">
        <v>2024</v>
      </c>
      <c r="E561">
        <v>0.76042118074215459</v>
      </c>
      <c r="F561">
        <v>1.058640812818894</v>
      </c>
      <c r="G561">
        <f t="shared" si="8"/>
        <v>0.2982196320767394</v>
      </c>
      <c r="H561">
        <v>5.4550377494533613E-2</v>
      </c>
      <c r="I561" t="s">
        <v>80</v>
      </c>
    </row>
    <row r="562" spans="1:9" x14ac:dyDescent="0.35">
      <c r="A562" t="s">
        <v>36</v>
      </c>
      <c r="B562" t="s">
        <v>65</v>
      </c>
      <c r="C562" t="s">
        <v>38</v>
      </c>
      <c r="D562">
        <v>2025</v>
      </c>
      <c r="E562">
        <v>0.99303912238537517</v>
      </c>
      <c r="F562">
        <v>0.95241300208403867</v>
      </c>
      <c r="G562">
        <f t="shared" si="8"/>
        <v>-4.0626120301336499E-2</v>
      </c>
      <c r="H562">
        <v>1.1274054550446029E-2</v>
      </c>
      <c r="I562" t="s">
        <v>80</v>
      </c>
    </row>
    <row r="563" spans="1:9" x14ac:dyDescent="0.35">
      <c r="A563" t="s">
        <v>36</v>
      </c>
      <c r="B563" t="s">
        <v>66</v>
      </c>
      <c r="C563" t="s">
        <v>40</v>
      </c>
      <c r="D563">
        <v>2025</v>
      </c>
      <c r="E563">
        <v>1.6020195321839961</v>
      </c>
      <c r="F563">
        <v>0.95241300208403867</v>
      </c>
      <c r="G563">
        <f t="shared" si="8"/>
        <v>-0.64960653009995739</v>
      </c>
      <c r="H563">
        <v>1.1274054550446029E-2</v>
      </c>
      <c r="I563" t="s">
        <v>80</v>
      </c>
    </row>
    <row r="564" spans="1:9" x14ac:dyDescent="0.35">
      <c r="A564" t="s">
        <v>36</v>
      </c>
      <c r="B564" t="s">
        <v>71</v>
      </c>
      <c r="C564" t="s">
        <v>38</v>
      </c>
      <c r="D564">
        <v>2025</v>
      </c>
      <c r="E564">
        <v>0.31436230025780892</v>
      </c>
      <c r="F564">
        <v>0.95241300208403867</v>
      </c>
      <c r="G564">
        <f t="shared" si="8"/>
        <v>0.6380507018262298</v>
      </c>
      <c r="H564">
        <v>1.1274054550446029E-2</v>
      </c>
      <c r="I564" t="s">
        <v>80</v>
      </c>
    </row>
    <row r="565" spans="1:9" x14ac:dyDescent="0.35">
      <c r="A565" t="s">
        <v>36</v>
      </c>
      <c r="B565" t="s">
        <v>72</v>
      </c>
      <c r="C565" t="s">
        <v>40</v>
      </c>
      <c r="D565">
        <v>2025</v>
      </c>
      <c r="E565">
        <v>-0.28270783018636841</v>
      </c>
      <c r="F565">
        <v>0.95241300208403867</v>
      </c>
      <c r="G565">
        <f t="shared" si="8"/>
        <v>1.235120832270407</v>
      </c>
      <c r="H565">
        <v>1.1274054550446029E-2</v>
      </c>
      <c r="I565" t="s">
        <v>80</v>
      </c>
    </row>
    <row r="566" spans="1:9" x14ac:dyDescent="0.35">
      <c r="A566" t="s">
        <v>68</v>
      </c>
      <c r="B566" t="s">
        <v>65</v>
      </c>
      <c r="C566" t="s">
        <v>38</v>
      </c>
      <c r="D566">
        <v>2025</v>
      </c>
      <c r="E566">
        <v>0.69333808233418281</v>
      </c>
      <c r="F566">
        <v>0.34025588112837718</v>
      </c>
      <c r="G566">
        <f t="shared" si="8"/>
        <v>-0.35308220120580563</v>
      </c>
      <c r="H566">
        <v>9.0522441223979538E-3</v>
      </c>
      <c r="I566" t="s">
        <v>80</v>
      </c>
    </row>
    <row r="567" spans="1:9" x14ac:dyDescent="0.35">
      <c r="A567" t="s">
        <v>68</v>
      </c>
      <c r="B567" t="s">
        <v>66</v>
      </c>
      <c r="C567" t="s">
        <v>40</v>
      </c>
      <c r="D567">
        <v>2025</v>
      </c>
      <c r="E567">
        <v>1.014129227832639</v>
      </c>
      <c r="F567">
        <v>0.34025588112837718</v>
      </c>
      <c r="G567">
        <f t="shared" si="8"/>
        <v>-0.67387334670426191</v>
      </c>
      <c r="H567">
        <v>9.0522441223979538E-3</v>
      </c>
      <c r="I567" t="s">
        <v>80</v>
      </c>
    </row>
    <row r="568" spans="1:9" x14ac:dyDescent="0.35">
      <c r="A568" t="s">
        <v>68</v>
      </c>
      <c r="B568" t="s">
        <v>71</v>
      </c>
      <c r="C568" t="s">
        <v>38</v>
      </c>
      <c r="D568">
        <v>2025</v>
      </c>
      <c r="E568">
        <v>0.17068748819852869</v>
      </c>
      <c r="F568">
        <v>0.34025588112837718</v>
      </c>
      <c r="G568">
        <f t="shared" si="8"/>
        <v>0.16956839292984849</v>
      </c>
      <c r="H568">
        <v>9.0522441223979538E-3</v>
      </c>
      <c r="I568" t="s">
        <v>80</v>
      </c>
    </row>
    <row r="569" spans="1:9" x14ac:dyDescent="0.35">
      <c r="A569" t="s">
        <v>68</v>
      </c>
      <c r="B569" t="s">
        <v>72</v>
      </c>
      <c r="C569" t="s">
        <v>40</v>
      </c>
      <c r="D569">
        <v>2025</v>
      </c>
      <c r="E569">
        <v>-2.9831521216272531E-2</v>
      </c>
      <c r="F569">
        <v>0.34025588112837718</v>
      </c>
      <c r="G569">
        <f t="shared" si="8"/>
        <v>0.37008740234464971</v>
      </c>
      <c r="H569">
        <v>9.0522441223979538E-3</v>
      </c>
      <c r="I569" t="s">
        <v>80</v>
      </c>
    </row>
    <row r="570" spans="1:9" x14ac:dyDescent="0.35">
      <c r="A570" t="s">
        <v>73</v>
      </c>
      <c r="B570" t="s">
        <v>65</v>
      </c>
      <c r="C570" t="s">
        <v>38</v>
      </c>
      <c r="D570">
        <v>2025</v>
      </c>
      <c r="E570">
        <v>0.82258828244963222</v>
      </c>
      <c r="F570">
        <v>0.88561946045636819</v>
      </c>
      <c r="G570">
        <f t="shared" si="8"/>
        <v>6.3031178006735966E-2</v>
      </c>
      <c r="H570">
        <v>2.7698144991347719E-3</v>
      </c>
      <c r="I570" t="s">
        <v>80</v>
      </c>
    </row>
    <row r="571" spans="1:9" x14ac:dyDescent="0.35">
      <c r="A571" t="s">
        <v>73</v>
      </c>
      <c r="B571" t="s">
        <v>66</v>
      </c>
      <c r="C571" t="s">
        <v>40</v>
      </c>
      <c r="D571">
        <v>2025</v>
      </c>
      <c r="E571">
        <v>1.2594069979400271</v>
      </c>
      <c r="F571">
        <v>0.88561946045636819</v>
      </c>
      <c r="G571">
        <f t="shared" si="8"/>
        <v>-0.37378753748365889</v>
      </c>
      <c r="H571">
        <v>2.7698144991347719E-3</v>
      </c>
      <c r="I571" t="s">
        <v>80</v>
      </c>
    </row>
    <row r="572" spans="1:9" x14ac:dyDescent="0.35">
      <c r="A572" t="s">
        <v>73</v>
      </c>
      <c r="B572" t="s">
        <v>71</v>
      </c>
      <c r="C572" t="s">
        <v>38</v>
      </c>
      <c r="D572">
        <v>2025</v>
      </c>
      <c r="E572">
        <v>0.69714532745484004</v>
      </c>
      <c r="F572">
        <v>0.88561946045636819</v>
      </c>
      <c r="G572">
        <f t="shared" si="8"/>
        <v>0.18847413300152815</v>
      </c>
      <c r="H572">
        <v>2.7698144991347719E-3</v>
      </c>
      <c r="I572" t="s">
        <v>80</v>
      </c>
    </row>
    <row r="573" spans="1:9" x14ac:dyDescent="0.35">
      <c r="A573" t="s">
        <v>73</v>
      </c>
      <c r="B573" t="s">
        <v>72</v>
      </c>
      <c r="C573" t="s">
        <v>40</v>
      </c>
      <c r="D573">
        <v>2025</v>
      </c>
      <c r="E573">
        <v>0.57266269658549085</v>
      </c>
      <c r="F573">
        <v>0.88561946045636819</v>
      </c>
      <c r="G573">
        <f t="shared" si="8"/>
        <v>0.31295676387087734</v>
      </c>
      <c r="H573">
        <v>2.7698144991347719E-3</v>
      </c>
      <c r="I573" t="s">
        <v>80</v>
      </c>
    </row>
    <row r="574" spans="1:9" x14ac:dyDescent="0.35">
      <c r="A574" t="s">
        <v>74</v>
      </c>
      <c r="B574" t="s">
        <v>65</v>
      </c>
      <c r="C574" t="s">
        <v>38</v>
      </c>
      <c r="D574">
        <v>2025</v>
      </c>
      <c r="E574">
        <v>4.023669914633099</v>
      </c>
      <c r="F574">
        <v>7.7791754385506806</v>
      </c>
      <c r="G574">
        <f t="shared" si="8"/>
        <v>3.7555055239175816</v>
      </c>
      <c r="H574">
        <v>8.9861308352750593E-3</v>
      </c>
      <c r="I574" t="s">
        <v>80</v>
      </c>
    </row>
    <row r="575" spans="1:9" x14ac:dyDescent="0.35">
      <c r="A575" t="s">
        <v>74</v>
      </c>
      <c r="B575" t="s">
        <v>66</v>
      </c>
      <c r="C575" t="s">
        <v>40</v>
      </c>
      <c r="D575">
        <v>2025</v>
      </c>
      <c r="E575">
        <v>3.5927766013469591</v>
      </c>
      <c r="F575">
        <v>7.7791754385506806</v>
      </c>
      <c r="G575">
        <f t="shared" si="8"/>
        <v>4.186398837203722</v>
      </c>
      <c r="H575">
        <v>8.9861308352750593E-3</v>
      </c>
      <c r="I575" t="s">
        <v>80</v>
      </c>
    </row>
    <row r="576" spans="1:9" x14ac:dyDescent="0.35">
      <c r="A576" t="s">
        <v>74</v>
      </c>
      <c r="B576" t="s">
        <v>71</v>
      </c>
      <c r="C576" t="s">
        <v>38</v>
      </c>
      <c r="D576">
        <v>2025</v>
      </c>
      <c r="E576">
        <v>10.65081995793598</v>
      </c>
      <c r="F576">
        <v>7.7791754385506806</v>
      </c>
      <c r="G576">
        <f t="shared" si="8"/>
        <v>-2.8716445193852991</v>
      </c>
      <c r="H576">
        <v>8.9861308352750593E-3</v>
      </c>
      <c r="I576" t="s">
        <v>80</v>
      </c>
    </row>
    <row r="577" spans="1:9" x14ac:dyDescent="0.35">
      <c r="A577" t="s">
        <v>74</v>
      </c>
      <c r="B577" t="s">
        <v>72</v>
      </c>
      <c r="C577" t="s">
        <v>40</v>
      </c>
      <c r="D577">
        <v>2025</v>
      </c>
      <c r="E577">
        <v>3.377198218825495</v>
      </c>
      <c r="F577">
        <v>7.7791754385506806</v>
      </c>
      <c r="G577">
        <f t="shared" si="8"/>
        <v>4.4019772197251861</v>
      </c>
      <c r="H577">
        <v>8.9861308352750593E-3</v>
      </c>
      <c r="I577" t="s">
        <v>80</v>
      </c>
    </row>
    <row r="578" spans="1:9" x14ac:dyDescent="0.35">
      <c r="A578" t="s">
        <v>76</v>
      </c>
      <c r="B578" t="s">
        <v>65</v>
      </c>
      <c r="C578" t="s">
        <v>38</v>
      </c>
      <c r="D578">
        <v>2025</v>
      </c>
      <c r="E578">
        <v>1.551316113361789</v>
      </c>
      <c r="F578">
        <v>1.5629801711020599</v>
      </c>
      <c r="G578">
        <f t="shared" ref="G578:G581" si="9">IF(OR(F578="",E578=""),"",F578-E578)</f>
        <v>1.1664057740270906E-2</v>
      </c>
      <c r="H578">
        <v>5.4550377494533613E-2</v>
      </c>
      <c r="I578" t="s">
        <v>80</v>
      </c>
    </row>
    <row r="579" spans="1:9" x14ac:dyDescent="0.35">
      <c r="A579" t="s">
        <v>76</v>
      </c>
      <c r="B579" t="s">
        <v>66</v>
      </c>
      <c r="C579" t="s">
        <v>40</v>
      </c>
      <c r="D579">
        <v>2025</v>
      </c>
      <c r="E579">
        <v>1.4664182247055459</v>
      </c>
      <c r="F579">
        <v>1.5629801711020599</v>
      </c>
      <c r="G579">
        <f t="shared" si="9"/>
        <v>9.6561946396513942E-2</v>
      </c>
      <c r="H579">
        <v>5.4550377494533613E-2</v>
      </c>
      <c r="I579" t="s">
        <v>80</v>
      </c>
    </row>
    <row r="580" spans="1:9" x14ac:dyDescent="0.35">
      <c r="A580" t="s">
        <v>76</v>
      </c>
      <c r="B580" t="s">
        <v>71</v>
      </c>
      <c r="C580" t="s">
        <v>38</v>
      </c>
      <c r="D580">
        <v>2025</v>
      </c>
      <c r="E580">
        <v>1.6966708374271939</v>
      </c>
      <c r="F580">
        <v>1.5629801711020599</v>
      </c>
      <c r="G580">
        <f t="shared" si="9"/>
        <v>-0.13369066632513404</v>
      </c>
      <c r="H580">
        <v>5.4550377494533613E-2</v>
      </c>
      <c r="I580" t="s">
        <v>80</v>
      </c>
    </row>
    <row r="581" spans="1:9" x14ac:dyDescent="0.35">
      <c r="A581" t="s">
        <v>76</v>
      </c>
      <c r="B581" t="s">
        <v>72</v>
      </c>
      <c r="C581" t="s">
        <v>40</v>
      </c>
      <c r="D581">
        <v>2025</v>
      </c>
      <c r="E581">
        <v>1.282511180567347</v>
      </c>
      <c r="F581">
        <v>1.5629801711020599</v>
      </c>
      <c r="G581">
        <f t="shared" si="9"/>
        <v>0.28046899053471286</v>
      </c>
      <c r="H581">
        <v>5.4550377494533613E-2</v>
      </c>
      <c r="I581" t="s">
        <v>80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6</v>
      </c>
      <c r="I1" s="2" t="s">
        <v>78</v>
      </c>
      <c r="J1" s="2" t="s">
        <v>81</v>
      </c>
    </row>
    <row r="2" spans="1:10" x14ac:dyDescent="0.35">
      <c r="A2" t="s">
        <v>67</v>
      </c>
      <c r="B2" t="s">
        <v>57</v>
      </c>
      <c r="C2" t="s">
        <v>38</v>
      </c>
      <c r="D2">
        <v>2020</v>
      </c>
      <c r="E2">
        <v>-8.420158667688538</v>
      </c>
      <c r="F2">
        <v>-4.9116764965584894</v>
      </c>
      <c r="G2">
        <f t="shared" ref="G2:G33" si="0">IF(OR(F2="",E2=""),"",F2-E2)</f>
        <v>3.5084821711300487</v>
      </c>
      <c r="H2">
        <v>1.2802209101079819E-3</v>
      </c>
      <c r="I2" t="s">
        <v>79</v>
      </c>
      <c r="J2">
        <v>2020</v>
      </c>
    </row>
    <row r="3" spans="1:10" x14ac:dyDescent="0.35">
      <c r="A3" t="s">
        <v>67</v>
      </c>
      <c r="B3" t="s">
        <v>58</v>
      </c>
      <c r="C3" t="s">
        <v>40</v>
      </c>
      <c r="D3">
        <v>2020</v>
      </c>
      <c r="E3">
        <v>-7.1575995247655024</v>
      </c>
      <c r="F3">
        <v>-4.9116764965584894</v>
      </c>
      <c r="G3">
        <f t="shared" si="0"/>
        <v>2.2459230282070131</v>
      </c>
      <c r="H3">
        <v>1.2802209101079819E-3</v>
      </c>
      <c r="I3" t="s">
        <v>79</v>
      </c>
      <c r="J3">
        <v>2020</v>
      </c>
    </row>
    <row r="4" spans="1:10" x14ac:dyDescent="0.35">
      <c r="A4" t="s">
        <v>69</v>
      </c>
      <c r="B4" t="s">
        <v>57</v>
      </c>
      <c r="C4" t="s">
        <v>38</v>
      </c>
      <c r="D4">
        <v>2020</v>
      </c>
      <c r="E4">
        <v>-12.410533977614319</v>
      </c>
      <c r="F4">
        <v>-11.58616521695834</v>
      </c>
      <c r="G4">
        <f t="shared" si="0"/>
        <v>0.82436876065597886</v>
      </c>
      <c r="H4">
        <v>1.089781682979109E-3</v>
      </c>
      <c r="I4" t="s">
        <v>79</v>
      </c>
      <c r="J4">
        <v>2020</v>
      </c>
    </row>
    <row r="5" spans="1:10" x14ac:dyDescent="0.35">
      <c r="A5" t="s">
        <v>69</v>
      </c>
      <c r="B5" t="s">
        <v>58</v>
      </c>
      <c r="C5" t="s">
        <v>40</v>
      </c>
      <c r="D5">
        <v>2020</v>
      </c>
      <c r="E5">
        <v>-9.3843459766278272</v>
      </c>
      <c r="F5">
        <v>-11.58616521695834</v>
      </c>
      <c r="G5">
        <f t="shared" si="0"/>
        <v>-2.2018192403305132</v>
      </c>
      <c r="H5">
        <v>1.089781682979109E-3</v>
      </c>
      <c r="I5" t="s">
        <v>79</v>
      </c>
      <c r="J5">
        <v>2020</v>
      </c>
    </row>
    <row r="6" spans="1:10" x14ac:dyDescent="0.35">
      <c r="A6" t="s">
        <v>70</v>
      </c>
      <c r="B6" t="s">
        <v>57</v>
      </c>
      <c r="C6" t="s">
        <v>38</v>
      </c>
      <c r="D6">
        <v>2020</v>
      </c>
      <c r="E6">
        <v>-4.2712767573150012</v>
      </c>
      <c r="F6">
        <v>-2.5216639551613449</v>
      </c>
      <c r="G6">
        <f t="shared" si="0"/>
        <v>1.7496128021536563</v>
      </c>
      <c r="H6">
        <v>1.9365478320968409E-3</v>
      </c>
      <c r="I6" t="s">
        <v>79</v>
      </c>
      <c r="J6">
        <v>2020</v>
      </c>
    </row>
    <row r="7" spans="1:10" x14ac:dyDescent="0.35">
      <c r="A7" t="s">
        <v>70</v>
      </c>
      <c r="B7" t="s">
        <v>58</v>
      </c>
      <c r="C7" t="s">
        <v>40</v>
      </c>
      <c r="D7">
        <v>2020</v>
      </c>
      <c r="E7">
        <v>-6.3340086382144829</v>
      </c>
      <c r="F7">
        <v>-2.5216639551613449</v>
      </c>
      <c r="G7">
        <f t="shared" si="0"/>
        <v>3.812344683053138</v>
      </c>
      <c r="H7">
        <v>1.9365478320968409E-3</v>
      </c>
      <c r="I7" t="s">
        <v>79</v>
      </c>
      <c r="J7">
        <v>2020</v>
      </c>
    </row>
    <row r="8" spans="1:10" x14ac:dyDescent="0.35">
      <c r="A8" t="s">
        <v>75</v>
      </c>
      <c r="B8" t="s">
        <v>57</v>
      </c>
      <c r="C8" t="s">
        <v>38</v>
      </c>
      <c r="D8">
        <v>2020</v>
      </c>
      <c r="E8">
        <v>-9.8515454699187543</v>
      </c>
      <c r="F8">
        <v>-9.3783767522421471</v>
      </c>
      <c r="G8">
        <f t="shared" si="0"/>
        <v>0.47316871767660729</v>
      </c>
      <c r="H8">
        <v>1.62386443036395E-3</v>
      </c>
      <c r="I8" t="s">
        <v>79</v>
      </c>
      <c r="J8">
        <v>2020</v>
      </c>
    </row>
    <row r="9" spans="1:10" x14ac:dyDescent="0.35">
      <c r="A9" t="s">
        <v>75</v>
      </c>
      <c r="B9" t="s">
        <v>58</v>
      </c>
      <c r="C9" t="s">
        <v>40</v>
      </c>
      <c r="D9">
        <v>2020</v>
      </c>
      <c r="E9">
        <v>-9.517990850094149</v>
      </c>
      <c r="F9">
        <v>-9.3783767522421471</v>
      </c>
      <c r="G9">
        <f t="shared" si="0"/>
        <v>0.13961409785200196</v>
      </c>
      <c r="H9">
        <v>1.62386443036395E-3</v>
      </c>
      <c r="I9" t="s">
        <v>79</v>
      </c>
      <c r="J9">
        <v>2020</v>
      </c>
    </row>
    <row r="10" spans="1:10" x14ac:dyDescent="0.35">
      <c r="A10" t="s">
        <v>77</v>
      </c>
      <c r="B10" t="s">
        <v>57</v>
      </c>
      <c r="C10" t="s">
        <v>38</v>
      </c>
      <c r="D10">
        <v>2020</v>
      </c>
      <c r="E10">
        <v>-9.2905567939445373</v>
      </c>
      <c r="F10">
        <v>-8.5609032033360464</v>
      </c>
      <c r="G10">
        <f t="shared" si="0"/>
        <v>0.72965359060849089</v>
      </c>
      <c r="H10">
        <v>1.1314571143666431E-3</v>
      </c>
      <c r="I10" t="s">
        <v>79</v>
      </c>
      <c r="J10">
        <v>2020</v>
      </c>
    </row>
    <row r="11" spans="1:10" x14ac:dyDescent="0.35">
      <c r="A11" t="s">
        <v>77</v>
      </c>
      <c r="B11" t="s">
        <v>58</v>
      </c>
      <c r="C11" t="s">
        <v>40</v>
      </c>
      <c r="D11">
        <v>2020</v>
      </c>
      <c r="E11">
        <v>-6.7651809613411107</v>
      </c>
      <c r="F11">
        <v>-8.5609032033360464</v>
      </c>
      <c r="G11">
        <f t="shared" si="0"/>
        <v>-1.7957222419949357</v>
      </c>
      <c r="H11">
        <v>1.1314571143666431E-3</v>
      </c>
      <c r="I11" t="s">
        <v>79</v>
      </c>
      <c r="J11">
        <v>2020</v>
      </c>
    </row>
    <row r="12" spans="1:10" x14ac:dyDescent="0.35">
      <c r="A12" t="s">
        <v>67</v>
      </c>
      <c r="B12" t="s">
        <v>61</v>
      </c>
      <c r="C12" t="s">
        <v>38</v>
      </c>
      <c r="D12">
        <v>2022</v>
      </c>
      <c r="E12">
        <v>2.8171147512312089</v>
      </c>
      <c r="F12">
        <v>3.945716681463399</v>
      </c>
      <c r="G12">
        <f t="shared" si="0"/>
        <v>1.1286019302321901</v>
      </c>
      <c r="H12">
        <v>1.014469878411819E-3</v>
      </c>
      <c r="I12" t="s">
        <v>79</v>
      </c>
      <c r="J12">
        <v>2022</v>
      </c>
    </row>
    <row r="13" spans="1:10" x14ac:dyDescent="0.35">
      <c r="A13" t="s">
        <v>67</v>
      </c>
      <c r="B13" t="s">
        <v>62</v>
      </c>
      <c r="C13" t="s">
        <v>40</v>
      </c>
      <c r="D13">
        <v>2022</v>
      </c>
      <c r="E13">
        <v>2.0165795618690252</v>
      </c>
      <c r="F13">
        <v>3.945716681463399</v>
      </c>
      <c r="G13">
        <f t="shared" si="0"/>
        <v>1.9291371195943738</v>
      </c>
      <c r="H13">
        <v>1.014469878411819E-3</v>
      </c>
      <c r="I13" t="s">
        <v>79</v>
      </c>
      <c r="J13">
        <v>2022</v>
      </c>
    </row>
    <row r="14" spans="1:10" x14ac:dyDescent="0.35">
      <c r="A14" t="s">
        <v>69</v>
      </c>
      <c r="B14" t="s">
        <v>61</v>
      </c>
      <c r="C14" t="s">
        <v>38</v>
      </c>
      <c r="D14">
        <v>2022</v>
      </c>
      <c r="E14">
        <v>4.547669246739372</v>
      </c>
      <c r="F14">
        <v>6.1757125573772758</v>
      </c>
      <c r="G14">
        <f t="shared" si="0"/>
        <v>1.6280433106379038</v>
      </c>
      <c r="H14">
        <v>7.4930942000427699E-4</v>
      </c>
      <c r="I14" t="s">
        <v>79</v>
      </c>
      <c r="J14">
        <v>2022</v>
      </c>
    </row>
    <row r="15" spans="1:10" x14ac:dyDescent="0.35">
      <c r="A15" t="s">
        <v>69</v>
      </c>
      <c r="B15" t="s">
        <v>62</v>
      </c>
      <c r="C15" t="s">
        <v>40</v>
      </c>
      <c r="D15">
        <v>2022</v>
      </c>
      <c r="E15">
        <v>4.0260894815609127</v>
      </c>
      <c r="F15">
        <v>6.1757125573772758</v>
      </c>
      <c r="G15">
        <f t="shared" si="0"/>
        <v>2.149623075816363</v>
      </c>
      <c r="H15">
        <v>7.4930942000427699E-4</v>
      </c>
      <c r="I15" t="s">
        <v>79</v>
      </c>
      <c r="J15">
        <v>2022</v>
      </c>
    </row>
    <row r="16" spans="1:10" x14ac:dyDescent="0.35">
      <c r="A16" t="s">
        <v>70</v>
      </c>
      <c r="B16" t="s">
        <v>61</v>
      </c>
      <c r="C16" t="s">
        <v>38</v>
      </c>
      <c r="D16">
        <v>2022</v>
      </c>
      <c r="E16">
        <v>2.327853537647107</v>
      </c>
      <c r="F16">
        <v>0.76006291556467176</v>
      </c>
      <c r="G16">
        <f t="shared" si="0"/>
        <v>-1.5677906220824354</v>
      </c>
      <c r="H16">
        <v>1.923663900762973E-3</v>
      </c>
      <c r="I16" t="s">
        <v>79</v>
      </c>
      <c r="J16">
        <v>2022</v>
      </c>
    </row>
    <row r="17" spans="1:10" x14ac:dyDescent="0.35">
      <c r="A17" t="s">
        <v>70</v>
      </c>
      <c r="B17" t="s">
        <v>62</v>
      </c>
      <c r="C17" t="s">
        <v>40</v>
      </c>
      <c r="D17">
        <v>2022</v>
      </c>
      <c r="E17">
        <v>1.603112304026943</v>
      </c>
      <c r="F17">
        <v>0.76006291556467176</v>
      </c>
      <c r="G17">
        <f t="shared" si="0"/>
        <v>-0.84304938846227129</v>
      </c>
      <c r="H17">
        <v>1.923663900762973E-3</v>
      </c>
      <c r="I17" t="s">
        <v>79</v>
      </c>
      <c r="J17">
        <v>2022</v>
      </c>
    </row>
    <row r="18" spans="1:10" x14ac:dyDescent="0.35">
      <c r="A18" t="s">
        <v>75</v>
      </c>
      <c r="B18" t="s">
        <v>61</v>
      </c>
      <c r="C18" t="s">
        <v>38</v>
      </c>
      <c r="D18">
        <v>2022</v>
      </c>
      <c r="E18">
        <v>3.8268920279536989</v>
      </c>
      <c r="F18">
        <v>4.8546134866977511</v>
      </c>
      <c r="G18">
        <f t="shared" si="0"/>
        <v>1.0277214587440522</v>
      </c>
      <c r="H18">
        <v>1.312969725716661E-3</v>
      </c>
      <c r="I18" t="s">
        <v>79</v>
      </c>
      <c r="J18">
        <v>2022</v>
      </c>
    </row>
    <row r="19" spans="1:10" x14ac:dyDescent="0.35">
      <c r="A19" t="s">
        <v>75</v>
      </c>
      <c r="B19" t="s">
        <v>62</v>
      </c>
      <c r="C19" t="s">
        <v>40</v>
      </c>
      <c r="D19">
        <v>2022</v>
      </c>
      <c r="E19">
        <v>2.4256542804822261</v>
      </c>
      <c r="F19">
        <v>4.8546134866977511</v>
      </c>
      <c r="G19">
        <f t="shared" si="0"/>
        <v>2.428959206215525</v>
      </c>
      <c r="H19">
        <v>1.312969725716661E-3</v>
      </c>
      <c r="I19" t="s">
        <v>79</v>
      </c>
      <c r="J19">
        <v>2022</v>
      </c>
    </row>
    <row r="20" spans="1:10" x14ac:dyDescent="0.35">
      <c r="A20" t="s">
        <v>77</v>
      </c>
      <c r="B20" t="s">
        <v>61</v>
      </c>
      <c r="C20" t="s">
        <v>38</v>
      </c>
      <c r="D20">
        <v>2022</v>
      </c>
      <c r="E20">
        <v>6.5861251608809734</v>
      </c>
      <c r="F20">
        <v>6.7526124502433778</v>
      </c>
      <c r="G20">
        <f t="shared" si="0"/>
        <v>0.16648728936240431</v>
      </c>
      <c r="H20">
        <v>1.0726805330251909E-3</v>
      </c>
      <c r="I20" t="s">
        <v>79</v>
      </c>
      <c r="J20">
        <v>2022</v>
      </c>
    </row>
    <row r="21" spans="1:10" x14ac:dyDescent="0.35">
      <c r="A21" t="s">
        <v>77</v>
      </c>
      <c r="B21" t="s">
        <v>62</v>
      </c>
      <c r="C21" t="s">
        <v>40</v>
      </c>
      <c r="D21">
        <v>2022</v>
      </c>
      <c r="E21">
        <v>5.8054687081874778</v>
      </c>
      <c r="F21">
        <v>6.7526124502433778</v>
      </c>
      <c r="G21">
        <f t="shared" si="0"/>
        <v>0.94714374205589991</v>
      </c>
      <c r="H21">
        <v>1.0726805330251909E-3</v>
      </c>
      <c r="I21" t="s">
        <v>79</v>
      </c>
      <c r="J21">
        <v>2022</v>
      </c>
    </row>
    <row r="22" spans="1:10" x14ac:dyDescent="0.35">
      <c r="A22" t="s">
        <v>67</v>
      </c>
      <c r="B22" t="s">
        <v>71</v>
      </c>
      <c r="C22" t="s">
        <v>38</v>
      </c>
      <c r="D22">
        <v>2025</v>
      </c>
      <c r="E22">
        <v>0.99784735760106713</v>
      </c>
      <c r="F22">
        <v>0.97833513074895262</v>
      </c>
      <c r="G22">
        <f t="shared" si="0"/>
        <v>-1.9512226852114511E-2</v>
      </c>
      <c r="H22">
        <v>1.372182399148419E-3</v>
      </c>
      <c r="I22" t="s">
        <v>79</v>
      </c>
      <c r="J22">
        <v>2024</v>
      </c>
    </row>
    <row r="23" spans="1:10" x14ac:dyDescent="0.35">
      <c r="A23" t="s">
        <v>67</v>
      </c>
      <c r="B23" t="s">
        <v>72</v>
      </c>
      <c r="C23" t="s">
        <v>40</v>
      </c>
      <c r="D23">
        <v>2025</v>
      </c>
      <c r="E23">
        <v>0.76893815941332377</v>
      </c>
      <c r="F23">
        <v>0.97833513074895262</v>
      </c>
      <c r="G23">
        <f t="shared" si="0"/>
        <v>0.20939697133562885</v>
      </c>
      <c r="H23">
        <v>1.372182399148419E-3</v>
      </c>
      <c r="I23" t="s">
        <v>79</v>
      </c>
      <c r="J23">
        <v>2024</v>
      </c>
    </row>
    <row r="24" spans="1:10" x14ac:dyDescent="0.35">
      <c r="A24" t="s">
        <v>69</v>
      </c>
      <c r="B24" t="s">
        <v>71</v>
      </c>
      <c r="C24" t="s">
        <v>38</v>
      </c>
      <c r="D24">
        <v>2025</v>
      </c>
      <c r="E24">
        <v>2.8680409593299978</v>
      </c>
      <c r="F24">
        <v>2.7857852243734129</v>
      </c>
      <c r="G24">
        <f t="shared" si="0"/>
        <v>-8.2255734956584892E-2</v>
      </c>
      <c r="H24">
        <v>8.3940839252033268E-4</v>
      </c>
      <c r="I24" t="s">
        <v>79</v>
      </c>
      <c r="J24">
        <v>2024</v>
      </c>
    </row>
    <row r="25" spans="1:10" x14ac:dyDescent="0.35">
      <c r="A25" t="s">
        <v>69</v>
      </c>
      <c r="B25" t="s">
        <v>72</v>
      </c>
      <c r="C25" t="s">
        <v>40</v>
      </c>
      <c r="D25">
        <v>2025</v>
      </c>
      <c r="E25">
        <v>2.5510068501240162</v>
      </c>
      <c r="F25">
        <v>2.7857852243734129</v>
      </c>
      <c r="G25">
        <f t="shared" si="0"/>
        <v>0.23477837424939674</v>
      </c>
      <c r="H25">
        <v>8.3940839252033268E-4</v>
      </c>
      <c r="I25" t="s">
        <v>79</v>
      </c>
      <c r="J25">
        <v>2024</v>
      </c>
    </row>
    <row r="26" spans="1:10" x14ac:dyDescent="0.35">
      <c r="A26" t="s">
        <v>70</v>
      </c>
      <c r="B26" t="s">
        <v>71</v>
      </c>
      <c r="C26" t="s">
        <v>38</v>
      </c>
      <c r="D26">
        <v>2025</v>
      </c>
      <c r="E26">
        <v>7.5720238361931536E-2</v>
      </c>
      <c r="F26">
        <v>0.79990149121373022</v>
      </c>
      <c r="G26">
        <f t="shared" si="0"/>
        <v>0.72418125285179868</v>
      </c>
      <c r="H26">
        <v>2.4884109011011962E-3</v>
      </c>
      <c r="I26" t="s">
        <v>79</v>
      </c>
      <c r="J26">
        <v>2024</v>
      </c>
    </row>
    <row r="27" spans="1:10" x14ac:dyDescent="0.35">
      <c r="A27" t="s">
        <v>70</v>
      </c>
      <c r="B27" t="s">
        <v>72</v>
      </c>
      <c r="C27" t="s">
        <v>40</v>
      </c>
      <c r="D27">
        <v>2025</v>
      </c>
      <c r="E27">
        <v>0.97596362509042578</v>
      </c>
      <c r="F27">
        <v>0.79990149121373022</v>
      </c>
      <c r="G27">
        <f t="shared" si="0"/>
        <v>-0.17606213387669556</v>
      </c>
      <c r="H27">
        <v>2.4884109011011962E-3</v>
      </c>
      <c r="I27" t="s">
        <v>79</v>
      </c>
      <c r="J27">
        <v>2024</v>
      </c>
    </row>
    <row r="28" spans="1:10" x14ac:dyDescent="0.35">
      <c r="A28" t="s">
        <v>75</v>
      </c>
      <c r="B28" t="s">
        <v>71</v>
      </c>
      <c r="C28" t="s">
        <v>38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1.194863073206081E-3</v>
      </c>
      <c r="I28" t="s">
        <v>79</v>
      </c>
      <c r="J28">
        <v>2024</v>
      </c>
    </row>
    <row r="29" spans="1:10" x14ac:dyDescent="0.35">
      <c r="A29" t="s">
        <v>75</v>
      </c>
      <c r="B29" t="s">
        <v>72</v>
      </c>
      <c r="C29" t="s">
        <v>40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1.194863073206081E-3</v>
      </c>
      <c r="I29" t="s">
        <v>79</v>
      </c>
      <c r="J29">
        <v>2024</v>
      </c>
    </row>
    <row r="30" spans="1:10" x14ac:dyDescent="0.35">
      <c r="A30" t="s">
        <v>77</v>
      </c>
      <c r="B30" t="s">
        <v>71</v>
      </c>
      <c r="C30" t="s">
        <v>38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9.9939188696901698E-4</v>
      </c>
      <c r="I30" t="s">
        <v>79</v>
      </c>
      <c r="J30">
        <v>2024</v>
      </c>
    </row>
    <row r="31" spans="1:10" x14ac:dyDescent="0.35">
      <c r="A31" t="s">
        <v>77</v>
      </c>
      <c r="B31" t="s">
        <v>72</v>
      </c>
      <c r="C31" t="s">
        <v>40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9.9939188696901698E-4</v>
      </c>
      <c r="I31" t="s">
        <v>79</v>
      </c>
      <c r="J31">
        <v>2024</v>
      </c>
    </row>
    <row r="32" spans="1:10" x14ac:dyDescent="0.35">
      <c r="A32" t="s">
        <v>36</v>
      </c>
      <c r="B32" t="s">
        <v>57</v>
      </c>
      <c r="C32" t="s">
        <v>38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8.5662439392624936E-3</v>
      </c>
      <c r="I32" t="s">
        <v>80</v>
      </c>
      <c r="J32">
        <v>2020</v>
      </c>
    </row>
    <row r="33" spans="1:10" x14ac:dyDescent="0.35">
      <c r="A33" t="s">
        <v>36</v>
      </c>
      <c r="B33" t="s">
        <v>58</v>
      </c>
      <c r="C33" t="s">
        <v>40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8.5662439392624936E-3</v>
      </c>
      <c r="I33" t="s">
        <v>80</v>
      </c>
      <c r="J33">
        <v>2020</v>
      </c>
    </row>
    <row r="34" spans="1:10" x14ac:dyDescent="0.35">
      <c r="A34" t="s">
        <v>68</v>
      </c>
      <c r="B34" t="s">
        <v>57</v>
      </c>
      <c r="C34" t="s">
        <v>38</v>
      </c>
      <c r="D34">
        <v>2020</v>
      </c>
      <c r="E34">
        <v>-5.5682040725027582</v>
      </c>
      <c r="F34">
        <v>-4.5019012679871278</v>
      </c>
      <c r="G34">
        <f t="shared" ref="G34:G61" si="1">IF(OR(F34="",E34=""),"",F34-E34)</f>
        <v>1.0663028045156304</v>
      </c>
      <c r="H34">
        <v>7.8392311441250039E-3</v>
      </c>
      <c r="I34" t="s">
        <v>80</v>
      </c>
      <c r="J34">
        <v>2020</v>
      </c>
    </row>
    <row r="35" spans="1:10" x14ac:dyDescent="0.35">
      <c r="A35" t="s">
        <v>68</v>
      </c>
      <c r="B35" t="s">
        <v>58</v>
      </c>
      <c r="C35" t="s">
        <v>40</v>
      </c>
      <c r="D35">
        <v>2020</v>
      </c>
      <c r="E35">
        <v>-6.4695771848944261</v>
      </c>
      <c r="F35">
        <v>-4.5019012679871278</v>
      </c>
      <c r="G35">
        <f t="shared" si="1"/>
        <v>1.9676759169072984</v>
      </c>
      <c r="H35">
        <v>7.8392311441250039E-3</v>
      </c>
      <c r="I35" t="s">
        <v>80</v>
      </c>
      <c r="J35">
        <v>2020</v>
      </c>
    </row>
    <row r="36" spans="1:10" x14ac:dyDescent="0.35">
      <c r="A36" t="s">
        <v>73</v>
      </c>
      <c r="B36" t="s">
        <v>57</v>
      </c>
      <c r="C36" t="s">
        <v>38</v>
      </c>
      <c r="D36">
        <v>2020</v>
      </c>
      <c r="E36">
        <v>-9.3511426009976422</v>
      </c>
      <c r="F36">
        <v>-7.9120138942178206</v>
      </c>
      <c r="G36">
        <f t="shared" si="1"/>
        <v>1.4391287067798215</v>
      </c>
      <c r="H36">
        <v>3.0499904166596229E-3</v>
      </c>
      <c r="I36" t="s">
        <v>80</v>
      </c>
      <c r="J36">
        <v>2020</v>
      </c>
    </row>
    <row r="37" spans="1:10" x14ac:dyDescent="0.35">
      <c r="A37" t="s">
        <v>73</v>
      </c>
      <c r="B37" t="s">
        <v>58</v>
      </c>
      <c r="C37" t="s">
        <v>40</v>
      </c>
      <c r="D37">
        <v>2020</v>
      </c>
      <c r="E37">
        <v>-8.2482980854368328</v>
      </c>
      <c r="F37">
        <v>-7.9120138942178206</v>
      </c>
      <c r="G37">
        <f t="shared" si="1"/>
        <v>0.33628419121901221</v>
      </c>
      <c r="H37">
        <v>3.0499904166596229E-3</v>
      </c>
      <c r="I37" t="s">
        <v>80</v>
      </c>
      <c r="J37">
        <v>2020</v>
      </c>
    </row>
    <row r="38" spans="1:10" x14ac:dyDescent="0.35">
      <c r="A38" t="s">
        <v>74</v>
      </c>
      <c r="B38" t="s">
        <v>57</v>
      </c>
      <c r="C38" t="s">
        <v>38</v>
      </c>
      <c r="D38">
        <v>2020</v>
      </c>
      <c r="E38">
        <v>-2.3373996171914708</v>
      </c>
      <c r="F38">
        <v>6.9863814303713827</v>
      </c>
      <c r="G38">
        <f t="shared" si="1"/>
        <v>9.3237810475628535</v>
      </c>
      <c r="H38">
        <v>9.2278925085046721E-3</v>
      </c>
      <c r="I38" t="s">
        <v>80</v>
      </c>
      <c r="J38">
        <v>2020</v>
      </c>
    </row>
    <row r="39" spans="1:10" x14ac:dyDescent="0.35">
      <c r="A39" t="s">
        <v>74</v>
      </c>
      <c r="B39" t="s">
        <v>58</v>
      </c>
      <c r="C39" t="s">
        <v>40</v>
      </c>
      <c r="D39">
        <v>2020</v>
      </c>
      <c r="E39">
        <v>-7.9470480138547073</v>
      </c>
      <c r="F39">
        <v>6.9863814303713827</v>
      </c>
      <c r="G39">
        <f t="shared" si="1"/>
        <v>14.933429444226089</v>
      </c>
      <c r="H39">
        <v>9.2278925085046721E-3</v>
      </c>
      <c r="I39" t="s">
        <v>80</v>
      </c>
      <c r="J39">
        <v>2020</v>
      </c>
    </row>
    <row r="40" spans="1:10" x14ac:dyDescent="0.35">
      <c r="A40" t="s">
        <v>76</v>
      </c>
      <c r="B40" t="s">
        <v>57</v>
      </c>
      <c r="C40" t="s">
        <v>38</v>
      </c>
      <c r="D40">
        <v>2020</v>
      </c>
      <c r="E40">
        <v>-5.3222217587985954</v>
      </c>
      <c r="F40">
        <v>-3.9039509434828492</v>
      </c>
      <c r="G40">
        <f t="shared" si="1"/>
        <v>1.4182708153157462</v>
      </c>
      <c r="H40">
        <v>4.2581579870975293E-2</v>
      </c>
      <c r="I40" t="s">
        <v>80</v>
      </c>
      <c r="J40">
        <v>2020</v>
      </c>
    </row>
    <row r="41" spans="1:10" x14ac:dyDescent="0.35">
      <c r="A41" t="s">
        <v>76</v>
      </c>
      <c r="B41" t="s">
        <v>58</v>
      </c>
      <c r="C41" t="s">
        <v>40</v>
      </c>
      <c r="D41">
        <v>2020</v>
      </c>
      <c r="E41">
        <v>-6.8478963820636896</v>
      </c>
      <c r="F41">
        <v>-3.9039509434828492</v>
      </c>
      <c r="G41">
        <f t="shared" si="1"/>
        <v>2.9439454385808403</v>
      </c>
      <c r="H41">
        <v>4.2581579870975293E-2</v>
      </c>
      <c r="I41" t="s">
        <v>80</v>
      </c>
      <c r="J41">
        <v>2020</v>
      </c>
    </row>
    <row r="42" spans="1:10" x14ac:dyDescent="0.35">
      <c r="A42" t="s">
        <v>36</v>
      </c>
      <c r="B42" t="s">
        <v>61</v>
      </c>
      <c r="C42" t="s">
        <v>38</v>
      </c>
      <c r="D42">
        <v>2022</v>
      </c>
      <c r="E42">
        <v>4.6469116666415733</v>
      </c>
      <c r="F42">
        <v>5.2899005620960757</v>
      </c>
      <c r="G42">
        <f t="shared" si="1"/>
        <v>0.64298889545450244</v>
      </c>
      <c r="H42">
        <v>8.9996521427787666E-3</v>
      </c>
      <c r="I42" t="s">
        <v>80</v>
      </c>
      <c r="J42">
        <v>2022</v>
      </c>
    </row>
    <row r="43" spans="1:10" x14ac:dyDescent="0.35">
      <c r="A43" t="s">
        <v>36</v>
      </c>
      <c r="B43" t="s">
        <v>62</v>
      </c>
      <c r="C43" t="s">
        <v>40</v>
      </c>
      <c r="D43">
        <v>2022</v>
      </c>
      <c r="E43">
        <v>3.9196460068068979</v>
      </c>
      <c r="F43">
        <v>5.2899005620960757</v>
      </c>
      <c r="G43">
        <f t="shared" si="1"/>
        <v>1.3702545552891778</v>
      </c>
      <c r="H43">
        <v>8.9996521427787666E-3</v>
      </c>
      <c r="I43" t="s">
        <v>80</v>
      </c>
      <c r="J43">
        <v>2022</v>
      </c>
    </row>
    <row r="44" spans="1:10" x14ac:dyDescent="0.35">
      <c r="A44" t="s">
        <v>68</v>
      </c>
      <c r="B44" t="s">
        <v>61</v>
      </c>
      <c r="C44" t="s">
        <v>38</v>
      </c>
      <c r="D44">
        <v>2022</v>
      </c>
      <c r="E44">
        <v>1.55845355711639</v>
      </c>
      <c r="F44">
        <v>1.931834126476093</v>
      </c>
      <c r="G44">
        <f t="shared" si="1"/>
        <v>0.37338056935970299</v>
      </c>
      <c r="H44">
        <v>7.6054945428721031E-3</v>
      </c>
      <c r="I44" t="s">
        <v>80</v>
      </c>
      <c r="J44">
        <v>2022</v>
      </c>
    </row>
    <row r="45" spans="1:10" x14ac:dyDescent="0.35">
      <c r="A45" t="s">
        <v>68</v>
      </c>
      <c r="B45" t="s">
        <v>62</v>
      </c>
      <c r="C45" t="s">
        <v>40</v>
      </c>
      <c r="D45">
        <v>2022</v>
      </c>
      <c r="E45">
        <v>1.5579683422439761</v>
      </c>
      <c r="F45">
        <v>1.931834126476093</v>
      </c>
      <c r="G45">
        <f t="shared" si="1"/>
        <v>0.37386578423211692</v>
      </c>
      <c r="H45">
        <v>7.6054945428721031E-3</v>
      </c>
      <c r="I45" t="s">
        <v>80</v>
      </c>
      <c r="J45">
        <v>2022</v>
      </c>
    </row>
    <row r="46" spans="1:10" x14ac:dyDescent="0.35">
      <c r="A46" t="s">
        <v>73</v>
      </c>
      <c r="B46" t="s">
        <v>61</v>
      </c>
      <c r="C46" t="s">
        <v>38</v>
      </c>
      <c r="D46">
        <v>2022</v>
      </c>
      <c r="E46">
        <v>2.6294584401195249</v>
      </c>
      <c r="F46">
        <v>2.761671160127166</v>
      </c>
      <c r="G46">
        <f t="shared" si="1"/>
        <v>0.13221272000764106</v>
      </c>
      <c r="H46">
        <v>3.2520324935252378E-3</v>
      </c>
      <c r="I46" t="s">
        <v>80</v>
      </c>
      <c r="J46">
        <v>2022</v>
      </c>
    </row>
    <row r="47" spans="1:10" x14ac:dyDescent="0.35">
      <c r="A47" t="s">
        <v>73</v>
      </c>
      <c r="B47" t="s">
        <v>62</v>
      </c>
      <c r="C47" t="s">
        <v>40</v>
      </c>
      <c r="D47">
        <v>2022</v>
      </c>
      <c r="E47">
        <v>3.0989524183168582</v>
      </c>
      <c r="F47">
        <v>2.761671160127166</v>
      </c>
      <c r="G47">
        <f t="shared" si="1"/>
        <v>-0.33728125818969223</v>
      </c>
      <c r="H47">
        <v>3.2520324935252378E-3</v>
      </c>
      <c r="I47" t="s">
        <v>80</v>
      </c>
      <c r="J47">
        <v>2022</v>
      </c>
    </row>
    <row r="48" spans="1:10" x14ac:dyDescent="0.35">
      <c r="A48" t="s">
        <v>74</v>
      </c>
      <c r="B48" t="s">
        <v>61</v>
      </c>
      <c r="C48" t="s">
        <v>38</v>
      </c>
      <c r="D48">
        <v>2022</v>
      </c>
      <c r="E48">
        <v>7.8710837662645083</v>
      </c>
      <c r="F48">
        <v>7.9894443369245964</v>
      </c>
      <c r="G48">
        <f t="shared" si="1"/>
        <v>0.11836057066008809</v>
      </c>
      <c r="H48">
        <v>7.2438945945355968E-3</v>
      </c>
      <c r="I48" t="s">
        <v>80</v>
      </c>
      <c r="J48">
        <v>2022</v>
      </c>
    </row>
    <row r="49" spans="1:10" x14ac:dyDescent="0.35">
      <c r="A49" t="s">
        <v>74</v>
      </c>
      <c r="B49" t="s">
        <v>62</v>
      </c>
      <c r="C49" t="s">
        <v>40</v>
      </c>
      <c r="D49">
        <v>2022</v>
      </c>
      <c r="E49">
        <v>5.3816861962496354</v>
      </c>
      <c r="F49">
        <v>7.9894443369245964</v>
      </c>
      <c r="G49">
        <f t="shared" si="1"/>
        <v>2.607758140674961</v>
      </c>
      <c r="H49">
        <v>7.2438945945355968E-3</v>
      </c>
      <c r="I49" t="s">
        <v>80</v>
      </c>
      <c r="J49">
        <v>2022</v>
      </c>
    </row>
    <row r="50" spans="1:10" x14ac:dyDescent="0.35">
      <c r="A50" t="s">
        <v>76</v>
      </c>
      <c r="B50" t="s">
        <v>61</v>
      </c>
      <c r="C50" t="s">
        <v>38</v>
      </c>
      <c r="D50">
        <v>2022</v>
      </c>
      <c r="E50">
        <v>4.6490196630740721</v>
      </c>
      <c r="F50">
        <v>4.8892912104023152</v>
      </c>
      <c r="G50">
        <f t="shared" si="1"/>
        <v>0.24027154732824307</v>
      </c>
      <c r="H50">
        <v>3.9751937262975177E-2</v>
      </c>
      <c r="I50" t="s">
        <v>80</v>
      </c>
      <c r="J50">
        <v>2022</v>
      </c>
    </row>
    <row r="51" spans="1:10" x14ac:dyDescent="0.35">
      <c r="A51" t="s">
        <v>76</v>
      </c>
      <c r="B51" t="s">
        <v>62</v>
      </c>
      <c r="C51" t="s">
        <v>40</v>
      </c>
      <c r="D51">
        <v>2022</v>
      </c>
      <c r="E51">
        <v>3.271330674458595</v>
      </c>
      <c r="F51">
        <v>4.8892912104023152</v>
      </c>
      <c r="G51">
        <f t="shared" si="1"/>
        <v>1.6179605359437201</v>
      </c>
      <c r="H51">
        <v>3.9751937262975177E-2</v>
      </c>
      <c r="I51" t="s">
        <v>80</v>
      </c>
      <c r="J51">
        <v>2022</v>
      </c>
    </row>
    <row r="52" spans="1:10" x14ac:dyDescent="0.35">
      <c r="A52" t="s">
        <v>36</v>
      </c>
      <c r="B52" t="s">
        <v>71</v>
      </c>
      <c r="C52" t="s">
        <v>38</v>
      </c>
      <c r="D52">
        <v>2025</v>
      </c>
      <c r="E52">
        <v>0.31436230025780892</v>
      </c>
      <c r="F52">
        <v>0.95241300208403867</v>
      </c>
      <c r="G52">
        <f t="shared" si="1"/>
        <v>0.6380507018262298</v>
      </c>
      <c r="H52">
        <v>1.1274054550446029E-2</v>
      </c>
      <c r="I52" t="s">
        <v>80</v>
      </c>
      <c r="J52">
        <v>2024</v>
      </c>
    </row>
    <row r="53" spans="1:10" x14ac:dyDescent="0.35">
      <c r="A53" t="s">
        <v>36</v>
      </c>
      <c r="B53" t="s">
        <v>72</v>
      </c>
      <c r="C53" t="s">
        <v>40</v>
      </c>
      <c r="D53">
        <v>2025</v>
      </c>
      <c r="E53">
        <v>-0.28270783018636841</v>
      </c>
      <c r="F53">
        <v>0.95241300208403867</v>
      </c>
      <c r="G53">
        <f t="shared" si="1"/>
        <v>1.235120832270407</v>
      </c>
      <c r="H53">
        <v>1.1274054550446029E-2</v>
      </c>
      <c r="I53" t="s">
        <v>80</v>
      </c>
      <c r="J53">
        <v>2024</v>
      </c>
    </row>
    <row r="54" spans="1:10" x14ac:dyDescent="0.35">
      <c r="A54" t="s">
        <v>68</v>
      </c>
      <c r="B54" t="s">
        <v>71</v>
      </c>
      <c r="C54" t="s">
        <v>38</v>
      </c>
      <c r="D54">
        <v>2025</v>
      </c>
      <c r="E54">
        <v>0.17068748819852869</v>
      </c>
      <c r="F54">
        <v>0.34025588112837718</v>
      </c>
      <c r="G54">
        <f t="shared" si="1"/>
        <v>0.16956839292984849</v>
      </c>
      <c r="H54">
        <v>9.0522441223979538E-3</v>
      </c>
      <c r="I54" t="s">
        <v>80</v>
      </c>
      <c r="J54">
        <v>2024</v>
      </c>
    </row>
    <row r="55" spans="1:10" x14ac:dyDescent="0.35">
      <c r="A55" t="s">
        <v>68</v>
      </c>
      <c r="B55" t="s">
        <v>72</v>
      </c>
      <c r="C55" t="s">
        <v>40</v>
      </c>
      <c r="D55">
        <v>2025</v>
      </c>
      <c r="E55">
        <v>-2.9831521216272531E-2</v>
      </c>
      <c r="F55">
        <v>0.34025588112837718</v>
      </c>
      <c r="G55">
        <f t="shared" si="1"/>
        <v>0.37008740234464971</v>
      </c>
      <c r="H55">
        <v>9.0522441223979538E-3</v>
      </c>
      <c r="I55" t="s">
        <v>80</v>
      </c>
      <c r="J55">
        <v>2024</v>
      </c>
    </row>
    <row r="56" spans="1:10" x14ac:dyDescent="0.35">
      <c r="A56" t="s">
        <v>73</v>
      </c>
      <c r="B56" t="s">
        <v>71</v>
      </c>
      <c r="C56" t="s">
        <v>38</v>
      </c>
      <c r="D56">
        <v>2025</v>
      </c>
      <c r="E56">
        <v>0.69714532745484004</v>
      </c>
      <c r="F56">
        <v>0.88561946045636819</v>
      </c>
      <c r="G56">
        <f t="shared" si="1"/>
        <v>0.18847413300152815</v>
      </c>
      <c r="H56">
        <v>2.7698144991347719E-3</v>
      </c>
      <c r="I56" t="s">
        <v>80</v>
      </c>
      <c r="J56">
        <v>2024</v>
      </c>
    </row>
    <row r="57" spans="1:10" x14ac:dyDescent="0.35">
      <c r="A57" t="s">
        <v>73</v>
      </c>
      <c r="B57" t="s">
        <v>72</v>
      </c>
      <c r="C57" t="s">
        <v>40</v>
      </c>
      <c r="D57">
        <v>2025</v>
      </c>
      <c r="E57">
        <v>0.57266269658549085</v>
      </c>
      <c r="F57">
        <v>0.88561946045636819</v>
      </c>
      <c r="G57">
        <f t="shared" si="1"/>
        <v>0.31295676387087734</v>
      </c>
      <c r="H57">
        <v>2.7698144991347719E-3</v>
      </c>
      <c r="I57" t="s">
        <v>80</v>
      </c>
      <c r="J57">
        <v>2024</v>
      </c>
    </row>
    <row r="58" spans="1:10" x14ac:dyDescent="0.35">
      <c r="A58" t="s">
        <v>74</v>
      </c>
      <c r="B58" t="s">
        <v>71</v>
      </c>
      <c r="C58" t="s">
        <v>38</v>
      </c>
      <c r="D58">
        <v>2025</v>
      </c>
      <c r="E58">
        <v>10.65081995793598</v>
      </c>
      <c r="F58">
        <v>7.7791754385506806</v>
      </c>
      <c r="G58">
        <f t="shared" si="1"/>
        <v>-2.8716445193852991</v>
      </c>
      <c r="H58">
        <v>8.9861308352750593E-3</v>
      </c>
      <c r="I58" t="s">
        <v>80</v>
      </c>
      <c r="J58">
        <v>2024</v>
      </c>
    </row>
    <row r="59" spans="1:10" x14ac:dyDescent="0.35">
      <c r="A59" t="s">
        <v>74</v>
      </c>
      <c r="B59" t="s">
        <v>72</v>
      </c>
      <c r="C59" t="s">
        <v>40</v>
      </c>
      <c r="D59">
        <v>2025</v>
      </c>
      <c r="E59">
        <v>3.377198218825495</v>
      </c>
      <c r="F59">
        <v>7.7791754385506806</v>
      </c>
      <c r="G59">
        <f t="shared" si="1"/>
        <v>4.4019772197251861</v>
      </c>
      <c r="H59">
        <v>8.9861308352750593E-3</v>
      </c>
      <c r="I59" t="s">
        <v>80</v>
      </c>
      <c r="J59">
        <v>2024</v>
      </c>
    </row>
    <row r="60" spans="1:10" x14ac:dyDescent="0.35">
      <c r="A60" t="s">
        <v>76</v>
      </c>
      <c r="B60" t="s">
        <v>71</v>
      </c>
      <c r="C60" t="s">
        <v>38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5.4550377494533613E-2</v>
      </c>
      <c r="I60" t="s">
        <v>80</v>
      </c>
      <c r="J60">
        <v>2024</v>
      </c>
    </row>
    <row r="61" spans="1:10" x14ac:dyDescent="0.35">
      <c r="A61" t="s">
        <v>76</v>
      </c>
      <c r="B61" t="s">
        <v>72</v>
      </c>
      <c r="C61" t="s">
        <v>40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5.4550377494533613E-2</v>
      </c>
      <c r="I61" t="s">
        <v>80</v>
      </c>
      <c r="J61">
        <v>2024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I573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27</v>
      </c>
      <c r="I1" s="2" t="s">
        <v>78</v>
      </c>
    </row>
    <row r="2" spans="1:9" x14ac:dyDescent="0.35">
      <c r="A2" t="s">
        <v>69</v>
      </c>
      <c r="B2" t="s">
        <v>37</v>
      </c>
      <c r="C2" t="s">
        <v>38</v>
      </c>
      <c r="D2">
        <v>2011</v>
      </c>
      <c r="E2">
        <v>0.73935243476188628</v>
      </c>
      <c r="F2">
        <v>-0.64197941531252334</v>
      </c>
      <c r="G2">
        <f t="shared" ref="G2:G65" si="0">IF(OR(F2="",E2=""),"",F2-E2)</f>
        <v>-1.3813318500744096</v>
      </c>
      <c r="H2">
        <v>0.62377758549174633</v>
      </c>
      <c r="I2" t="s">
        <v>79</v>
      </c>
    </row>
    <row r="3" spans="1:9" x14ac:dyDescent="0.35">
      <c r="A3" t="s">
        <v>69</v>
      </c>
      <c r="B3" t="s">
        <v>39</v>
      </c>
      <c r="C3" t="s">
        <v>40</v>
      </c>
      <c r="D3">
        <v>2011</v>
      </c>
      <c r="E3">
        <v>0.76223621019062548</v>
      </c>
      <c r="F3">
        <v>-0.64197941531252334</v>
      </c>
      <c r="G3">
        <f t="shared" si="0"/>
        <v>-1.4042156255031488</v>
      </c>
      <c r="H3">
        <v>0.62377758549174633</v>
      </c>
      <c r="I3" t="s">
        <v>79</v>
      </c>
    </row>
    <row r="4" spans="1:9" x14ac:dyDescent="0.35">
      <c r="A4" t="s">
        <v>74</v>
      </c>
      <c r="B4" t="s">
        <v>37</v>
      </c>
      <c r="C4" t="s">
        <v>38</v>
      </c>
      <c r="D4">
        <v>2011</v>
      </c>
      <c r="E4">
        <v>1.085473342594079</v>
      </c>
      <c r="F4">
        <v>1.585963389687955</v>
      </c>
      <c r="G4">
        <f t="shared" si="0"/>
        <v>0.50049004709387601</v>
      </c>
      <c r="H4">
        <v>0.62946516501811001</v>
      </c>
      <c r="I4" t="s">
        <v>79</v>
      </c>
    </row>
    <row r="5" spans="1:9" x14ac:dyDescent="0.35">
      <c r="A5" t="s">
        <v>74</v>
      </c>
      <c r="B5" t="s">
        <v>39</v>
      </c>
      <c r="C5" t="s">
        <v>40</v>
      </c>
      <c r="D5">
        <v>2011</v>
      </c>
      <c r="E5">
        <v>0.64463752068673053</v>
      </c>
      <c r="F5">
        <v>1.585963389687955</v>
      </c>
      <c r="G5">
        <f t="shared" si="0"/>
        <v>0.9413258690012245</v>
      </c>
      <c r="H5">
        <v>0.62946516501811001</v>
      </c>
      <c r="I5" t="s">
        <v>79</v>
      </c>
    </row>
    <row r="6" spans="1:9" x14ac:dyDescent="0.35">
      <c r="A6" t="s">
        <v>69</v>
      </c>
      <c r="B6" t="s">
        <v>37</v>
      </c>
      <c r="C6" t="s">
        <v>38</v>
      </c>
      <c r="D6">
        <v>2012</v>
      </c>
      <c r="E6">
        <v>0.65087819203448749</v>
      </c>
      <c r="F6">
        <v>-2.906965118995676</v>
      </c>
      <c r="G6">
        <f t="shared" si="0"/>
        <v>-3.5578433110301635</v>
      </c>
      <c r="H6">
        <v>0.48398462678037191</v>
      </c>
      <c r="I6" t="s">
        <v>79</v>
      </c>
    </row>
    <row r="7" spans="1:9" x14ac:dyDescent="0.35">
      <c r="A7" t="s">
        <v>69</v>
      </c>
      <c r="B7" t="s">
        <v>39</v>
      </c>
      <c r="C7" t="s">
        <v>40</v>
      </c>
      <c r="D7">
        <v>2012</v>
      </c>
      <c r="E7">
        <v>1.5110276949649171</v>
      </c>
      <c r="F7">
        <v>-2.906965118995676</v>
      </c>
      <c r="G7">
        <f t="shared" si="0"/>
        <v>-4.4179928139605931</v>
      </c>
      <c r="H7">
        <v>0.48398462678037191</v>
      </c>
      <c r="I7" t="s">
        <v>79</v>
      </c>
    </row>
    <row r="8" spans="1:9" x14ac:dyDescent="0.35">
      <c r="A8" t="s">
        <v>69</v>
      </c>
      <c r="B8" t="s">
        <v>41</v>
      </c>
      <c r="C8" t="s">
        <v>38</v>
      </c>
      <c r="D8">
        <v>2012</v>
      </c>
      <c r="E8">
        <v>-1.438880133100584</v>
      </c>
      <c r="F8">
        <v>-2.906965118995676</v>
      </c>
      <c r="G8">
        <f t="shared" si="0"/>
        <v>-1.468084985895092</v>
      </c>
      <c r="H8">
        <v>0.48398462678037191</v>
      </c>
      <c r="I8" t="s">
        <v>79</v>
      </c>
    </row>
    <row r="9" spans="1:9" x14ac:dyDescent="0.35">
      <c r="A9" t="s">
        <v>69</v>
      </c>
      <c r="B9" t="s">
        <v>42</v>
      </c>
      <c r="C9" t="s">
        <v>40</v>
      </c>
      <c r="D9">
        <v>2012</v>
      </c>
      <c r="E9">
        <v>-1.7627808297010159</v>
      </c>
      <c r="F9">
        <v>-2.906965118995676</v>
      </c>
      <c r="G9">
        <f t="shared" si="0"/>
        <v>-1.1441842892946601</v>
      </c>
      <c r="H9">
        <v>0.48398462678037191</v>
      </c>
      <c r="I9" t="s">
        <v>79</v>
      </c>
    </row>
    <row r="10" spans="1:9" x14ac:dyDescent="0.35">
      <c r="A10" t="s">
        <v>36</v>
      </c>
      <c r="B10" t="s">
        <v>41</v>
      </c>
      <c r="C10" t="s">
        <v>38</v>
      </c>
      <c r="D10">
        <v>2013</v>
      </c>
      <c r="E10">
        <v>0.86316182913936945</v>
      </c>
      <c r="F10">
        <v>-0.32817504676766701</v>
      </c>
      <c r="G10">
        <f t="shared" si="0"/>
        <v>-1.1913368759070364</v>
      </c>
      <c r="H10">
        <v>0.53923405826348692</v>
      </c>
      <c r="I10" t="s">
        <v>79</v>
      </c>
    </row>
    <row r="11" spans="1:9" x14ac:dyDescent="0.35">
      <c r="A11" t="s">
        <v>36</v>
      </c>
      <c r="B11" t="s">
        <v>42</v>
      </c>
      <c r="C11" t="s">
        <v>40</v>
      </c>
      <c r="D11">
        <v>2013</v>
      </c>
      <c r="E11">
        <v>1.669657429075766</v>
      </c>
      <c r="F11">
        <v>-0.32817504676766701</v>
      </c>
      <c r="G11">
        <f t="shared" si="0"/>
        <v>-1.9978324758434329</v>
      </c>
      <c r="H11">
        <v>0.53923405826348692</v>
      </c>
      <c r="I11" t="s">
        <v>79</v>
      </c>
    </row>
    <row r="12" spans="1:9" x14ac:dyDescent="0.35">
      <c r="A12" t="s">
        <v>36</v>
      </c>
      <c r="B12" t="s">
        <v>43</v>
      </c>
      <c r="C12" t="s">
        <v>38</v>
      </c>
      <c r="D12">
        <v>2013</v>
      </c>
      <c r="E12">
        <v>0.40906708913857059</v>
      </c>
      <c r="F12">
        <v>-0.32817504676766701</v>
      </c>
      <c r="G12">
        <f t="shared" si="0"/>
        <v>-0.73724213590623755</v>
      </c>
      <c r="H12">
        <v>0.53923405826348692</v>
      </c>
      <c r="I12" t="s">
        <v>79</v>
      </c>
    </row>
    <row r="13" spans="1:9" x14ac:dyDescent="0.35">
      <c r="A13" t="s">
        <v>36</v>
      </c>
      <c r="B13" t="s">
        <v>44</v>
      </c>
      <c r="C13" t="s">
        <v>40</v>
      </c>
      <c r="D13">
        <v>2013</v>
      </c>
      <c r="E13">
        <v>0.5837846269189928</v>
      </c>
      <c r="F13">
        <v>-0.32817504676766701</v>
      </c>
      <c r="G13">
        <f t="shared" si="0"/>
        <v>-0.91195967368665976</v>
      </c>
      <c r="H13">
        <v>0.53923405826348692</v>
      </c>
      <c r="I13" t="s">
        <v>79</v>
      </c>
    </row>
    <row r="14" spans="1:9" x14ac:dyDescent="0.35">
      <c r="A14" t="s">
        <v>69</v>
      </c>
      <c r="B14" t="s">
        <v>41</v>
      </c>
      <c r="C14" t="s">
        <v>38</v>
      </c>
      <c r="D14">
        <v>2013</v>
      </c>
      <c r="E14">
        <v>-1.4440800286151581</v>
      </c>
      <c r="F14">
        <v>-1.437599419188256</v>
      </c>
      <c r="G14">
        <f t="shared" si="0"/>
        <v>6.4806094269020953E-3</v>
      </c>
      <c r="H14">
        <v>0.26402469726120398</v>
      </c>
      <c r="I14" t="s">
        <v>79</v>
      </c>
    </row>
    <row r="15" spans="1:9" x14ac:dyDescent="0.35">
      <c r="A15" t="s">
        <v>69</v>
      </c>
      <c r="B15" t="s">
        <v>42</v>
      </c>
      <c r="C15" t="s">
        <v>40</v>
      </c>
      <c r="D15">
        <v>2013</v>
      </c>
      <c r="E15">
        <v>-0.3312062646812497</v>
      </c>
      <c r="F15">
        <v>-1.437599419188256</v>
      </c>
      <c r="G15">
        <f t="shared" si="0"/>
        <v>-1.1063931545070063</v>
      </c>
      <c r="H15">
        <v>0.26402469726120398</v>
      </c>
      <c r="I15" t="s">
        <v>79</v>
      </c>
    </row>
    <row r="16" spans="1:9" x14ac:dyDescent="0.35">
      <c r="A16" t="s">
        <v>69</v>
      </c>
      <c r="B16" t="s">
        <v>43</v>
      </c>
      <c r="C16" t="s">
        <v>38</v>
      </c>
      <c r="D16">
        <v>2013</v>
      </c>
      <c r="E16">
        <v>-1.3067912142153639</v>
      </c>
      <c r="F16">
        <v>-1.437599419188256</v>
      </c>
      <c r="G16">
        <f t="shared" si="0"/>
        <v>-0.13080820497289203</v>
      </c>
      <c r="H16">
        <v>0.26402469726120398</v>
      </c>
      <c r="I16" t="s">
        <v>79</v>
      </c>
    </row>
    <row r="17" spans="1:9" x14ac:dyDescent="0.35">
      <c r="A17" t="s">
        <v>69</v>
      </c>
      <c r="B17" t="s">
        <v>44</v>
      </c>
      <c r="C17" t="s">
        <v>40</v>
      </c>
      <c r="D17">
        <v>2013</v>
      </c>
      <c r="E17">
        <v>-1.474157069656223</v>
      </c>
      <c r="F17">
        <v>-1.437599419188256</v>
      </c>
      <c r="G17">
        <f t="shared" si="0"/>
        <v>3.6557650467966996E-2</v>
      </c>
      <c r="H17">
        <v>0.26402469726120398</v>
      </c>
      <c r="I17" t="s">
        <v>79</v>
      </c>
    </row>
    <row r="18" spans="1:9" x14ac:dyDescent="0.35">
      <c r="A18" t="s">
        <v>75</v>
      </c>
      <c r="B18" t="s">
        <v>41</v>
      </c>
      <c r="C18" t="s">
        <v>38</v>
      </c>
      <c r="D18">
        <v>2013</v>
      </c>
      <c r="E18">
        <v>-0.54027205249544963</v>
      </c>
      <c r="F18">
        <v>-1.843520911707673</v>
      </c>
      <c r="G18">
        <f t="shared" si="0"/>
        <v>-1.3032488592122233</v>
      </c>
      <c r="H18">
        <v>0.5343188076695039</v>
      </c>
      <c r="I18" t="s">
        <v>79</v>
      </c>
    </row>
    <row r="19" spans="1:9" x14ac:dyDescent="0.35">
      <c r="A19" t="s">
        <v>75</v>
      </c>
      <c r="B19" t="s">
        <v>42</v>
      </c>
      <c r="C19" t="s">
        <v>40</v>
      </c>
      <c r="D19">
        <v>2013</v>
      </c>
      <c r="E19">
        <v>0.44387559815419753</v>
      </c>
      <c r="F19">
        <v>-1.843520911707673</v>
      </c>
      <c r="G19">
        <f t="shared" si="0"/>
        <v>-2.2873965098618703</v>
      </c>
      <c r="H19">
        <v>0.5343188076695039</v>
      </c>
      <c r="I19" t="s">
        <v>79</v>
      </c>
    </row>
    <row r="20" spans="1:9" x14ac:dyDescent="0.35">
      <c r="A20" t="s">
        <v>75</v>
      </c>
      <c r="B20" t="s">
        <v>43</v>
      </c>
      <c r="C20" t="s">
        <v>38</v>
      </c>
      <c r="D20">
        <v>2013</v>
      </c>
      <c r="E20">
        <v>-1.8298929550776939</v>
      </c>
      <c r="F20">
        <v>-1.843520911707673</v>
      </c>
      <c r="G20">
        <f t="shared" si="0"/>
        <v>-1.3627956629979066E-2</v>
      </c>
      <c r="H20">
        <v>0.5343188076695039</v>
      </c>
      <c r="I20" t="s">
        <v>79</v>
      </c>
    </row>
    <row r="21" spans="1:9" x14ac:dyDescent="0.35">
      <c r="A21" t="s">
        <v>75</v>
      </c>
      <c r="B21" t="s">
        <v>44</v>
      </c>
      <c r="C21" t="s">
        <v>40</v>
      </c>
      <c r="D21">
        <v>2013</v>
      </c>
      <c r="E21">
        <v>-1.3409854181595351</v>
      </c>
      <c r="F21">
        <v>-1.843520911707673</v>
      </c>
      <c r="G21">
        <f t="shared" si="0"/>
        <v>-0.50253549354813787</v>
      </c>
      <c r="H21">
        <v>0.5343188076695039</v>
      </c>
      <c r="I21" t="s">
        <v>79</v>
      </c>
    </row>
    <row r="22" spans="1:9" x14ac:dyDescent="0.35">
      <c r="A22" t="s">
        <v>76</v>
      </c>
      <c r="B22" t="s">
        <v>41</v>
      </c>
      <c r="C22" t="s">
        <v>38</v>
      </c>
      <c r="D22">
        <v>2013</v>
      </c>
      <c r="E22">
        <v>0.25101306409311958</v>
      </c>
      <c r="F22">
        <v>1.2707283722487859E-2</v>
      </c>
      <c r="G22">
        <f t="shared" si="0"/>
        <v>-0.23830578037063171</v>
      </c>
      <c r="H22">
        <v>0.56214323194141969</v>
      </c>
      <c r="I22" t="s">
        <v>79</v>
      </c>
    </row>
    <row r="23" spans="1:9" x14ac:dyDescent="0.35">
      <c r="A23" t="s">
        <v>76</v>
      </c>
      <c r="B23" t="s">
        <v>42</v>
      </c>
      <c r="C23" t="s">
        <v>40</v>
      </c>
      <c r="D23">
        <v>2013</v>
      </c>
      <c r="E23">
        <v>0.70707026821927865</v>
      </c>
      <c r="F23">
        <v>1.2707283722487859E-2</v>
      </c>
      <c r="G23">
        <f t="shared" si="0"/>
        <v>-0.69436298449679079</v>
      </c>
      <c r="H23">
        <v>0.56214323194141969</v>
      </c>
      <c r="I23" t="s">
        <v>79</v>
      </c>
    </row>
    <row r="24" spans="1:9" x14ac:dyDescent="0.35">
      <c r="A24" t="s">
        <v>76</v>
      </c>
      <c r="B24" t="s">
        <v>43</v>
      </c>
      <c r="C24" t="s">
        <v>38</v>
      </c>
      <c r="D24">
        <v>2013</v>
      </c>
      <c r="E24">
        <v>-0.9800045037945293</v>
      </c>
      <c r="F24">
        <v>1.2707283722487859E-2</v>
      </c>
      <c r="G24">
        <f t="shared" si="0"/>
        <v>0.99271178751701716</v>
      </c>
      <c r="H24">
        <v>0.56214323194141969</v>
      </c>
      <c r="I24" t="s">
        <v>79</v>
      </c>
    </row>
    <row r="25" spans="1:9" x14ac:dyDescent="0.35">
      <c r="A25" t="s">
        <v>76</v>
      </c>
      <c r="B25" t="s">
        <v>44</v>
      </c>
      <c r="C25" t="s">
        <v>40</v>
      </c>
      <c r="D25">
        <v>2013</v>
      </c>
      <c r="E25">
        <v>-0.79000434577850553</v>
      </c>
      <c r="F25">
        <v>1.2707283722487859E-2</v>
      </c>
      <c r="G25">
        <f t="shared" si="0"/>
        <v>0.8027116295009934</v>
      </c>
      <c r="H25">
        <v>0.56214323194141969</v>
      </c>
      <c r="I25" t="s">
        <v>79</v>
      </c>
    </row>
    <row r="26" spans="1:9" x14ac:dyDescent="0.35">
      <c r="A26" t="s">
        <v>36</v>
      </c>
      <c r="B26" t="s">
        <v>43</v>
      </c>
      <c r="C26" t="s">
        <v>38</v>
      </c>
      <c r="D26">
        <v>2014</v>
      </c>
      <c r="E26">
        <v>1.6172789472429281</v>
      </c>
      <c r="F26">
        <v>0.87952767279372546</v>
      </c>
      <c r="G26">
        <f t="shared" si="0"/>
        <v>-0.73775127444920263</v>
      </c>
      <c r="H26">
        <v>-0.13290468332128169</v>
      </c>
      <c r="I26" t="s">
        <v>79</v>
      </c>
    </row>
    <row r="27" spans="1:9" x14ac:dyDescent="0.35">
      <c r="A27" t="s">
        <v>36</v>
      </c>
      <c r="B27" t="s">
        <v>44</v>
      </c>
      <c r="C27" t="s">
        <v>40</v>
      </c>
      <c r="D27">
        <v>2014</v>
      </c>
      <c r="E27">
        <v>1.753478025840405</v>
      </c>
      <c r="F27">
        <v>0.87952767279372546</v>
      </c>
      <c r="G27">
        <f t="shared" si="0"/>
        <v>-0.87395035304667956</v>
      </c>
      <c r="H27">
        <v>-0.13290468332128169</v>
      </c>
      <c r="I27" t="s">
        <v>79</v>
      </c>
    </row>
    <row r="28" spans="1:9" x14ac:dyDescent="0.35">
      <c r="A28" t="s">
        <v>36</v>
      </c>
      <c r="B28" t="s">
        <v>45</v>
      </c>
      <c r="C28" t="s">
        <v>38</v>
      </c>
      <c r="D28">
        <v>2014</v>
      </c>
      <c r="E28">
        <v>0.67669638838701029</v>
      </c>
      <c r="F28">
        <v>0.87952767279372546</v>
      </c>
      <c r="G28">
        <f t="shared" si="0"/>
        <v>0.20283128440671516</v>
      </c>
      <c r="H28">
        <v>-0.13290468332128169</v>
      </c>
      <c r="I28" t="s">
        <v>79</v>
      </c>
    </row>
    <row r="29" spans="1:9" x14ac:dyDescent="0.35">
      <c r="A29" t="s">
        <v>36</v>
      </c>
      <c r="B29" t="s">
        <v>46</v>
      </c>
      <c r="C29" t="s">
        <v>40</v>
      </c>
      <c r="D29">
        <v>2014</v>
      </c>
      <c r="E29">
        <v>1.6499152648066451</v>
      </c>
      <c r="F29">
        <v>0.87952767279372546</v>
      </c>
      <c r="G29">
        <f t="shared" si="0"/>
        <v>-0.77038759201291962</v>
      </c>
      <c r="H29">
        <v>-0.13290468332128169</v>
      </c>
      <c r="I29" t="s">
        <v>79</v>
      </c>
    </row>
    <row r="30" spans="1:9" x14ac:dyDescent="0.35">
      <c r="A30" t="s">
        <v>67</v>
      </c>
      <c r="B30" t="s">
        <v>43</v>
      </c>
      <c r="C30" t="s">
        <v>38</v>
      </c>
      <c r="D30">
        <v>2014</v>
      </c>
      <c r="E30">
        <v>1.142047499237697</v>
      </c>
      <c r="F30">
        <v>1.750092739581359</v>
      </c>
      <c r="G30">
        <f t="shared" si="0"/>
        <v>0.60804524034366203</v>
      </c>
      <c r="H30">
        <v>8.0999733416350986E-2</v>
      </c>
      <c r="I30" t="s">
        <v>79</v>
      </c>
    </row>
    <row r="31" spans="1:9" x14ac:dyDescent="0.35">
      <c r="A31" t="s">
        <v>67</v>
      </c>
      <c r="B31" t="s">
        <v>44</v>
      </c>
      <c r="C31" t="s">
        <v>40</v>
      </c>
      <c r="D31">
        <v>2014</v>
      </c>
      <c r="E31">
        <v>1.19023811784591</v>
      </c>
      <c r="F31">
        <v>1.750092739581359</v>
      </c>
      <c r="G31">
        <f t="shared" si="0"/>
        <v>0.55985462173544898</v>
      </c>
      <c r="H31">
        <v>8.0999733416350986E-2</v>
      </c>
      <c r="I31" t="s">
        <v>79</v>
      </c>
    </row>
    <row r="32" spans="1:9" x14ac:dyDescent="0.35">
      <c r="A32" t="s">
        <v>67</v>
      </c>
      <c r="B32" t="s">
        <v>45</v>
      </c>
      <c r="C32" t="s">
        <v>38</v>
      </c>
      <c r="D32">
        <v>2014</v>
      </c>
      <c r="E32">
        <v>0.92282985431766384</v>
      </c>
      <c r="F32">
        <v>1.750092739581359</v>
      </c>
      <c r="G32">
        <f t="shared" si="0"/>
        <v>0.82726288526369518</v>
      </c>
      <c r="H32">
        <v>8.0999733416350986E-2</v>
      </c>
      <c r="I32" t="s">
        <v>79</v>
      </c>
    </row>
    <row r="33" spans="1:9" x14ac:dyDescent="0.35">
      <c r="A33" t="s">
        <v>67</v>
      </c>
      <c r="B33" t="s">
        <v>46</v>
      </c>
      <c r="C33" t="s">
        <v>40</v>
      </c>
      <c r="D33">
        <v>2014</v>
      </c>
      <c r="E33">
        <v>1.443053096414237</v>
      </c>
      <c r="F33">
        <v>1.750092739581359</v>
      </c>
      <c r="G33">
        <f t="shared" si="0"/>
        <v>0.30703964316712207</v>
      </c>
      <c r="H33">
        <v>8.0999733416350986E-2</v>
      </c>
      <c r="I33" t="s">
        <v>79</v>
      </c>
    </row>
    <row r="34" spans="1:9" x14ac:dyDescent="0.35">
      <c r="A34" t="s">
        <v>68</v>
      </c>
      <c r="B34" t="s">
        <v>43</v>
      </c>
      <c r="C34" t="s">
        <v>38</v>
      </c>
      <c r="D34">
        <v>2014</v>
      </c>
      <c r="E34">
        <v>1.702614326444496</v>
      </c>
      <c r="F34">
        <v>2.2065294370805351</v>
      </c>
      <c r="G34">
        <f t="shared" si="0"/>
        <v>0.50391511063603911</v>
      </c>
      <c r="H34">
        <v>8.1447093601964587E-2</v>
      </c>
      <c r="I34" t="s">
        <v>79</v>
      </c>
    </row>
    <row r="35" spans="1:9" x14ac:dyDescent="0.35">
      <c r="A35" t="s">
        <v>68</v>
      </c>
      <c r="B35" t="s">
        <v>44</v>
      </c>
      <c r="C35" t="s">
        <v>40</v>
      </c>
      <c r="D35">
        <v>2014</v>
      </c>
      <c r="E35">
        <v>1.821630101383787</v>
      </c>
      <c r="F35">
        <v>2.2065294370805351</v>
      </c>
      <c r="G35">
        <f t="shared" si="0"/>
        <v>0.38489933569674806</v>
      </c>
      <c r="H35">
        <v>8.1447093601964587E-2</v>
      </c>
      <c r="I35" t="s">
        <v>79</v>
      </c>
    </row>
    <row r="36" spans="1:9" x14ac:dyDescent="0.35">
      <c r="A36" t="s">
        <v>68</v>
      </c>
      <c r="B36" t="s">
        <v>45</v>
      </c>
      <c r="C36" t="s">
        <v>38</v>
      </c>
      <c r="D36">
        <v>2014</v>
      </c>
      <c r="E36">
        <v>1.267570285804642</v>
      </c>
      <c r="F36">
        <v>2.2065294370805351</v>
      </c>
      <c r="G36">
        <f t="shared" si="0"/>
        <v>0.93895915127589302</v>
      </c>
      <c r="H36">
        <v>8.1447093601964587E-2</v>
      </c>
      <c r="I36" t="s">
        <v>79</v>
      </c>
    </row>
    <row r="37" spans="1:9" x14ac:dyDescent="0.35">
      <c r="A37" t="s">
        <v>68</v>
      </c>
      <c r="B37" t="s">
        <v>46</v>
      </c>
      <c r="C37" t="s">
        <v>40</v>
      </c>
      <c r="D37">
        <v>2014</v>
      </c>
      <c r="E37">
        <v>1.846054067989833</v>
      </c>
      <c r="F37">
        <v>2.2065294370805351</v>
      </c>
      <c r="G37">
        <f t="shared" si="0"/>
        <v>0.3604753690907021</v>
      </c>
      <c r="H37">
        <v>8.1447093601964587E-2</v>
      </c>
      <c r="I37" t="s">
        <v>79</v>
      </c>
    </row>
    <row r="38" spans="1:9" x14ac:dyDescent="0.35">
      <c r="A38" t="s">
        <v>69</v>
      </c>
      <c r="B38" t="s">
        <v>43</v>
      </c>
      <c r="C38" t="s">
        <v>38</v>
      </c>
      <c r="D38">
        <v>2014</v>
      </c>
      <c r="E38">
        <v>0.53460867752352925</v>
      </c>
      <c r="F38">
        <v>1.509054117610189</v>
      </c>
      <c r="G38">
        <f t="shared" si="0"/>
        <v>0.97444544008665979</v>
      </c>
      <c r="H38">
        <v>-0.12579054882825261</v>
      </c>
      <c r="I38" t="s">
        <v>79</v>
      </c>
    </row>
    <row r="39" spans="1:9" x14ac:dyDescent="0.35">
      <c r="A39" t="s">
        <v>69</v>
      </c>
      <c r="B39" t="s">
        <v>44</v>
      </c>
      <c r="C39" t="s">
        <v>40</v>
      </c>
      <c r="D39">
        <v>2014</v>
      </c>
      <c r="E39">
        <v>0.93589599660655054</v>
      </c>
      <c r="F39">
        <v>1.509054117610189</v>
      </c>
      <c r="G39">
        <f t="shared" si="0"/>
        <v>0.5731581210036385</v>
      </c>
      <c r="H39">
        <v>-0.12579054882825261</v>
      </c>
      <c r="I39" t="s">
        <v>79</v>
      </c>
    </row>
    <row r="40" spans="1:9" x14ac:dyDescent="0.35">
      <c r="A40" t="s">
        <v>69</v>
      </c>
      <c r="B40" t="s">
        <v>45</v>
      </c>
      <c r="C40" t="s">
        <v>38</v>
      </c>
      <c r="D40">
        <v>2014</v>
      </c>
      <c r="E40">
        <v>1.249540362435053</v>
      </c>
      <c r="F40">
        <v>1.509054117610189</v>
      </c>
      <c r="G40">
        <f t="shared" si="0"/>
        <v>0.25951375517513608</v>
      </c>
      <c r="H40">
        <v>-0.12579054882825261</v>
      </c>
      <c r="I40" t="s">
        <v>79</v>
      </c>
    </row>
    <row r="41" spans="1:9" x14ac:dyDescent="0.35">
      <c r="A41" t="s">
        <v>69</v>
      </c>
      <c r="B41" t="s">
        <v>46</v>
      </c>
      <c r="C41" t="s">
        <v>40</v>
      </c>
      <c r="D41">
        <v>2014</v>
      </c>
      <c r="E41">
        <v>1.14800430968125</v>
      </c>
      <c r="F41">
        <v>1.509054117610189</v>
      </c>
      <c r="G41">
        <f t="shared" si="0"/>
        <v>0.36104980792893904</v>
      </c>
      <c r="H41">
        <v>-0.12579054882825261</v>
      </c>
      <c r="I41" t="s">
        <v>79</v>
      </c>
    </row>
    <row r="42" spans="1:9" x14ac:dyDescent="0.35">
      <c r="A42" t="s">
        <v>73</v>
      </c>
      <c r="B42" t="s">
        <v>43</v>
      </c>
      <c r="C42" t="s">
        <v>38</v>
      </c>
      <c r="D42">
        <v>2014</v>
      </c>
      <c r="E42">
        <v>0.91019216638974498</v>
      </c>
      <c r="F42">
        <v>0.99281792910282507</v>
      </c>
      <c r="G42">
        <f t="shared" si="0"/>
        <v>8.2625762713080086E-2</v>
      </c>
      <c r="H42">
        <v>-7.1145736829973161E-2</v>
      </c>
      <c r="I42" t="s">
        <v>79</v>
      </c>
    </row>
    <row r="43" spans="1:9" x14ac:dyDescent="0.35">
      <c r="A43" t="s">
        <v>73</v>
      </c>
      <c r="B43" t="s">
        <v>44</v>
      </c>
      <c r="C43" t="s">
        <v>40</v>
      </c>
      <c r="D43">
        <v>2014</v>
      </c>
      <c r="E43">
        <v>1.095437649770115</v>
      </c>
      <c r="F43">
        <v>0.99281792910282507</v>
      </c>
      <c r="G43">
        <f t="shared" si="0"/>
        <v>-0.10261972066728997</v>
      </c>
      <c r="H43">
        <v>-7.1145736829973161E-2</v>
      </c>
      <c r="I43" t="s">
        <v>79</v>
      </c>
    </row>
    <row r="44" spans="1:9" x14ac:dyDescent="0.35">
      <c r="A44" t="s">
        <v>73</v>
      </c>
      <c r="B44" t="s">
        <v>45</v>
      </c>
      <c r="C44" t="s">
        <v>38</v>
      </c>
      <c r="D44">
        <v>2014</v>
      </c>
      <c r="E44">
        <v>0.31811884101464738</v>
      </c>
      <c r="F44">
        <v>0.99281792910282507</v>
      </c>
      <c r="G44">
        <f t="shared" si="0"/>
        <v>0.67469908808817769</v>
      </c>
      <c r="H44">
        <v>-7.1145736829973161E-2</v>
      </c>
      <c r="I44" t="s">
        <v>79</v>
      </c>
    </row>
    <row r="45" spans="1:9" x14ac:dyDescent="0.35">
      <c r="A45" t="s">
        <v>73</v>
      </c>
      <c r="B45" t="s">
        <v>46</v>
      </c>
      <c r="C45" t="s">
        <v>40</v>
      </c>
      <c r="D45">
        <v>2014</v>
      </c>
      <c r="E45">
        <v>0.97562348050159731</v>
      </c>
      <c r="F45">
        <v>0.99281792910282507</v>
      </c>
      <c r="G45">
        <f t="shared" si="0"/>
        <v>1.7194448601227763E-2</v>
      </c>
      <c r="H45">
        <v>-7.1145736829973161E-2</v>
      </c>
      <c r="I45" t="s">
        <v>79</v>
      </c>
    </row>
    <row r="46" spans="1:9" x14ac:dyDescent="0.35">
      <c r="A46" t="s">
        <v>74</v>
      </c>
      <c r="B46" t="s">
        <v>43</v>
      </c>
      <c r="C46" t="s">
        <v>38</v>
      </c>
      <c r="D46">
        <v>2014</v>
      </c>
      <c r="E46">
        <v>1.703044407164489</v>
      </c>
      <c r="F46">
        <v>9.0504209935939262</v>
      </c>
      <c r="G46">
        <f t="shared" si="0"/>
        <v>7.3473765864294371</v>
      </c>
      <c r="H46">
        <v>0.49439163876765568</v>
      </c>
      <c r="I46" t="s">
        <v>79</v>
      </c>
    </row>
    <row r="47" spans="1:9" x14ac:dyDescent="0.35">
      <c r="A47" t="s">
        <v>74</v>
      </c>
      <c r="B47" t="s">
        <v>44</v>
      </c>
      <c r="C47" t="s">
        <v>40</v>
      </c>
      <c r="D47">
        <v>2014</v>
      </c>
      <c r="E47">
        <v>2.1762610607392712</v>
      </c>
      <c r="F47">
        <v>9.0504209935939262</v>
      </c>
      <c r="G47">
        <f t="shared" si="0"/>
        <v>6.8741599328546545</v>
      </c>
      <c r="H47">
        <v>0.49439163876765568</v>
      </c>
      <c r="I47" t="s">
        <v>79</v>
      </c>
    </row>
    <row r="48" spans="1:9" x14ac:dyDescent="0.35">
      <c r="A48" t="s">
        <v>74</v>
      </c>
      <c r="B48" t="s">
        <v>45</v>
      </c>
      <c r="C48" t="s">
        <v>38</v>
      </c>
      <c r="D48">
        <v>2014</v>
      </c>
      <c r="E48">
        <v>4.6151910205822766</v>
      </c>
      <c r="F48">
        <v>9.0504209935939262</v>
      </c>
      <c r="G48">
        <f t="shared" si="0"/>
        <v>4.4352299730116496</v>
      </c>
      <c r="H48">
        <v>0.49439163876765568</v>
      </c>
      <c r="I48" t="s">
        <v>79</v>
      </c>
    </row>
    <row r="49" spans="1:9" x14ac:dyDescent="0.35">
      <c r="A49" t="s">
        <v>74</v>
      </c>
      <c r="B49" t="s">
        <v>46</v>
      </c>
      <c r="C49" t="s">
        <v>40</v>
      </c>
      <c r="D49">
        <v>2014</v>
      </c>
      <c r="E49">
        <v>1.740487538042057</v>
      </c>
      <c r="F49">
        <v>9.0504209935939262</v>
      </c>
      <c r="G49">
        <f t="shared" si="0"/>
        <v>7.3099334555518691</v>
      </c>
      <c r="H49">
        <v>0.49439163876765568</v>
      </c>
      <c r="I49" t="s">
        <v>79</v>
      </c>
    </row>
    <row r="50" spans="1:9" x14ac:dyDescent="0.35">
      <c r="A50" t="s">
        <v>75</v>
      </c>
      <c r="B50" t="s">
        <v>43</v>
      </c>
      <c r="C50" t="s">
        <v>38</v>
      </c>
      <c r="D50">
        <v>2014</v>
      </c>
      <c r="E50">
        <v>0.71082592354936303</v>
      </c>
      <c r="F50">
        <v>7.5233947391528819E-2</v>
      </c>
      <c r="G50">
        <f t="shared" si="0"/>
        <v>-0.63559197615783425</v>
      </c>
      <c r="H50">
        <v>-5.7968247493718331E-2</v>
      </c>
      <c r="I50" t="s">
        <v>79</v>
      </c>
    </row>
    <row r="51" spans="1:9" x14ac:dyDescent="0.35">
      <c r="A51" t="s">
        <v>75</v>
      </c>
      <c r="B51" t="s">
        <v>44</v>
      </c>
      <c r="C51" t="s">
        <v>40</v>
      </c>
      <c r="D51">
        <v>2014</v>
      </c>
      <c r="E51">
        <v>0.71763548551055933</v>
      </c>
      <c r="F51">
        <v>7.5233947391528819E-2</v>
      </c>
      <c r="G51">
        <f t="shared" si="0"/>
        <v>-0.64240153811903056</v>
      </c>
      <c r="H51">
        <v>-5.7968247493718331E-2</v>
      </c>
      <c r="I51" t="s">
        <v>79</v>
      </c>
    </row>
    <row r="52" spans="1:9" x14ac:dyDescent="0.35">
      <c r="A52" t="s">
        <v>75</v>
      </c>
      <c r="B52" t="s">
        <v>45</v>
      </c>
      <c r="C52" t="s">
        <v>38</v>
      </c>
      <c r="D52">
        <v>2014</v>
      </c>
      <c r="E52">
        <v>-0.39461096681301377</v>
      </c>
      <c r="F52">
        <v>7.5233947391528819E-2</v>
      </c>
      <c r="G52">
        <f t="shared" si="0"/>
        <v>0.46984491420454261</v>
      </c>
      <c r="H52">
        <v>-5.7968247493718331E-2</v>
      </c>
      <c r="I52" t="s">
        <v>79</v>
      </c>
    </row>
    <row r="53" spans="1:9" x14ac:dyDescent="0.35">
      <c r="A53" t="s">
        <v>75</v>
      </c>
      <c r="B53" t="s">
        <v>46</v>
      </c>
      <c r="C53" t="s">
        <v>40</v>
      </c>
      <c r="D53">
        <v>2014</v>
      </c>
      <c r="E53">
        <v>0.57096731898795827</v>
      </c>
      <c r="F53">
        <v>7.5233947391528819E-2</v>
      </c>
      <c r="G53">
        <f t="shared" si="0"/>
        <v>-0.49573337159642944</v>
      </c>
      <c r="H53">
        <v>-5.7968247493718331E-2</v>
      </c>
      <c r="I53" t="s">
        <v>79</v>
      </c>
    </row>
    <row r="54" spans="1:9" x14ac:dyDescent="0.35">
      <c r="A54" t="s">
        <v>76</v>
      </c>
      <c r="B54" t="s">
        <v>43</v>
      </c>
      <c r="C54" t="s">
        <v>38</v>
      </c>
      <c r="D54">
        <v>2014</v>
      </c>
      <c r="E54">
        <v>0.2460103096358246</v>
      </c>
      <c r="F54">
        <v>1.6013721912486829</v>
      </c>
      <c r="G54">
        <f t="shared" si="0"/>
        <v>1.3553618816128583</v>
      </c>
      <c r="H54">
        <v>-0.14283084201054749</v>
      </c>
      <c r="I54" t="s">
        <v>79</v>
      </c>
    </row>
    <row r="55" spans="1:9" x14ac:dyDescent="0.35">
      <c r="A55" t="s">
        <v>76</v>
      </c>
      <c r="B55" t="s">
        <v>44</v>
      </c>
      <c r="C55" t="s">
        <v>40</v>
      </c>
      <c r="D55">
        <v>2014</v>
      </c>
      <c r="E55">
        <v>0.89594425952546075</v>
      </c>
      <c r="F55">
        <v>1.6013721912486829</v>
      </c>
      <c r="G55">
        <f t="shared" si="0"/>
        <v>0.70542793172322216</v>
      </c>
      <c r="H55">
        <v>-0.14283084201054749</v>
      </c>
      <c r="I55" t="s">
        <v>79</v>
      </c>
    </row>
    <row r="56" spans="1:9" x14ac:dyDescent="0.35">
      <c r="A56" t="s">
        <v>76</v>
      </c>
      <c r="B56" t="s">
        <v>45</v>
      </c>
      <c r="C56" t="s">
        <v>38</v>
      </c>
      <c r="D56">
        <v>2014</v>
      </c>
      <c r="E56">
        <v>0.87813009513062479</v>
      </c>
      <c r="F56">
        <v>1.6013721912486829</v>
      </c>
      <c r="G56">
        <f t="shared" si="0"/>
        <v>0.72324209611805812</v>
      </c>
      <c r="H56">
        <v>-0.14283084201054749</v>
      </c>
      <c r="I56" t="s">
        <v>79</v>
      </c>
    </row>
    <row r="57" spans="1:9" x14ac:dyDescent="0.35">
      <c r="A57" t="s">
        <v>76</v>
      </c>
      <c r="B57" t="s">
        <v>46</v>
      </c>
      <c r="C57" t="s">
        <v>40</v>
      </c>
      <c r="D57">
        <v>2014</v>
      </c>
      <c r="E57">
        <v>1.1634467886850299</v>
      </c>
      <c r="F57">
        <v>1.6013721912486829</v>
      </c>
      <c r="G57">
        <f t="shared" si="0"/>
        <v>0.43792540256365298</v>
      </c>
      <c r="H57">
        <v>-0.14283084201054749</v>
      </c>
      <c r="I57" t="s">
        <v>79</v>
      </c>
    </row>
    <row r="58" spans="1:9" x14ac:dyDescent="0.35">
      <c r="A58" t="s">
        <v>36</v>
      </c>
      <c r="B58" t="s">
        <v>45</v>
      </c>
      <c r="C58" t="s">
        <v>38</v>
      </c>
      <c r="D58">
        <v>2015</v>
      </c>
      <c r="E58">
        <v>1.23399360343428</v>
      </c>
      <c r="F58">
        <v>1.2553290281528069</v>
      </c>
      <c r="G58">
        <f t="shared" si="0"/>
        <v>2.1335424718526896E-2</v>
      </c>
      <c r="H58">
        <v>0.15905090344588599</v>
      </c>
      <c r="I58" t="s">
        <v>79</v>
      </c>
    </row>
    <row r="59" spans="1:9" x14ac:dyDescent="0.35">
      <c r="A59" t="s">
        <v>36</v>
      </c>
      <c r="B59" t="s">
        <v>46</v>
      </c>
      <c r="C59" t="s">
        <v>40</v>
      </c>
      <c r="D59">
        <v>2015</v>
      </c>
      <c r="E59">
        <v>1.8494694742448909</v>
      </c>
      <c r="F59">
        <v>1.2553290281528069</v>
      </c>
      <c r="G59">
        <f t="shared" si="0"/>
        <v>-0.59414044609208405</v>
      </c>
      <c r="H59">
        <v>0.15905090344588599</v>
      </c>
      <c r="I59" t="s">
        <v>79</v>
      </c>
    </row>
    <row r="60" spans="1:9" x14ac:dyDescent="0.35">
      <c r="A60" t="s">
        <v>36</v>
      </c>
      <c r="B60" t="s">
        <v>47</v>
      </c>
      <c r="C60" t="s">
        <v>38</v>
      </c>
      <c r="D60">
        <v>2015</v>
      </c>
      <c r="E60">
        <v>0.59754498836805947</v>
      </c>
      <c r="F60">
        <v>1.2553290281528069</v>
      </c>
      <c r="G60">
        <f t="shared" si="0"/>
        <v>0.65778403978474742</v>
      </c>
      <c r="H60">
        <v>0.15905090344588599</v>
      </c>
      <c r="I60" t="s">
        <v>79</v>
      </c>
    </row>
    <row r="61" spans="1:9" x14ac:dyDescent="0.35">
      <c r="A61" t="s">
        <v>36</v>
      </c>
      <c r="B61" t="s">
        <v>48</v>
      </c>
      <c r="C61" t="s">
        <v>40</v>
      </c>
      <c r="D61">
        <v>2015</v>
      </c>
      <c r="E61">
        <v>0.79966080907698522</v>
      </c>
      <c r="F61">
        <v>1.2553290281528069</v>
      </c>
      <c r="G61">
        <f t="shared" si="0"/>
        <v>0.45566821907582167</v>
      </c>
      <c r="H61">
        <v>0.15905090344588599</v>
      </c>
      <c r="I61" t="s">
        <v>79</v>
      </c>
    </row>
    <row r="62" spans="1:9" x14ac:dyDescent="0.35">
      <c r="A62" t="s">
        <v>67</v>
      </c>
      <c r="B62" t="s">
        <v>45</v>
      </c>
      <c r="C62" t="s">
        <v>38</v>
      </c>
      <c r="D62">
        <v>2015</v>
      </c>
      <c r="E62">
        <v>0.86159735965183337</v>
      </c>
      <c r="F62">
        <v>1.4634410714791239</v>
      </c>
      <c r="G62">
        <f t="shared" si="0"/>
        <v>0.60184371182729057</v>
      </c>
      <c r="H62">
        <v>0.2294452116555474</v>
      </c>
      <c r="I62" t="s">
        <v>79</v>
      </c>
    </row>
    <row r="63" spans="1:9" x14ac:dyDescent="0.35">
      <c r="A63" t="s">
        <v>67</v>
      </c>
      <c r="B63" t="s">
        <v>46</v>
      </c>
      <c r="C63" t="s">
        <v>40</v>
      </c>
      <c r="D63">
        <v>2015</v>
      </c>
      <c r="E63">
        <v>1.5593135161243941</v>
      </c>
      <c r="F63">
        <v>1.4634410714791239</v>
      </c>
      <c r="G63">
        <f t="shared" si="0"/>
        <v>-9.5872444645270116E-2</v>
      </c>
      <c r="H63">
        <v>0.2294452116555474</v>
      </c>
      <c r="I63" t="s">
        <v>79</v>
      </c>
    </row>
    <row r="64" spans="1:9" x14ac:dyDescent="0.35">
      <c r="A64" t="s">
        <v>67</v>
      </c>
      <c r="B64" t="s">
        <v>47</v>
      </c>
      <c r="C64" t="s">
        <v>38</v>
      </c>
      <c r="D64">
        <v>2015</v>
      </c>
      <c r="E64">
        <v>1.262482967982592</v>
      </c>
      <c r="F64">
        <v>1.4634410714791239</v>
      </c>
      <c r="G64">
        <f t="shared" si="0"/>
        <v>0.20095810349653198</v>
      </c>
      <c r="H64">
        <v>0.2294452116555474</v>
      </c>
      <c r="I64" t="s">
        <v>79</v>
      </c>
    </row>
    <row r="65" spans="1:9" x14ac:dyDescent="0.35">
      <c r="A65" t="s">
        <v>67</v>
      </c>
      <c r="B65" t="s">
        <v>48</v>
      </c>
      <c r="C65" t="s">
        <v>40</v>
      </c>
      <c r="D65">
        <v>2015</v>
      </c>
      <c r="E65">
        <v>1.08741840250608</v>
      </c>
      <c r="F65">
        <v>1.4634410714791239</v>
      </c>
      <c r="G65">
        <f t="shared" si="0"/>
        <v>0.37602266897304393</v>
      </c>
      <c r="H65">
        <v>0.2294452116555474</v>
      </c>
      <c r="I65" t="s">
        <v>79</v>
      </c>
    </row>
    <row r="66" spans="1:9" x14ac:dyDescent="0.35">
      <c r="A66" t="s">
        <v>68</v>
      </c>
      <c r="B66" t="s">
        <v>45</v>
      </c>
      <c r="C66" t="s">
        <v>38</v>
      </c>
      <c r="D66">
        <v>2015</v>
      </c>
      <c r="E66">
        <v>1.095015499462715</v>
      </c>
      <c r="F66">
        <v>1.511701771928704</v>
      </c>
      <c r="G66">
        <f t="shared" ref="G66:G129" si="1">IF(OR(F66="",E66=""),"",F66-E66)</f>
        <v>0.41668627246598899</v>
      </c>
      <c r="H66">
        <v>0.29731514481803739</v>
      </c>
      <c r="I66" t="s">
        <v>79</v>
      </c>
    </row>
    <row r="67" spans="1:9" x14ac:dyDescent="0.35">
      <c r="A67" t="s">
        <v>68</v>
      </c>
      <c r="B67" t="s">
        <v>46</v>
      </c>
      <c r="C67" t="s">
        <v>40</v>
      </c>
      <c r="D67">
        <v>2015</v>
      </c>
      <c r="E67">
        <v>1.9840546273578901</v>
      </c>
      <c r="F67">
        <v>1.511701771928704</v>
      </c>
      <c r="G67">
        <f t="shared" si="1"/>
        <v>-0.47235285542918604</v>
      </c>
      <c r="H67">
        <v>0.29731514481803739</v>
      </c>
      <c r="I67" t="s">
        <v>79</v>
      </c>
    </row>
    <row r="68" spans="1:9" x14ac:dyDescent="0.35">
      <c r="A68" t="s">
        <v>68</v>
      </c>
      <c r="B68" t="s">
        <v>47</v>
      </c>
      <c r="C68" t="s">
        <v>38</v>
      </c>
      <c r="D68">
        <v>2015</v>
      </c>
      <c r="E68">
        <v>1.7105611289528031</v>
      </c>
      <c r="F68">
        <v>1.511701771928704</v>
      </c>
      <c r="G68">
        <f t="shared" si="1"/>
        <v>-0.19885935702409907</v>
      </c>
      <c r="H68">
        <v>0.29731514481803739</v>
      </c>
      <c r="I68" t="s">
        <v>79</v>
      </c>
    </row>
    <row r="69" spans="1:9" x14ac:dyDescent="0.35">
      <c r="A69" t="s">
        <v>68</v>
      </c>
      <c r="B69" t="s">
        <v>48</v>
      </c>
      <c r="C69" t="s">
        <v>40</v>
      </c>
      <c r="D69">
        <v>2015</v>
      </c>
      <c r="E69">
        <v>1.8717908251089099</v>
      </c>
      <c r="F69">
        <v>1.511701771928704</v>
      </c>
      <c r="G69">
        <f t="shared" si="1"/>
        <v>-0.3600890531802059</v>
      </c>
      <c r="H69">
        <v>0.29731514481803739</v>
      </c>
      <c r="I69" t="s">
        <v>79</v>
      </c>
    </row>
    <row r="70" spans="1:9" x14ac:dyDescent="0.35">
      <c r="A70" t="s">
        <v>69</v>
      </c>
      <c r="B70" t="s">
        <v>45</v>
      </c>
      <c r="C70" t="s">
        <v>38</v>
      </c>
      <c r="D70">
        <v>2015</v>
      </c>
      <c r="E70">
        <v>1.7298208953237191</v>
      </c>
      <c r="F70">
        <v>3.980574024380553</v>
      </c>
      <c r="G70">
        <f t="shared" si="1"/>
        <v>2.2507531290568341</v>
      </c>
      <c r="H70">
        <v>0.33584162128485229</v>
      </c>
      <c r="I70" t="s">
        <v>79</v>
      </c>
    </row>
    <row r="71" spans="1:9" x14ac:dyDescent="0.35">
      <c r="A71" t="s">
        <v>69</v>
      </c>
      <c r="B71" t="s">
        <v>46</v>
      </c>
      <c r="C71" t="s">
        <v>40</v>
      </c>
      <c r="D71">
        <v>2015</v>
      </c>
      <c r="E71">
        <v>2.0578550096999941</v>
      </c>
      <c r="F71">
        <v>3.980574024380553</v>
      </c>
      <c r="G71">
        <f t="shared" si="1"/>
        <v>1.9227190146805588</v>
      </c>
      <c r="H71">
        <v>0.33584162128485229</v>
      </c>
      <c r="I71" t="s">
        <v>79</v>
      </c>
    </row>
    <row r="72" spans="1:9" x14ac:dyDescent="0.35">
      <c r="A72" t="s">
        <v>69</v>
      </c>
      <c r="B72" t="s">
        <v>47</v>
      </c>
      <c r="C72" t="s">
        <v>38</v>
      </c>
      <c r="D72">
        <v>2015</v>
      </c>
      <c r="E72">
        <v>3.1330217546616361</v>
      </c>
      <c r="F72">
        <v>3.980574024380553</v>
      </c>
      <c r="G72">
        <f t="shared" si="1"/>
        <v>0.84755226971891684</v>
      </c>
      <c r="H72">
        <v>0.33584162128485229</v>
      </c>
      <c r="I72" t="s">
        <v>79</v>
      </c>
    </row>
    <row r="73" spans="1:9" x14ac:dyDescent="0.35">
      <c r="A73" t="s">
        <v>69</v>
      </c>
      <c r="B73" t="s">
        <v>48</v>
      </c>
      <c r="C73" t="s">
        <v>40</v>
      </c>
      <c r="D73">
        <v>2015</v>
      </c>
      <c r="E73">
        <v>2.8163023499567119</v>
      </c>
      <c r="F73">
        <v>3.980574024380553</v>
      </c>
      <c r="G73">
        <f t="shared" si="1"/>
        <v>1.1642716744238411</v>
      </c>
      <c r="H73">
        <v>0.33584162128485229</v>
      </c>
      <c r="I73" t="s">
        <v>79</v>
      </c>
    </row>
    <row r="74" spans="1:9" x14ac:dyDescent="0.35">
      <c r="A74" t="s">
        <v>70</v>
      </c>
      <c r="B74" t="s">
        <v>45</v>
      </c>
      <c r="C74" t="s">
        <v>38</v>
      </c>
      <c r="D74">
        <v>2015</v>
      </c>
      <c r="E74">
        <v>0.6115453306968277</v>
      </c>
      <c r="F74">
        <v>0.46533578746174248</v>
      </c>
      <c r="G74">
        <f t="shared" si="1"/>
        <v>-0.14620954323508523</v>
      </c>
      <c r="H74">
        <v>0.21524731915347789</v>
      </c>
      <c r="I74" t="s">
        <v>79</v>
      </c>
    </row>
    <row r="75" spans="1:9" x14ac:dyDescent="0.35">
      <c r="A75" t="s">
        <v>70</v>
      </c>
      <c r="B75" t="s">
        <v>46</v>
      </c>
      <c r="C75" t="s">
        <v>40</v>
      </c>
      <c r="D75">
        <v>2015</v>
      </c>
      <c r="E75">
        <v>1.03813878882193</v>
      </c>
      <c r="F75">
        <v>0.46533578746174248</v>
      </c>
      <c r="G75">
        <f t="shared" si="1"/>
        <v>-0.57280300136018747</v>
      </c>
      <c r="H75">
        <v>0.21524731915347789</v>
      </c>
      <c r="I75" t="s">
        <v>79</v>
      </c>
    </row>
    <row r="76" spans="1:9" x14ac:dyDescent="0.35">
      <c r="A76" t="s">
        <v>70</v>
      </c>
      <c r="B76" t="s">
        <v>47</v>
      </c>
      <c r="C76" t="s">
        <v>38</v>
      </c>
      <c r="D76">
        <v>2015</v>
      </c>
      <c r="E76">
        <v>0.33999838965084178</v>
      </c>
      <c r="F76">
        <v>0.46533578746174248</v>
      </c>
      <c r="G76">
        <f t="shared" si="1"/>
        <v>0.1253373978109007</v>
      </c>
      <c r="H76">
        <v>0.21524731915347789</v>
      </c>
      <c r="I76" t="s">
        <v>79</v>
      </c>
    </row>
    <row r="77" spans="1:9" x14ac:dyDescent="0.35">
      <c r="A77" t="s">
        <v>70</v>
      </c>
      <c r="B77" t="s">
        <v>48</v>
      </c>
      <c r="C77" t="s">
        <v>40</v>
      </c>
      <c r="D77">
        <v>2015</v>
      </c>
      <c r="E77">
        <v>0.34221817011690359</v>
      </c>
      <c r="F77">
        <v>0.46533578746174248</v>
      </c>
      <c r="G77">
        <f t="shared" si="1"/>
        <v>0.12311761734483889</v>
      </c>
      <c r="H77">
        <v>0.21524731915347789</v>
      </c>
      <c r="I77" t="s">
        <v>79</v>
      </c>
    </row>
    <row r="78" spans="1:9" x14ac:dyDescent="0.35">
      <c r="A78" t="s">
        <v>73</v>
      </c>
      <c r="B78" t="s">
        <v>45</v>
      </c>
      <c r="C78" t="s">
        <v>38</v>
      </c>
      <c r="D78">
        <v>2015</v>
      </c>
      <c r="E78">
        <v>0.69497120757255892</v>
      </c>
      <c r="F78">
        <v>0.99352475042418931</v>
      </c>
      <c r="G78">
        <f t="shared" si="1"/>
        <v>0.29855354285163038</v>
      </c>
      <c r="H78">
        <v>6.2533223926305753E-2</v>
      </c>
      <c r="I78" t="s">
        <v>79</v>
      </c>
    </row>
    <row r="79" spans="1:9" x14ac:dyDescent="0.35">
      <c r="A79" t="s">
        <v>73</v>
      </c>
      <c r="B79" t="s">
        <v>46</v>
      </c>
      <c r="C79" t="s">
        <v>40</v>
      </c>
      <c r="D79">
        <v>2015</v>
      </c>
      <c r="E79">
        <v>1.4732524317461191</v>
      </c>
      <c r="F79">
        <v>0.99352475042418931</v>
      </c>
      <c r="G79">
        <f t="shared" si="1"/>
        <v>-0.47972768132192978</v>
      </c>
      <c r="H79">
        <v>6.2533223926305753E-2</v>
      </c>
      <c r="I79" t="s">
        <v>79</v>
      </c>
    </row>
    <row r="80" spans="1:9" x14ac:dyDescent="0.35">
      <c r="A80" t="s">
        <v>73</v>
      </c>
      <c r="B80" t="s">
        <v>47</v>
      </c>
      <c r="C80" t="s">
        <v>38</v>
      </c>
      <c r="D80">
        <v>2015</v>
      </c>
      <c r="E80">
        <v>1.0829396488476919</v>
      </c>
      <c r="F80">
        <v>0.99352475042418931</v>
      </c>
      <c r="G80">
        <f t="shared" si="1"/>
        <v>-8.9414898423502587E-2</v>
      </c>
      <c r="H80">
        <v>6.2533223926305753E-2</v>
      </c>
      <c r="I80" t="s">
        <v>79</v>
      </c>
    </row>
    <row r="81" spans="1:9" x14ac:dyDescent="0.35">
      <c r="A81" t="s">
        <v>73</v>
      </c>
      <c r="B81" t="s">
        <v>48</v>
      </c>
      <c r="C81" t="s">
        <v>40</v>
      </c>
      <c r="D81">
        <v>2015</v>
      </c>
      <c r="E81">
        <v>1.081963871443703</v>
      </c>
      <c r="F81">
        <v>0.99352475042418931</v>
      </c>
      <c r="G81">
        <f t="shared" si="1"/>
        <v>-8.8439121019513678E-2</v>
      </c>
      <c r="H81">
        <v>6.2533223926305753E-2</v>
      </c>
      <c r="I81" t="s">
        <v>79</v>
      </c>
    </row>
    <row r="82" spans="1:9" x14ac:dyDescent="0.35">
      <c r="A82" t="s">
        <v>74</v>
      </c>
      <c r="B82" t="s">
        <v>45</v>
      </c>
      <c r="C82" t="s">
        <v>38</v>
      </c>
      <c r="D82">
        <v>2015</v>
      </c>
      <c r="E82">
        <v>3.6221665910883831</v>
      </c>
      <c r="F82">
        <v>21.950744654507421</v>
      </c>
      <c r="G82">
        <f t="shared" si="1"/>
        <v>18.328578063419037</v>
      </c>
      <c r="H82">
        <v>2.5527266581010271E-2</v>
      </c>
      <c r="I82" t="s">
        <v>79</v>
      </c>
    </row>
    <row r="83" spans="1:9" x14ac:dyDescent="0.35">
      <c r="A83" t="s">
        <v>74</v>
      </c>
      <c r="B83" t="s">
        <v>46</v>
      </c>
      <c r="C83" t="s">
        <v>40</v>
      </c>
      <c r="D83">
        <v>2015</v>
      </c>
      <c r="E83">
        <v>2.99572233370986</v>
      </c>
      <c r="F83">
        <v>21.950744654507421</v>
      </c>
      <c r="G83">
        <f t="shared" si="1"/>
        <v>18.955022320797561</v>
      </c>
      <c r="H83">
        <v>2.5527266581010271E-2</v>
      </c>
      <c r="I83" t="s">
        <v>79</v>
      </c>
    </row>
    <row r="84" spans="1:9" x14ac:dyDescent="0.35">
      <c r="A84" t="s">
        <v>74</v>
      </c>
      <c r="B84" t="s">
        <v>47</v>
      </c>
      <c r="C84" t="s">
        <v>38</v>
      </c>
      <c r="D84">
        <v>2015</v>
      </c>
      <c r="E84">
        <v>6.0449344943167782</v>
      </c>
      <c r="F84">
        <v>21.950744654507421</v>
      </c>
      <c r="G84">
        <f t="shared" si="1"/>
        <v>15.905810160190644</v>
      </c>
      <c r="H84">
        <v>2.5527266581010271E-2</v>
      </c>
      <c r="I84" t="s">
        <v>79</v>
      </c>
    </row>
    <row r="85" spans="1:9" x14ac:dyDescent="0.35">
      <c r="A85" t="s">
        <v>74</v>
      </c>
      <c r="B85" t="s">
        <v>48</v>
      </c>
      <c r="C85" t="s">
        <v>40</v>
      </c>
      <c r="D85">
        <v>2015</v>
      </c>
      <c r="E85">
        <v>3.6070418929936339</v>
      </c>
      <c r="F85">
        <v>21.950744654507421</v>
      </c>
      <c r="G85">
        <f t="shared" si="1"/>
        <v>18.343702761513786</v>
      </c>
      <c r="H85">
        <v>2.5527266581010271E-2</v>
      </c>
      <c r="I85" t="s">
        <v>79</v>
      </c>
    </row>
    <row r="86" spans="1:9" x14ac:dyDescent="0.35">
      <c r="A86" t="s">
        <v>75</v>
      </c>
      <c r="B86" t="s">
        <v>45</v>
      </c>
      <c r="C86" t="s">
        <v>38</v>
      </c>
      <c r="D86">
        <v>2015</v>
      </c>
      <c r="E86">
        <v>0.62872973894907425</v>
      </c>
      <c r="F86">
        <v>0.74285153390220071</v>
      </c>
      <c r="G86">
        <f t="shared" si="1"/>
        <v>0.11412179495312647</v>
      </c>
      <c r="H86">
        <v>9.8406764384742884E-2</v>
      </c>
      <c r="I86" t="s">
        <v>79</v>
      </c>
    </row>
    <row r="87" spans="1:9" x14ac:dyDescent="0.35">
      <c r="A87" t="s">
        <v>75</v>
      </c>
      <c r="B87" t="s">
        <v>46</v>
      </c>
      <c r="C87" t="s">
        <v>40</v>
      </c>
      <c r="D87">
        <v>2015</v>
      </c>
      <c r="E87">
        <v>1.229987574853153</v>
      </c>
      <c r="F87">
        <v>0.74285153390220071</v>
      </c>
      <c r="G87">
        <f t="shared" si="1"/>
        <v>-0.48713604095095231</v>
      </c>
      <c r="H87">
        <v>9.8406764384742884E-2</v>
      </c>
      <c r="I87" t="s">
        <v>79</v>
      </c>
    </row>
    <row r="88" spans="1:9" x14ac:dyDescent="0.35">
      <c r="A88" t="s">
        <v>75</v>
      </c>
      <c r="B88" t="s">
        <v>47</v>
      </c>
      <c r="C88" t="s">
        <v>38</v>
      </c>
      <c r="D88">
        <v>2015</v>
      </c>
      <c r="E88">
        <v>0.86665350989461043</v>
      </c>
      <c r="F88">
        <v>0.74285153390220071</v>
      </c>
      <c r="G88">
        <f t="shared" si="1"/>
        <v>-0.12380197599240972</v>
      </c>
      <c r="H88">
        <v>9.8406764384742884E-2</v>
      </c>
      <c r="I88" t="s">
        <v>79</v>
      </c>
    </row>
    <row r="89" spans="1:9" x14ac:dyDescent="0.35">
      <c r="A89" t="s">
        <v>75</v>
      </c>
      <c r="B89" t="s">
        <v>48</v>
      </c>
      <c r="C89" t="s">
        <v>40</v>
      </c>
      <c r="D89">
        <v>2015</v>
      </c>
      <c r="E89">
        <v>0.6068597463795955</v>
      </c>
      <c r="F89">
        <v>0.74285153390220071</v>
      </c>
      <c r="G89">
        <f t="shared" si="1"/>
        <v>0.13599178752260521</v>
      </c>
      <c r="H89">
        <v>9.8406764384742884E-2</v>
      </c>
      <c r="I89" t="s">
        <v>79</v>
      </c>
    </row>
    <row r="90" spans="1:9" x14ac:dyDescent="0.35">
      <c r="A90" t="s">
        <v>76</v>
      </c>
      <c r="B90" t="s">
        <v>45</v>
      </c>
      <c r="C90" t="s">
        <v>38</v>
      </c>
      <c r="D90">
        <v>2015</v>
      </c>
      <c r="E90">
        <v>1.4152411951803721</v>
      </c>
      <c r="F90">
        <v>2.075992985655045</v>
      </c>
      <c r="G90">
        <f t="shared" si="1"/>
        <v>0.66075179047467292</v>
      </c>
      <c r="H90">
        <v>0.17899868226077459</v>
      </c>
      <c r="I90" t="s">
        <v>79</v>
      </c>
    </row>
    <row r="91" spans="1:9" x14ac:dyDescent="0.35">
      <c r="A91" t="s">
        <v>76</v>
      </c>
      <c r="B91" t="s">
        <v>46</v>
      </c>
      <c r="C91" t="s">
        <v>40</v>
      </c>
      <c r="D91">
        <v>2015</v>
      </c>
      <c r="E91">
        <v>1.3587126188379759</v>
      </c>
      <c r="F91">
        <v>2.075992985655045</v>
      </c>
      <c r="G91">
        <f t="shared" si="1"/>
        <v>0.71728036681706908</v>
      </c>
      <c r="H91">
        <v>0.17899868226077459</v>
      </c>
      <c r="I91" t="s">
        <v>79</v>
      </c>
    </row>
    <row r="92" spans="1:9" x14ac:dyDescent="0.35">
      <c r="A92" t="s">
        <v>76</v>
      </c>
      <c r="B92" t="s">
        <v>47</v>
      </c>
      <c r="C92" t="s">
        <v>38</v>
      </c>
      <c r="D92">
        <v>2015</v>
      </c>
      <c r="E92">
        <v>2.048080115775686</v>
      </c>
      <c r="F92">
        <v>2.075992985655045</v>
      </c>
      <c r="G92">
        <f t="shared" si="1"/>
        <v>2.7912869879358926E-2</v>
      </c>
      <c r="H92">
        <v>0.17899868226077459</v>
      </c>
      <c r="I92" t="s">
        <v>79</v>
      </c>
    </row>
    <row r="93" spans="1:9" x14ac:dyDescent="0.35">
      <c r="A93" t="s">
        <v>76</v>
      </c>
      <c r="B93" t="s">
        <v>48</v>
      </c>
      <c r="C93" t="s">
        <v>40</v>
      </c>
      <c r="D93">
        <v>2015</v>
      </c>
      <c r="E93">
        <v>1.634744403265187</v>
      </c>
      <c r="F93">
        <v>2.075992985655045</v>
      </c>
      <c r="G93">
        <f t="shared" si="1"/>
        <v>0.44124858238985798</v>
      </c>
      <c r="H93">
        <v>0.17899868226077459</v>
      </c>
      <c r="I93" t="s">
        <v>79</v>
      </c>
    </row>
    <row r="94" spans="1:9" x14ac:dyDescent="0.35">
      <c r="A94" t="s">
        <v>77</v>
      </c>
      <c r="B94" t="s">
        <v>45</v>
      </c>
      <c r="C94" t="s">
        <v>38</v>
      </c>
      <c r="D94">
        <v>2015</v>
      </c>
      <c r="E94">
        <v>1.29819266835165</v>
      </c>
      <c r="F94">
        <v>1.5772755552952269</v>
      </c>
      <c r="G94">
        <f t="shared" si="1"/>
        <v>0.27908288694357686</v>
      </c>
      <c r="H94">
        <v>0.20562428135181771</v>
      </c>
      <c r="I94" t="s">
        <v>79</v>
      </c>
    </row>
    <row r="95" spans="1:9" x14ac:dyDescent="0.35">
      <c r="A95" t="s">
        <v>77</v>
      </c>
      <c r="B95" t="s">
        <v>46</v>
      </c>
      <c r="C95" t="s">
        <v>40</v>
      </c>
      <c r="D95">
        <v>2015</v>
      </c>
      <c r="E95">
        <v>1.4931874273763861</v>
      </c>
      <c r="F95">
        <v>1.5772755552952269</v>
      </c>
      <c r="G95">
        <f t="shared" si="1"/>
        <v>8.4088127918840794E-2</v>
      </c>
      <c r="H95">
        <v>0.20562428135181771</v>
      </c>
      <c r="I95" t="s">
        <v>79</v>
      </c>
    </row>
    <row r="96" spans="1:9" x14ac:dyDescent="0.35">
      <c r="A96" t="s">
        <v>77</v>
      </c>
      <c r="B96" t="s">
        <v>47</v>
      </c>
      <c r="C96" t="s">
        <v>38</v>
      </c>
      <c r="D96">
        <v>2015</v>
      </c>
      <c r="E96">
        <v>1.741329419958926</v>
      </c>
      <c r="F96">
        <v>1.5772755552952269</v>
      </c>
      <c r="G96">
        <f t="shared" si="1"/>
        <v>-0.16405386466369909</v>
      </c>
      <c r="H96">
        <v>0.20562428135181771</v>
      </c>
      <c r="I96" t="s">
        <v>79</v>
      </c>
    </row>
    <row r="97" spans="1:9" x14ac:dyDescent="0.35">
      <c r="A97" t="s">
        <v>77</v>
      </c>
      <c r="B97" t="s">
        <v>48</v>
      </c>
      <c r="C97" t="s">
        <v>40</v>
      </c>
      <c r="D97">
        <v>2015</v>
      </c>
      <c r="E97">
        <v>1.6418853965775471</v>
      </c>
      <c r="F97">
        <v>1.5772755552952269</v>
      </c>
      <c r="G97">
        <f t="shared" si="1"/>
        <v>-6.4609841282320168E-2</v>
      </c>
      <c r="H97">
        <v>0.20562428135181771</v>
      </c>
      <c r="I97" t="s">
        <v>79</v>
      </c>
    </row>
    <row r="98" spans="1:9" x14ac:dyDescent="0.35">
      <c r="A98" t="s">
        <v>36</v>
      </c>
      <c r="B98" t="s">
        <v>47</v>
      </c>
      <c r="C98" t="s">
        <v>38</v>
      </c>
      <c r="D98">
        <v>2016</v>
      </c>
      <c r="E98">
        <v>1.4571009650163671</v>
      </c>
      <c r="F98">
        <v>2.1495386728737769</v>
      </c>
      <c r="G98">
        <f t="shared" si="1"/>
        <v>0.69243770785740977</v>
      </c>
      <c r="H98">
        <v>0.52904236060662513</v>
      </c>
      <c r="I98" t="s">
        <v>79</v>
      </c>
    </row>
    <row r="99" spans="1:9" x14ac:dyDescent="0.35">
      <c r="A99" t="s">
        <v>36</v>
      </c>
      <c r="B99" t="s">
        <v>48</v>
      </c>
      <c r="C99" t="s">
        <v>40</v>
      </c>
      <c r="D99">
        <v>2016</v>
      </c>
      <c r="E99">
        <v>1.4528661212303451</v>
      </c>
      <c r="F99">
        <v>2.1495386728737769</v>
      </c>
      <c r="G99">
        <f t="shared" si="1"/>
        <v>0.69667255164343178</v>
      </c>
      <c r="H99">
        <v>0.52904236060662513</v>
      </c>
      <c r="I99" t="s">
        <v>79</v>
      </c>
    </row>
    <row r="100" spans="1:9" x14ac:dyDescent="0.35">
      <c r="A100" t="s">
        <v>36</v>
      </c>
      <c r="B100" t="s">
        <v>49</v>
      </c>
      <c r="C100" t="s">
        <v>38</v>
      </c>
      <c r="D100">
        <v>2016</v>
      </c>
      <c r="E100">
        <v>1.493056987075114</v>
      </c>
      <c r="F100">
        <v>2.1495386728737769</v>
      </c>
      <c r="G100">
        <f t="shared" si="1"/>
        <v>0.65648168579866284</v>
      </c>
      <c r="H100">
        <v>0.52904236060662513</v>
      </c>
      <c r="I100" t="s">
        <v>79</v>
      </c>
    </row>
    <row r="101" spans="1:9" x14ac:dyDescent="0.35">
      <c r="A101" t="s">
        <v>36</v>
      </c>
      <c r="B101" t="s">
        <v>50</v>
      </c>
      <c r="C101" t="s">
        <v>40</v>
      </c>
      <c r="D101">
        <v>2016</v>
      </c>
      <c r="E101">
        <v>1.4756673621598939</v>
      </c>
      <c r="F101">
        <v>2.1495386728737769</v>
      </c>
      <c r="G101">
        <f t="shared" si="1"/>
        <v>0.67387131071388295</v>
      </c>
      <c r="H101">
        <v>0.52904236060662513</v>
      </c>
      <c r="I101" t="s">
        <v>79</v>
      </c>
    </row>
    <row r="102" spans="1:9" x14ac:dyDescent="0.35">
      <c r="A102" t="s">
        <v>67</v>
      </c>
      <c r="B102" t="s">
        <v>47</v>
      </c>
      <c r="C102" t="s">
        <v>38</v>
      </c>
      <c r="D102">
        <v>2016</v>
      </c>
      <c r="E102">
        <v>1.305005005659998</v>
      </c>
      <c r="F102">
        <v>1.1863946679844091</v>
      </c>
      <c r="G102">
        <f t="shared" si="1"/>
        <v>-0.11861033767558893</v>
      </c>
      <c r="H102">
        <v>0.52852209699415054</v>
      </c>
      <c r="I102" t="s">
        <v>79</v>
      </c>
    </row>
    <row r="103" spans="1:9" x14ac:dyDescent="0.35">
      <c r="A103" t="s">
        <v>67</v>
      </c>
      <c r="B103" t="s">
        <v>48</v>
      </c>
      <c r="C103" t="s">
        <v>40</v>
      </c>
      <c r="D103">
        <v>2016</v>
      </c>
      <c r="E103">
        <v>1.466822845081617</v>
      </c>
      <c r="F103">
        <v>1.1863946679844091</v>
      </c>
      <c r="G103">
        <f t="shared" si="1"/>
        <v>-0.28042817709720791</v>
      </c>
      <c r="H103">
        <v>0.52852209699415054</v>
      </c>
      <c r="I103" t="s">
        <v>79</v>
      </c>
    </row>
    <row r="104" spans="1:9" x14ac:dyDescent="0.35">
      <c r="A104" t="s">
        <v>67</v>
      </c>
      <c r="B104" t="s">
        <v>49</v>
      </c>
      <c r="C104" t="s">
        <v>38</v>
      </c>
      <c r="D104">
        <v>2016</v>
      </c>
      <c r="E104">
        <v>1.233699257987553</v>
      </c>
      <c r="F104">
        <v>1.1863946679844091</v>
      </c>
      <c r="G104">
        <f t="shared" si="1"/>
        <v>-4.7304590003143909E-2</v>
      </c>
      <c r="H104">
        <v>0.52852209699415054</v>
      </c>
      <c r="I104" t="s">
        <v>79</v>
      </c>
    </row>
    <row r="105" spans="1:9" x14ac:dyDescent="0.35">
      <c r="A105" t="s">
        <v>67</v>
      </c>
      <c r="B105" t="s">
        <v>50</v>
      </c>
      <c r="C105" t="s">
        <v>40</v>
      </c>
      <c r="D105">
        <v>2016</v>
      </c>
      <c r="E105">
        <v>1.197250966203911</v>
      </c>
      <c r="F105">
        <v>1.1863946679844091</v>
      </c>
      <c r="G105">
        <f t="shared" si="1"/>
        <v>-1.0856298219501959E-2</v>
      </c>
      <c r="H105">
        <v>0.52852209699415054</v>
      </c>
      <c r="I105" t="s">
        <v>79</v>
      </c>
    </row>
    <row r="106" spans="1:9" x14ac:dyDescent="0.35">
      <c r="A106" t="s">
        <v>68</v>
      </c>
      <c r="B106" t="s">
        <v>47</v>
      </c>
      <c r="C106" t="s">
        <v>38</v>
      </c>
      <c r="D106">
        <v>2016</v>
      </c>
      <c r="E106">
        <v>1.9064608618794221</v>
      </c>
      <c r="F106">
        <v>2.1850659941992001</v>
      </c>
      <c r="G106">
        <f t="shared" si="1"/>
        <v>0.27860513231977801</v>
      </c>
      <c r="H106">
        <v>0.60343555846157637</v>
      </c>
      <c r="I106" t="s">
        <v>79</v>
      </c>
    </row>
    <row r="107" spans="1:9" x14ac:dyDescent="0.35">
      <c r="A107" t="s">
        <v>68</v>
      </c>
      <c r="B107" t="s">
        <v>48</v>
      </c>
      <c r="C107" t="s">
        <v>40</v>
      </c>
      <c r="D107">
        <v>2016</v>
      </c>
      <c r="E107">
        <v>2.0247448397811012</v>
      </c>
      <c r="F107">
        <v>2.1850659941992001</v>
      </c>
      <c r="G107">
        <f t="shared" si="1"/>
        <v>0.16032115441809891</v>
      </c>
      <c r="H107">
        <v>0.60343555846157637</v>
      </c>
      <c r="I107" t="s">
        <v>79</v>
      </c>
    </row>
    <row r="108" spans="1:9" x14ac:dyDescent="0.35">
      <c r="A108" t="s">
        <v>68</v>
      </c>
      <c r="B108" t="s">
        <v>49</v>
      </c>
      <c r="C108" t="s">
        <v>38</v>
      </c>
      <c r="D108">
        <v>2016</v>
      </c>
      <c r="E108">
        <v>1.9388708932542631</v>
      </c>
      <c r="F108">
        <v>2.1850659941992001</v>
      </c>
      <c r="G108">
        <f t="shared" si="1"/>
        <v>0.24619510094493702</v>
      </c>
      <c r="H108">
        <v>0.60343555846157637</v>
      </c>
      <c r="I108" t="s">
        <v>79</v>
      </c>
    </row>
    <row r="109" spans="1:9" x14ac:dyDescent="0.35">
      <c r="A109" t="s">
        <v>68</v>
      </c>
      <c r="B109" t="s">
        <v>50</v>
      </c>
      <c r="C109" t="s">
        <v>40</v>
      </c>
      <c r="D109">
        <v>2016</v>
      </c>
      <c r="E109">
        <v>1.624850184809512</v>
      </c>
      <c r="F109">
        <v>2.1850659941992001</v>
      </c>
      <c r="G109">
        <f t="shared" si="1"/>
        <v>0.56021580938968807</v>
      </c>
      <c r="H109">
        <v>0.60343555846157637</v>
      </c>
      <c r="I109" t="s">
        <v>79</v>
      </c>
    </row>
    <row r="110" spans="1:9" x14ac:dyDescent="0.35">
      <c r="A110" t="s">
        <v>69</v>
      </c>
      <c r="B110" t="s">
        <v>47</v>
      </c>
      <c r="C110" t="s">
        <v>38</v>
      </c>
      <c r="D110">
        <v>2016</v>
      </c>
      <c r="E110">
        <v>2.6664587847684769</v>
      </c>
      <c r="F110">
        <v>2.8733724111720398</v>
      </c>
      <c r="G110">
        <f t="shared" si="1"/>
        <v>0.20691362640356292</v>
      </c>
      <c r="H110">
        <v>0.5384352042804752</v>
      </c>
      <c r="I110" t="s">
        <v>79</v>
      </c>
    </row>
    <row r="111" spans="1:9" x14ac:dyDescent="0.35">
      <c r="A111" t="s">
        <v>69</v>
      </c>
      <c r="B111" t="s">
        <v>48</v>
      </c>
      <c r="C111" t="s">
        <v>40</v>
      </c>
      <c r="D111">
        <v>2016</v>
      </c>
      <c r="E111">
        <v>2.5804277166284968</v>
      </c>
      <c r="F111">
        <v>2.8733724111720398</v>
      </c>
      <c r="G111">
        <f t="shared" si="1"/>
        <v>0.29294469454354299</v>
      </c>
      <c r="H111">
        <v>0.5384352042804752</v>
      </c>
      <c r="I111" t="s">
        <v>79</v>
      </c>
    </row>
    <row r="112" spans="1:9" x14ac:dyDescent="0.35">
      <c r="A112" t="s">
        <v>69</v>
      </c>
      <c r="B112" t="s">
        <v>49</v>
      </c>
      <c r="C112" t="s">
        <v>38</v>
      </c>
      <c r="D112">
        <v>2016</v>
      </c>
      <c r="E112">
        <v>3.1977481622379229</v>
      </c>
      <c r="F112">
        <v>2.8733724111720398</v>
      </c>
      <c r="G112">
        <f t="shared" si="1"/>
        <v>-0.32437575106588312</v>
      </c>
      <c r="H112">
        <v>0.5384352042804752</v>
      </c>
      <c r="I112" t="s">
        <v>79</v>
      </c>
    </row>
    <row r="113" spans="1:9" x14ac:dyDescent="0.35">
      <c r="A113" t="s">
        <v>69</v>
      </c>
      <c r="B113" t="s">
        <v>50</v>
      </c>
      <c r="C113" t="s">
        <v>40</v>
      </c>
      <c r="D113">
        <v>2016</v>
      </c>
      <c r="E113">
        <v>2.5934687983342641</v>
      </c>
      <c r="F113">
        <v>2.8733724111720398</v>
      </c>
      <c r="G113">
        <f t="shared" si="1"/>
        <v>0.27990361283777565</v>
      </c>
      <c r="H113">
        <v>0.5384352042804752</v>
      </c>
      <c r="I113" t="s">
        <v>79</v>
      </c>
    </row>
    <row r="114" spans="1:9" x14ac:dyDescent="0.35">
      <c r="A114" t="s">
        <v>70</v>
      </c>
      <c r="B114" t="s">
        <v>47</v>
      </c>
      <c r="C114" t="s">
        <v>38</v>
      </c>
      <c r="D114">
        <v>2016</v>
      </c>
      <c r="E114">
        <v>0.66078776686688823</v>
      </c>
      <c r="F114">
        <v>2.5394630680659041</v>
      </c>
      <c r="G114">
        <f t="shared" si="1"/>
        <v>1.8786753011990158</v>
      </c>
      <c r="H114">
        <v>0.62859282370307934</v>
      </c>
      <c r="I114" t="s">
        <v>79</v>
      </c>
    </row>
    <row r="115" spans="1:9" x14ac:dyDescent="0.35">
      <c r="A115" t="s">
        <v>70</v>
      </c>
      <c r="B115" t="s">
        <v>48</v>
      </c>
      <c r="C115" t="s">
        <v>40</v>
      </c>
      <c r="D115">
        <v>2016</v>
      </c>
      <c r="E115">
        <v>1.029139259030432</v>
      </c>
      <c r="F115">
        <v>2.5394630680659041</v>
      </c>
      <c r="G115">
        <f t="shared" si="1"/>
        <v>1.510323809035472</v>
      </c>
      <c r="H115">
        <v>0.62859282370307934</v>
      </c>
      <c r="I115" t="s">
        <v>79</v>
      </c>
    </row>
    <row r="116" spans="1:9" x14ac:dyDescent="0.35">
      <c r="A116" t="s">
        <v>70</v>
      </c>
      <c r="B116" t="s">
        <v>49</v>
      </c>
      <c r="C116" t="s">
        <v>38</v>
      </c>
      <c r="D116">
        <v>2016</v>
      </c>
      <c r="E116">
        <v>0.8211412144474739</v>
      </c>
      <c r="F116">
        <v>2.5394630680659041</v>
      </c>
      <c r="G116">
        <f t="shared" si="1"/>
        <v>1.7183218536184302</v>
      </c>
      <c r="H116">
        <v>0.62859282370307934</v>
      </c>
      <c r="I116" t="s">
        <v>79</v>
      </c>
    </row>
    <row r="117" spans="1:9" x14ac:dyDescent="0.35">
      <c r="A117" t="s">
        <v>70</v>
      </c>
      <c r="B117" t="s">
        <v>50</v>
      </c>
      <c r="C117" t="s">
        <v>40</v>
      </c>
      <c r="D117">
        <v>2016</v>
      </c>
      <c r="E117">
        <v>0.68041183214515577</v>
      </c>
      <c r="F117">
        <v>2.5394630680659041</v>
      </c>
      <c r="G117">
        <f t="shared" si="1"/>
        <v>1.8590512359207483</v>
      </c>
      <c r="H117">
        <v>0.62859282370307934</v>
      </c>
      <c r="I117" t="s">
        <v>79</v>
      </c>
    </row>
    <row r="118" spans="1:9" x14ac:dyDescent="0.35">
      <c r="A118" t="s">
        <v>73</v>
      </c>
      <c r="B118" t="s">
        <v>47</v>
      </c>
      <c r="C118" t="s">
        <v>38</v>
      </c>
      <c r="D118">
        <v>2016</v>
      </c>
      <c r="E118">
        <v>1.4293943423307589</v>
      </c>
      <c r="F118">
        <v>0.7341997048160207</v>
      </c>
      <c r="G118">
        <f t="shared" si="1"/>
        <v>-0.6951946375147382</v>
      </c>
      <c r="H118">
        <v>0.40116276873655787</v>
      </c>
      <c r="I118" t="s">
        <v>79</v>
      </c>
    </row>
    <row r="119" spans="1:9" x14ac:dyDescent="0.35">
      <c r="A119" t="s">
        <v>73</v>
      </c>
      <c r="B119" t="s">
        <v>48</v>
      </c>
      <c r="C119" t="s">
        <v>40</v>
      </c>
      <c r="D119">
        <v>2016</v>
      </c>
      <c r="E119">
        <v>1.6816047146198001</v>
      </c>
      <c r="F119">
        <v>0.7341997048160207</v>
      </c>
      <c r="G119">
        <f t="shared" si="1"/>
        <v>-0.9474050098037794</v>
      </c>
      <c r="H119">
        <v>0.40116276873655787</v>
      </c>
      <c r="I119" t="s">
        <v>79</v>
      </c>
    </row>
    <row r="120" spans="1:9" x14ac:dyDescent="0.35">
      <c r="A120" t="s">
        <v>73</v>
      </c>
      <c r="B120" t="s">
        <v>49</v>
      </c>
      <c r="C120" t="s">
        <v>38</v>
      </c>
      <c r="D120">
        <v>2016</v>
      </c>
      <c r="E120">
        <v>1.254473785454957</v>
      </c>
      <c r="F120">
        <v>0.7341997048160207</v>
      </c>
      <c r="G120">
        <f t="shared" si="1"/>
        <v>-0.52027408063893632</v>
      </c>
      <c r="H120">
        <v>0.40116276873655787</v>
      </c>
      <c r="I120" t="s">
        <v>79</v>
      </c>
    </row>
    <row r="121" spans="1:9" x14ac:dyDescent="0.35">
      <c r="A121" t="s">
        <v>73</v>
      </c>
      <c r="B121" t="s">
        <v>50</v>
      </c>
      <c r="C121" t="s">
        <v>40</v>
      </c>
      <c r="D121">
        <v>2016</v>
      </c>
      <c r="E121">
        <v>1.331417785335498</v>
      </c>
      <c r="F121">
        <v>0.7341997048160207</v>
      </c>
      <c r="G121">
        <f t="shared" si="1"/>
        <v>-0.59721808051947733</v>
      </c>
      <c r="H121">
        <v>0.40116276873655787</v>
      </c>
      <c r="I121" t="s">
        <v>79</v>
      </c>
    </row>
    <row r="122" spans="1:9" x14ac:dyDescent="0.35">
      <c r="A122" t="s">
        <v>74</v>
      </c>
      <c r="B122" t="s">
        <v>47</v>
      </c>
      <c r="C122" t="s">
        <v>38</v>
      </c>
      <c r="D122">
        <v>2016</v>
      </c>
      <c r="E122">
        <v>4.4841243342324866</v>
      </c>
      <c r="F122">
        <v>1.1725462785856491</v>
      </c>
      <c r="G122">
        <f t="shared" si="1"/>
        <v>-3.3115780556468373</v>
      </c>
      <c r="H122">
        <v>0.25910164240467398</v>
      </c>
      <c r="I122" t="s">
        <v>79</v>
      </c>
    </row>
    <row r="123" spans="1:9" x14ac:dyDescent="0.35">
      <c r="A123" t="s">
        <v>74</v>
      </c>
      <c r="B123" t="s">
        <v>48</v>
      </c>
      <c r="C123" t="s">
        <v>40</v>
      </c>
      <c r="D123">
        <v>2016</v>
      </c>
      <c r="E123">
        <v>3.4764574668220138</v>
      </c>
      <c r="F123">
        <v>1.1725462785856491</v>
      </c>
      <c r="G123">
        <f t="shared" si="1"/>
        <v>-2.3039111882363645</v>
      </c>
      <c r="H123">
        <v>0.25910164240467398</v>
      </c>
      <c r="I123" t="s">
        <v>79</v>
      </c>
    </row>
    <row r="124" spans="1:9" x14ac:dyDescent="0.35">
      <c r="A124" t="s">
        <v>74</v>
      </c>
      <c r="B124" t="s">
        <v>49</v>
      </c>
      <c r="C124" t="s">
        <v>38</v>
      </c>
      <c r="D124">
        <v>2016</v>
      </c>
      <c r="E124">
        <v>4.0884411162628984</v>
      </c>
      <c r="F124">
        <v>1.1725462785856491</v>
      </c>
      <c r="G124">
        <f t="shared" si="1"/>
        <v>-2.9158948376772491</v>
      </c>
      <c r="H124">
        <v>0.25910164240467398</v>
      </c>
      <c r="I124" t="s">
        <v>79</v>
      </c>
    </row>
    <row r="125" spans="1:9" x14ac:dyDescent="0.35">
      <c r="A125" t="s">
        <v>74</v>
      </c>
      <c r="B125" t="s">
        <v>50</v>
      </c>
      <c r="C125" t="s">
        <v>40</v>
      </c>
      <c r="D125">
        <v>2016</v>
      </c>
      <c r="E125">
        <v>4.8687098071762858</v>
      </c>
      <c r="F125">
        <v>1.1725462785856491</v>
      </c>
      <c r="G125">
        <f t="shared" si="1"/>
        <v>-3.6961635285906365</v>
      </c>
      <c r="H125">
        <v>0.25910164240467398</v>
      </c>
      <c r="I125" t="s">
        <v>79</v>
      </c>
    </row>
    <row r="126" spans="1:9" x14ac:dyDescent="0.35">
      <c r="A126" t="s">
        <v>75</v>
      </c>
      <c r="B126" t="s">
        <v>47</v>
      </c>
      <c r="C126" t="s">
        <v>38</v>
      </c>
      <c r="D126">
        <v>2016</v>
      </c>
      <c r="E126">
        <v>1.4512761867371271</v>
      </c>
      <c r="F126">
        <v>1.34543552139666</v>
      </c>
      <c r="G126">
        <f t="shared" si="1"/>
        <v>-0.1058406653404671</v>
      </c>
      <c r="H126">
        <v>9.8047794412941008E-2</v>
      </c>
      <c r="I126" t="s">
        <v>79</v>
      </c>
    </row>
    <row r="127" spans="1:9" x14ac:dyDescent="0.35">
      <c r="A127" t="s">
        <v>75</v>
      </c>
      <c r="B127" t="s">
        <v>48</v>
      </c>
      <c r="C127" t="s">
        <v>40</v>
      </c>
      <c r="D127">
        <v>2016</v>
      </c>
      <c r="E127">
        <v>1.4109778499366681</v>
      </c>
      <c r="F127">
        <v>1.34543552139666</v>
      </c>
      <c r="G127">
        <f t="shared" si="1"/>
        <v>-6.5542328540008077E-2</v>
      </c>
      <c r="H127">
        <v>9.8047794412941008E-2</v>
      </c>
      <c r="I127" t="s">
        <v>79</v>
      </c>
    </row>
    <row r="128" spans="1:9" x14ac:dyDescent="0.35">
      <c r="A128" t="s">
        <v>75</v>
      </c>
      <c r="B128" t="s">
        <v>49</v>
      </c>
      <c r="C128" t="s">
        <v>38</v>
      </c>
      <c r="D128">
        <v>2016</v>
      </c>
      <c r="E128">
        <v>0.70784283945437565</v>
      </c>
      <c r="F128">
        <v>1.34543552139666</v>
      </c>
      <c r="G128">
        <f t="shared" si="1"/>
        <v>0.63759268194228436</v>
      </c>
      <c r="H128">
        <v>9.8047794412941008E-2</v>
      </c>
      <c r="I128" t="s">
        <v>79</v>
      </c>
    </row>
    <row r="129" spans="1:9" x14ac:dyDescent="0.35">
      <c r="A129" t="s">
        <v>75</v>
      </c>
      <c r="B129" t="s">
        <v>50</v>
      </c>
      <c r="C129" t="s">
        <v>40</v>
      </c>
      <c r="D129">
        <v>2016</v>
      </c>
      <c r="E129">
        <v>1.090462780977397</v>
      </c>
      <c r="F129">
        <v>1.34543552139666</v>
      </c>
      <c r="G129">
        <f t="shared" si="1"/>
        <v>0.25497274041926299</v>
      </c>
      <c r="H129">
        <v>9.8047794412941008E-2</v>
      </c>
      <c r="I129" t="s">
        <v>79</v>
      </c>
    </row>
    <row r="130" spans="1:9" x14ac:dyDescent="0.35">
      <c r="A130" t="s">
        <v>76</v>
      </c>
      <c r="B130" t="s">
        <v>47</v>
      </c>
      <c r="C130" t="s">
        <v>38</v>
      </c>
      <c r="D130">
        <v>2016</v>
      </c>
      <c r="E130">
        <v>2.1325986777734669</v>
      </c>
      <c r="F130">
        <v>2.3909782656438301</v>
      </c>
      <c r="G130">
        <f t="shared" ref="G130:G193" si="2">IF(OR(F130="",E130=""),"",F130-E130)</f>
        <v>0.25837958787036319</v>
      </c>
      <c r="H130">
        <v>0.60727245053268153</v>
      </c>
      <c r="I130" t="s">
        <v>79</v>
      </c>
    </row>
    <row r="131" spans="1:9" x14ac:dyDescent="0.35">
      <c r="A131" t="s">
        <v>76</v>
      </c>
      <c r="B131" t="s">
        <v>48</v>
      </c>
      <c r="C131" t="s">
        <v>40</v>
      </c>
      <c r="D131">
        <v>2016</v>
      </c>
      <c r="E131">
        <v>1.7327119888610909</v>
      </c>
      <c r="F131">
        <v>2.3909782656438301</v>
      </c>
      <c r="G131">
        <f t="shared" si="2"/>
        <v>0.65826627678273919</v>
      </c>
      <c r="H131">
        <v>0.60727245053268153</v>
      </c>
      <c r="I131" t="s">
        <v>79</v>
      </c>
    </row>
    <row r="132" spans="1:9" x14ac:dyDescent="0.35">
      <c r="A132" t="s">
        <v>76</v>
      </c>
      <c r="B132" t="s">
        <v>49</v>
      </c>
      <c r="C132" t="s">
        <v>38</v>
      </c>
      <c r="D132">
        <v>2016</v>
      </c>
      <c r="E132">
        <v>1.6589744219452249</v>
      </c>
      <c r="F132">
        <v>2.3909782656438301</v>
      </c>
      <c r="G132">
        <f t="shared" si="2"/>
        <v>0.73200384369860516</v>
      </c>
      <c r="H132">
        <v>0.60727245053268153</v>
      </c>
      <c r="I132" t="s">
        <v>79</v>
      </c>
    </row>
    <row r="133" spans="1:9" x14ac:dyDescent="0.35">
      <c r="A133" t="s">
        <v>76</v>
      </c>
      <c r="B133" t="s">
        <v>50</v>
      </c>
      <c r="C133" t="s">
        <v>40</v>
      </c>
      <c r="D133">
        <v>2016</v>
      </c>
      <c r="E133">
        <v>1.6774792555238389</v>
      </c>
      <c r="F133">
        <v>2.3909782656438301</v>
      </c>
      <c r="G133">
        <f t="shared" si="2"/>
        <v>0.71349901011999117</v>
      </c>
      <c r="H133">
        <v>0.60727245053268153</v>
      </c>
      <c r="I133" t="s">
        <v>79</v>
      </c>
    </row>
    <row r="134" spans="1:9" x14ac:dyDescent="0.35">
      <c r="A134" t="s">
        <v>77</v>
      </c>
      <c r="B134" t="s">
        <v>47</v>
      </c>
      <c r="C134" t="s">
        <v>38</v>
      </c>
      <c r="D134">
        <v>2016</v>
      </c>
      <c r="E134">
        <v>1.659048842216615</v>
      </c>
      <c r="F134">
        <v>1.9843922204112789</v>
      </c>
      <c r="G134">
        <f t="shared" si="2"/>
        <v>0.32534337819466397</v>
      </c>
      <c r="H134">
        <v>0.19529332020678619</v>
      </c>
      <c r="I134" t="s">
        <v>79</v>
      </c>
    </row>
    <row r="135" spans="1:9" x14ac:dyDescent="0.35">
      <c r="A135" t="s">
        <v>77</v>
      </c>
      <c r="B135" t="s">
        <v>48</v>
      </c>
      <c r="C135" t="s">
        <v>40</v>
      </c>
      <c r="D135">
        <v>2016</v>
      </c>
      <c r="E135">
        <v>1.838363161189682</v>
      </c>
      <c r="F135">
        <v>1.9843922204112789</v>
      </c>
      <c r="G135">
        <f t="shared" si="2"/>
        <v>0.14602905922159692</v>
      </c>
      <c r="H135">
        <v>0.19529332020678619</v>
      </c>
      <c r="I135" t="s">
        <v>79</v>
      </c>
    </row>
    <row r="136" spans="1:9" x14ac:dyDescent="0.35">
      <c r="A136" t="s">
        <v>77</v>
      </c>
      <c r="B136" t="s">
        <v>49</v>
      </c>
      <c r="C136" t="s">
        <v>38</v>
      </c>
      <c r="D136">
        <v>2016</v>
      </c>
      <c r="E136">
        <v>0.92930181879138374</v>
      </c>
      <c r="F136">
        <v>1.9843922204112789</v>
      </c>
      <c r="G136">
        <f t="shared" si="2"/>
        <v>1.0550904016198952</v>
      </c>
      <c r="H136">
        <v>0.19529332020678619</v>
      </c>
      <c r="I136" t="s">
        <v>79</v>
      </c>
    </row>
    <row r="137" spans="1:9" x14ac:dyDescent="0.35">
      <c r="A137" t="s">
        <v>77</v>
      </c>
      <c r="B137" t="s">
        <v>50</v>
      </c>
      <c r="C137" t="s">
        <v>40</v>
      </c>
      <c r="D137">
        <v>2016</v>
      </c>
      <c r="E137">
        <v>1.458222731677794</v>
      </c>
      <c r="F137">
        <v>1.9843922204112789</v>
      </c>
      <c r="G137">
        <f t="shared" si="2"/>
        <v>0.5261694887334849</v>
      </c>
      <c r="H137">
        <v>0.19529332020678619</v>
      </c>
      <c r="I137" t="s">
        <v>79</v>
      </c>
    </row>
    <row r="138" spans="1:9" x14ac:dyDescent="0.35">
      <c r="A138" t="s">
        <v>74</v>
      </c>
      <c r="B138" t="s">
        <v>49</v>
      </c>
      <c r="C138" t="s">
        <v>38</v>
      </c>
      <c r="D138">
        <v>2017</v>
      </c>
      <c r="E138">
        <v>3.6014209648164601</v>
      </c>
      <c r="F138">
        <v>9.6242949957613337</v>
      </c>
      <c r="G138">
        <f t="shared" si="2"/>
        <v>6.0228740309448732</v>
      </c>
      <c r="H138">
        <v>0.54612187050093675</v>
      </c>
      <c r="I138" t="s">
        <v>79</v>
      </c>
    </row>
    <row r="139" spans="1:9" x14ac:dyDescent="0.35">
      <c r="A139" t="s">
        <v>74</v>
      </c>
      <c r="B139" t="s">
        <v>50</v>
      </c>
      <c r="C139" t="s">
        <v>40</v>
      </c>
      <c r="D139">
        <v>2017</v>
      </c>
      <c r="E139">
        <v>3.6717987560630938</v>
      </c>
      <c r="F139">
        <v>9.6242949957613337</v>
      </c>
      <c r="G139">
        <f t="shared" si="2"/>
        <v>5.9524962396982399</v>
      </c>
      <c r="H139">
        <v>0.54612187050093675</v>
      </c>
      <c r="I139" t="s">
        <v>79</v>
      </c>
    </row>
    <row r="140" spans="1:9" x14ac:dyDescent="0.35">
      <c r="A140" t="s">
        <v>74</v>
      </c>
      <c r="B140" t="s">
        <v>51</v>
      </c>
      <c r="C140" t="s">
        <v>38</v>
      </c>
      <c r="D140">
        <v>2017</v>
      </c>
      <c r="E140">
        <v>4.8263025218790556</v>
      </c>
      <c r="F140">
        <v>9.6242949957613337</v>
      </c>
      <c r="G140">
        <f t="shared" si="2"/>
        <v>4.7979924738822781</v>
      </c>
      <c r="H140">
        <v>0.54612187050093675</v>
      </c>
      <c r="I140" t="s">
        <v>79</v>
      </c>
    </row>
    <row r="141" spans="1:9" x14ac:dyDescent="0.35">
      <c r="A141" t="s">
        <v>74</v>
      </c>
      <c r="B141" t="s">
        <v>52</v>
      </c>
      <c r="C141" t="s">
        <v>40</v>
      </c>
      <c r="D141">
        <v>2017</v>
      </c>
      <c r="E141">
        <v>3.9509452446526701</v>
      </c>
      <c r="F141">
        <v>9.6242949957613337</v>
      </c>
      <c r="G141">
        <f t="shared" si="2"/>
        <v>5.6733497511086632</v>
      </c>
      <c r="H141">
        <v>0.54612187050093675</v>
      </c>
      <c r="I141" t="s">
        <v>79</v>
      </c>
    </row>
    <row r="142" spans="1:9" x14ac:dyDescent="0.35">
      <c r="A142" t="s">
        <v>75</v>
      </c>
      <c r="B142" t="s">
        <v>49</v>
      </c>
      <c r="C142" t="s">
        <v>38</v>
      </c>
      <c r="D142">
        <v>2017</v>
      </c>
      <c r="E142">
        <v>0.90288361690229468</v>
      </c>
      <c r="F142">
        <v>1.6777714333363121</v>
      </c>
      <c r="G142">
        <f t="shared" si="2"/>
        <v>0.77488781643401738</v>
      </c>
      <c r="H142">
        <v>0.4915804129855248</v>
      </c>
      <c r="I142" t="s">
        <v>79</v>
      </c>
    </row>
    <row r="143" spans="1:9" x14ac:dyDescent="0.35">
      <c r="A143" t="s">
        <v>75</v>
      </c>
      <c r="B143" t="s">
        <v>50</v>
      </c>
      <c r="C143" t="s">
        <v>40</v>
      </c>
      <c r="D143">
        <v>2017</v>
      </c>
      <c r="E143">
        <v>1.33546021526687</v>
      </c>
      <c r="F143">
        <v>1.6777714333363121</v>
      </c>
      <c r="G143">
        <f t="shared" si="2"/>
        <v>0.34231121806944209</v>
      </c>
      <c r="H143">
        <v>0.4915804129855248</v>
      </c>
      <c r="I143" t="s">
        <v>79</v>
      </c>
    </row>
    <row r="144" spans="1:9" x14ac:dyDescent="0.35">
      <c r="A144" t="s">
        <v>75</v>
      </c>
      <c r="B144" t="s">
        <v>51</v>
      </c>
      <c r="C144" t="s">
        <v>38</v>
      </c>
      <c r="D144">
        <v>2017</v>
      </c>
      <c r="E144">
        <v>1.454734323287576</v>
      </c>
      <c r="F144">
        <v>1.6777714333363121</v>
      </c>
      <c r="G144">
        <f t="shared" si="2"/>
        <v>0.22303711004873605</v>
      </c>
      <c r="H144">
        <v>0.4915804129855248</v>
      </c>
      <c r="I144" t="s">
        <v>79</v>
      </c>
    </row>
    <row r="145" spans="1:9" x14ac:dyDescent="0.35">
      <c r="A145" t="s">
        <v>75</v>
      </c>
      <c r="B145" t="s">
        <v>52</v>
      </c>
      <c r="C145" t="s">
        <v>40</v>
      </c>
      <c r="D145">
        <v>2017</v>
      </c>
      <c r="E145">
        <v>0.92886361941262319</v>
      </c>
      <c r="F145">
        <v>1.6777714333363121</v>
      </c>
      <c r="G145">
        <f t="shared" si="2"/>
        <v>0.74890781392368888</v>
      </c>
      <c r="H145">
        <v>0.4915804129855248</v>
      </c>
      <c r="I145" t="s">
        <v>79</v>
      </c>
    </row>
    <row r="146" spans="1:9" x14ac:dyDescent="0.35">
      <c r="A146" t="s">
        <v>77</v>
      </c>
      <c r="B146" t="s">
        <v>49</v>
      </c>
      <c r="C146" t="s">
        <v>38</v>
      </c>
      <c r="D146">
        <v>2017</v>
      </c>
      <c r="E146">
        <v>1.2443844685501531</v>
      </c>
      <c r="F146">
        <v>3.260896558994415</v>
      </c>
      <c r="G146">
        <f t="shared" si="2"/>
        <v>2.0165120904442619</v>
      </c>
      <c r="H146">
        <v>0.69181063344816107</v>
      </c>
      <c r="I146" t="s">
        <v>79</v>
      </c>
    </row>
    <row r="147" spans="1:9" x14ac:dyDescent="0.35">
      <c r="A147" t="s">
        <v>77</v>
      </c>
      <c r="B147" t="s">
        <v>50</v>
      </c>
      <c r="C147" t="s">
        <v>40</v>
      </c>
      <c r="D147">
        <v>2017</v>
      </c>
      <c r="E147">
        <v>1.7439816750679069</v>
      </c>
      <c r="F147">
        <v>3.260896558994415</v>
      </c>
      <c r="G147">
        <f t="shared" si="2"/>
        <v>1.5169148839265081</v>
      </c>
      <c r="H147">
        <v>0.69181063344816107</v>
      </c>
      <c r="I147" t="s">
        <v>79</v>
      </c>
    </row>
    <row r="148" spans="1:9" x14ac:dyDescent="0.35">
      <c r="A148" t="s">
        <v>77</v>
      </c>
      <c r="B148" t="s">
        <v>51</v>
      </c>
      <c r="C148" t="s">
        <v>38</v>
      </c>
      <c r="D148">
        <v>2017</v>
      </c>
      <c r="E148">
        <v>2.6293844522458749</v>
      </c>
      <c r="F148">
        <v>3.260896558994415</v>
      </c>
      <c r="G148">
        <f t="shared" si="2"/>
        <v>0.63151210674854008</v>
      </c>
      <c r="H148">
        <v>0.69181063344816107</v>
      </c>
      <c r="I148" t="s">
        <v>79</v>
      </c>
    </row>
    <row r="149" spans="1:9" x14ac:dyDescent="0.35">
      <c r="A149" t="s">
        <v>77</v>
      </c>
      <c r="B149" t="s">
        <v>52</v>
      </c>
      <c r="C149" t="s">
        <v>40</v>
      </c>
      <c r="D149">
        <v>2017</v>
      </c>
      <c r="E149">
        <v>1.838683940143615</v>
      </c>
      <c r="F149">
        <v>3.260896558994415</v>
      </c>
      <c r="G149">
        <f t="shared" si="2"/>
        <v>1.4222126188508</v>
      </c>
      <c r="H149">
        <v>0.69181063344816107</v>
      </c>
      <c r="I149" t="s">
        <v>79</v>
      </c>
    </row>
    <row r="150" spans="1:9" x14ac:dyDescent="0.35">
      <c r="A150" t="s">
        <v>68</v>
      </c>
      <c r="B150" t="s">
        <v>51</v>
      </c>
      <c r="C150" t="s">
        <v>38</v>
      </c>
      <c r="D150">
        <v>2018</v>
      </c>
      <c r="E150">
        <v>2.1207866853858448</v>
      </c>
      <c r="F150">
        <v>1.2673227814059229</v>
      </c>
      <c r="G150">
        <f t="shared" si="2"/>
        <v>-0.85346390397992189</v>
      </c>
      <c r="H150">
        <v>0.63417632525182588</v>
      </c>
      <c r="I150" t="s">
        <v>79</v>
      </c>
    </row>
    <row r="151" spans="1:9" x14ac:dyDescent="0.35">
      <c r="A151" t="s">
        <v>68</v>
      </c>
      <c r="B151" t="s">
        <v>52</v>
      </c>
      <c r="C151" t="s">
        <v>40</v>
      </c>
      <c r="D151">
        <v>2018</v>
      </c>
      <c r="E151">
        <v>1.853976950650349</v>
      </c>
      <c r="F151">
        <v>1.2673227814059229</v>
      </c>
      <c r="G151">
        <f t="shared" si="2"/>
        <v>-0.58665416924442604</v>
      </c>
      <c r="H151">
        <v>0.63417632525182588</v>
      </c>
      <c r="I151" t="s">
        <v>79</v>
      </c>
    </row>
    <row r="152" spans="1:9" x14ac:dyDescent="0.35">
      <c r="A152" t="s">
        <v>68</v>
      </c>
      <c r="B152" t="s">
        <v>53</v>
      </c>
      <c r="C152" t="s">
        <v>38</v>
      </c>
      <c r="D152">
        <v>2018</v>
      </c>
      <c r="E152">
        <v>1.7181609113874341</v>
      </c>
      <c r="F152">
        <v>1.2673227814059229</v>
      </c>
      <c r="G152">
        <f t="shared" si="2"/>
        <v>-0.45083812998151118</v>
      </c>
      <c r="H152">
        <v>0.63417632525182588</v>
      </c>
      <c r="I152" t="s">
        <v>79</v>
      </c>
    </row>
    <row r="153" spans="1:9" x14ac:dyDescent="0.35">
      <c r="A153" t="s">
        <v>68</v>
      </c>
      <c r="B153" t="s">
        <v>54</v>
      </c>
      <c r="C153" t="s">
        <v>40</v>
      </c>
      <c r="D153">
        <v>2018</v>
      </c>
      <c r="E153">
        <v>2.3062043523037761</v>
      </c>
      <c r="F153">
        <v>1.2673227814059229</v>
      </c>
      <c r="G153">
        <f t="shared" si="2"/>
        <v>-1.0388815708978532</v>
      </c>
      <c r="H153">
        <v>0.63417632525182588</v>
      </c>
      <c r="I153" t="s">
        <v>79</v>
      </c>
    </row>
    <row r="154" spans="1:9" x14ac:dyDescent="0.35">
      <c r="A154" t="s">
        <v>69</v>
      </c>
      <c r="B154" t="s">
        <v>51</v>
      </c>
      <c r="C154" t="s">
        <v>38</v>
      </c>
      <c r="D154">
        <v>2018</v>
      </c>
      <c r="E154">
        <v>2.5372488700963869</v>
      </c>
      <c r="F154">
        <v>2.367158610415725</v>
      </c>
      <c r="G154">
        <f t="shared" si="2"/>
        <v>-0.17009025968066194</v>
      </c>
      <c r="H154">
        <v>0.54937504833741979</v>
      </c>
      <c r="I154" t="s">
        <v>79</v>
      </c>
    </row>
    <row r="155" spans="1:9" x14ac:dyDescent="0.35">
      <c r="A155" t="s">
        <v>69</v>
      </c>
      <c r="B155" t="s">
        <v>52</v>
      </c>
      <c r="C155" t="s">
        <v>40</v>
      </c>
      <c r="D155">
        <v>2018</v>
      </c>
      <c r="E155">
        <v>2.3641938543665701</v>
      </c>
      <c r="F155">
        <v>2.367158610415725</v>
      </c>
      <c r="G155">
        <f t="shared" si="2"/>
        <v>2.9647560491548042E-3</v>
      </c>
      <c r="H155">
        <v>0.54937504833741979</v>
      </c>
      <c r="I155" t="s">
        <v>79</v>
      </c>
    </row>
    <row r="156" spans="1:9" x14ac:dyDescent="0.35">
      <c r="A156" t="s">
        <v>69</v>
      </c>
      <c r="B156" t="s">
        <v>53</v>
      </c>
      <c r="C156" t="s">
        <v>38</v>
      </c>
      <c r="D156">
        <v>2018</v>
      </c>
      <c r="E156">
        <v>2.5579730614092582</v>
      </c>
      <c r="F156">
        <v>2.367158610415725</v>
      </c>
      <c r="G156">
        <f t="shared" si="2"/>
        <v>-0.19081445099353322</v>
      </c>
      <c r="H156">
        <v>0.54937504833741979</v>
      </c>
      <c r="I156" t="s">
        <v>79</v>
      </c>
    </row>
    <row r="157" spans="1:9" x14ac:dyDescent="0.35">
      <c r="A157" t="s">
        <v>69</v>
      </c>
      <c r="B157" t="s">
        <v>54</v>
      </c>
      <c r="C157" t="s">
        <v>40</v>
      </c>
      <c r="D157">
        <v>2018</v>
      </c>
      <c r="E157">
        <v>2.8513007726971522</v>
      </c>
      <c r="F157">
        <v>2.367158610415725</v>
      </c>
      <c r="G157">
        <f t="shared" si="2"/>
        <v>-0.48414216228142726</v>
      </c>
      <c r="H157">
        <v>0.54937504833741979</v>
      </c>
      <c r="I157" t="s">
        <v>79</v>
      </c>
    </row>
    <row r="158" spans="1:9" x14ac:dyDescent="0.35">
      <c r="A158" t="s">
        <v>70</v>
      </c>
      <c r="B158" t="s">
        <v>51</v>
      </c>
      <c r="C158" t="s">
        <v>38</v>
      </c>
      <c r="D158">
        <v>2018</v>
      </c>
      <c r="E158">
        <v>2.6543445907794232</v>
      </c>
      <c r="F158">
        <v>1.1858569030435471</v>
      </c>
      <c r="G158">
        <f t="shared" si="2"/>
        <v>-1.4684876877358761</v>
      </c>
      <c r="H158">
        <v>0.33002959137272642</v>
      </c>
      <c r="I158" t="s">
        <v>79</v>
      </c>
    </row>
    <row r="159" spans="1:9" x14ac:dyDescent="0.35">
      <c r="A159" t="s">
        <v>70</v>
      </c>
      <c r="B159" t="s">
        <v>52</v>
      </c>
      <c r="C159" t="s">
        <v>40</v>
      </c>
      <c r="D159">
        <v>2018</v>
      </c>
      <c r="E159">
        <v>1.745345139008192</v>
      </c>
      <c r="F159">
        <v>1.1858569030435471</v>
      </c>
      <c r="G159">
        <f t="shared" si="2"/>
        <v>-0.55948823596464492</v>
      </c>
      <c r="H159">
        <v>0.33002959137272642</v>
      </c>
      <c r="I159" t="s">
        <v>79</v>
      </c>
    </row>
    <row r="160" spans="1:9" x14ac:dyDescent="0.35">
      <c r="A160" t="s">
        <v>70</v>
      </c>
      <c r="B160" t="s">
        <v>53</v>
      </c>
      <c r="C160" t="s">
        <v>38</v>
      </c>
      <c r="D160">
        <v>2018</v>
      </c>
      <c r="E160">
        <v>2.8893530093298199</v>
      </c>
      <c r="F160">
        <v>1.1858569030435471</v>
      </c>
      <c r="G160">
        <f t="shared" si="2"/>
        <v>-1.7034961062862728</v>
      </c>
      <c r="H160">
        <v>0.33002959137272642</v>
      </c>
      <c r="I160" t="s">
        <v>79</v>
      </c>
    </row>
    <row r="161" spans="1:9" x14ac:dyDescent="0.35">
      <c r="A161" t="s">
        <v>70</v>
      </c>
      <c r="B161" t="s">
        <v>54</v>
      </c>
      <c r="C161" t="s">
        <v>40</v>
      </c>
      <c r="D161">
        <v>2018</v>
      </c>
      <c r="E161">
        <v>2.519865182310288</v>
      </c>
      <c r="F161">
        <v>1.1858569030435471</v>
      </c>
      <c r="G161">
        <f t="shared" si="2"/>
        <v>-1.3340082792667409</v>
      </c>
      <c r="H161">
        <v>0.33002959137272642</v>
      </c>
      <c r="I161" t="s">
        <v>79</v>
      </c>
    </row>
    <row r="162" spans="1:9" x14ac:dyDescent="0.35">
      <c r="A162" t="s">
        <v>73</v>
      </c>
      <c r="B162" t="s">
        <v>51</v>
      </c>
      <c r="C162" t="s">
        <v>38</v>
      </c>
      <c r="D162">
        <v>2018</v>
      </c>
      <c r="E162">
        <v>1.745757461080699</v>
      </c>
      <c r="F162">
        <v>1.5720137685547519</v>
      </c>
      <c r="G162">
        <f t="shared" si="2"/>
        <v>-0.17374369252594701</v>
      </c>
      <c r="H162">
        <v>0.5622454958802221</v>
      </c>
      <c r="I162" t="s">
        <v>79</v>
      </c>
    </row>
    <row r="163" spans="1:9" x14ac:dyDescent="0.35">
      <c r="A163" t="s">
        <v>73</v>
      </c>
      <c r="B163" t="s">
        <v>52</v>
      </c>
      <c r="C163" t="s">
        <v>40</v>
      </c>
      <c r="D163">
        <v>2018</v>
      </c>
      <c r="E163">
        <v>1.72584962487905</v>
      </c>
      <c r="F163">
        <v>1.5720137685547519</v>
      </c>
      <c r="G163">
        <f t="shared" si="2"/>
        <v>-0.15383585632429808</v>
      </c>
      <c r="H163">
        <v>0.5622454958802221</v>
      </c>
      <c r="I163" t="s">
        <v>79</v>
      </c>
    </row>
    <row r="164" spans="1:9" x14ac:dyDescent="0.35">
      <c r="A164" t="s">
        <v>73</v>
      </c>
      <c r="B164" t="s">
        <v>53</v>
      </c>
      <c r="C164" t="s">
        <v>38</v>
      </c>
      <c r="D164">
        <v>2018</v>
      </c>
      <c r="E164">
        <v>1.6664324661772369</v>
      </c>
      <c r="F164">
        <v>1.5720137685547519</v>
      </c>
      <c r="G164">
        <f t="shared" si="2"/>
        <v>-9.4418697622485004E-2</v>
      </c>
      <c r="H164">
        <v>0.5622454958802221</v>
      </c>
      <c r="I164" t="s">
        <v>79</v>
      </c>
    </row>
    <row r="165" spans="1:9" x14ac:dyDescent="0.35">
      <c r="A165" t="s">
        <v>73</v>
      </c>
      <c r="B165" t="s">
        <v>54</v>
      </c>
      <c r="C165" t="s">
        <v>40</v>
      </c>
      <c r="D165">
        <v>2018</v>
      </c>
      <c r="E165">
        <v>1.989603282667241</v>
      </c>
      <c r="F165">
        <v>1.5720137685547519</v>
      </c>
      <c r="G165">
        <f t="shared" si="2"/>
        <v>-0.41758951411248901</v>
      </c>
      <c r="H165">
        <v>0.5622454958802221</v>
      </c>
      <c r="I165" t="s">
        <v>79</v>
      </c>
    </row>
    <row r="166" spans="1:9" x14ac:dyDescent="0.35">
      <c r="A166" t="s">
        <v>74</v>
      </c>
      <c r="B166" t="s">
        <v>51</v>
      </c>
      <c r="C166" t="s">
        <v>38</v>
      </c>
      <c r="D166">
        <v>2018</v>
      </c>
      <c r="E166">
        <v>3.9055452515839528</v>
      </c>
      <c r="F166">
        <v>7.4446874521163222</v>
      </c>
      <c r="G166">
        <f t="shared" si="2"/>
        <v>3.5391422005323694</v>
      </c>
      <c r="H166">
        <v>0.34414813760761909</v>
      </c>
      <c r="I166" t="s">
        <v>79</v>
      </c>
    </row>
    <row r="167" spans="1:9" x14ac:dyDescent="0.35">
      <c r="A167" t="s">
        <v>74</v>
      </c>
      <c r="B167" t="s">
        <v>52</v>
      </c>
      <c r="C167" t="s">
        <v>40</v>
      </c>
      <c r="D167">
        <v>2018</v>
      </c>
      <c r="E167">
        <v>3.6432271266646499</v>
      </c>
      <c r="F167">
        <v>7.4446874521163222</v>
      </c>
      <c r="G167">
        <f t="shared" si="2"/>
        <v>3.8014603254516723</v>
      </c>
      <c r="H167">
        <v>0.34414813760761909</v>
      </c>
      <c r="I167" t="s">
        <v>79</v>
      </c>
    </row>
    <row r="168" spans="1:9" x14ac:dyDescent="0.35">
      <c r="A168" t="s">
        <v>74</v>
      </c>
      <c r="B168" t="s">
        <v>53</v>
      </c>
      <c r="C168" t="s">
        <v>38</v>
      </c>
      <c r="D168">
        <v>2018</v>
      </c>
      <c r="E168">
        <v>7.8117760082768486</v>
      </c>
      <c r="F168">
        <v>7.4446874521163222</v>
      </c>
      <c r="G168">
        <f t="shared" si="2"/>
        <v>-0.36708855616052638</v>
      </c>
      <c r="H168">
        <v>0.34414813760761909</v>
      </c>
      <c r="I168" t="s">
        <v>79</v>
      </c>
    </row>
    <row r="169" spans="1:9" x14ac:dyDescent="0.35">
      <c r="A169" t="s">
        <v>74</v>
      </c>
      <c r="B169" t="s">
        <v>54</v>
      </c>
      <c r="C169" t="s">
        <v>40</v>
      </c>
      <c r="D169">
        <v>2018</v>
      </c>
      <c r="E169">
        <v>5.6808928025538163</v>
      </c>
      <c r="F169">
        <v>7.4446874521163222</v>
      </c>
      <c r="G169">
        <f t="shared" si="2"/>
        <v>1.7637946495625059</v>
      </c>
      <c r="H169">
        <v>0.34414813760761909</v>
      </c>
      <c r="I169" t="s">
        <v>79</v>
      </c>
    </row>
    <row r="170" spans="1:9" x14ac:dyDescent="0.35">
      <c r="A170" t="s">
        <v>75</v>
      </c>
      <c r="B170" t="s">
        <v>51</v>
      </c>
      <c r="C170" t="s">
        <v>38</v>
      </c>
      <c r="D170">
        <v>2018</v>
      </c>
      <c r="E170">
        <v>1.301033595779133</v>
      </c>
      <c r="F170">
        <v>0.67915616097696463</v>
      </c>
      <c r="G170">
        <f t="shared" si="2"/>
        <v>-0.62187743480216839</v>
      </c>
      <c r="H170">
        <v>0.58027035190863618</v>
      </c>
      <c r="I170" t="s">
        <v>79</v>
      </c>
    </row>
    <row r="171" spans="1:9" x14ac:dyDescent="0.35">
      <c r="A171" t="s">
        <v>75</v>
      </c>
      <c r="B171" t="s">
        <v>52</v>
      </c>
      <c r="C171" t="s">
        <v>40</v>
      </c>
      <c r="D171">
        <v>2018</v>
      </c>
      <c r="E171">
        <v>1.1322194305175119</v>
      </c>
      <c r="F171">
        <v>0.67915616097696463</v>
      </c>
      <c r="G171">
        <f t="shared" si="2"/>
        <v>-0.45306326954054732</v>
      </c>
      <c r="H171">
        <v>0.58027035190863618</v>
      </c>
      <c r="I171" t="s">
        <v>79</v>
      </c>
    </row>
    <row r="172" spans="1:9" x14ac:dyDescent="0.35">
      <c r="A172" t="s">
        <v>75</v>
      </c>
      <c r="B172" t="s">
        <v>53</v>
      </c>
      <c r="C172" t="s">
        <v>38</v>
      </c>
      <c r="D172">
        <v>2018</v>
      </c>
      <c r="E172">
        <v>1.148974792689472</v>
      </c>
      <c r="F172">
        <v>0.67915616097696463</v>
      </c>
      <c r="G172">
        <f t="shared" si="2"/>
        <v>-0.46981863171250737</v>
      </c>
      <c r="H172">
        <v>0.58027035190863618</v>
      </c>
      <c r="I172" t="s">
        <v>79</v>
      </c>
    </row>
    <row r="173" spans="1:9" x14ac:dyDescent="0.35">
      <c r="A173" t="s">
        <v>75</v>
      </c>
      <c r="B173" t="s">
        <v>54</v>
      </c>
      <c r="C173" t="s">
        <v>40</v>
      </c>
      <c r="D173">
        <v>2018</v>
      </c>
      <c r="E173">
        <v>1.453547985332837</v>
      </c>
      <c r="F173">
        <v>0.67915616097696463</v>
      </c>
      <c r="G173">
        <f t="shared" si="2"/>
        <v>-0.77439182435587239</v>
      </c>
      <c r="H173">
        <v>0.58027035190863618</v>
      </c>
      <c r="I173" t="s">
        <v>79</v>
      </c>
    </row>
    <row r="174" spans="1:9" x14ac:dyDescent="0.35">
      <c r="A174" t="s">
        <v>76</v>
      </c>
      <c r="B174" t="s">
        <v>51</v>
      </c>
      <c r="C174" t="s">
        <v>38</v>
      </c>
      <c r="D174">
        <v>2018</v>
      </c>
      <c r="E174">
        <v>2.719855882122268</v>
      </c>
      <c r="F174">
        <v>2.2276489335745251</v>
      </c>
      <c r="G174">
        <f t="shared" si="2"/>
        <v>-0.49220694854774294</v>
      </c>
      <c r="H174">
        <v>0.59845318384970081</v>
      </c>
      <c r="I174" t="s">
        <v>79</v>
      </c>
    </row>
    <row r="175" spans="1:9" x14ac:dyDescent="0.35">
      <c r="A175" t="s">
        <v>76</v>
      </c>
      <c r="B175" t="s">
        <v>52</v>
      </c>
      <c r="C175" t="s">
        <v>40</v>
      </c>
      <c r="D175">
        <v>2018</v>
      </c>
      <c r="E175">
        <v>1.81696463155987</v>
      </c>
      <c r="F175">
        <v>2.2276489335745251</v>
      </c>
      <c r="G175">
        <f t="shared" si="2"/>
        <v>0.41068430201465511</v>
      </c>
      <c r="H175">
        <v>0.59845318384970081</v>
      </c>
      <c r="I175" t="s">
        <v>79</v>
      </c>
    </row>
    <row r="176" spans="1:9" x14ac:dyDescent="0.35">
      <c r="A176" t="s">
        <v>76</v>
      </c>
      <c r="B176" t="s">
        <v>53</v>
      </c>
      <c r="C176" t="s">
        <v>38</v>
      </c>
      <c r="D176">
        <v>2018</v>
      </c>
      <c r="E176">
        <v>2.836804692292016</v>
      </c>
      <c r="F176">
        <v>2.2276489335745251</v>
      </c>
      <c r="G176">
        <f t="shared" si="2"/>
        <v>-0.60915575871749095</v>
      </c>
      <c r="H176">
        <v>0.59845318384970081</v>
      </c>
      <c r="I176" t="s">
        <v>79</v>
      </c>
    </row>
    <row r="177" spans="1:9" x14ac:dyDescent="0.35">
      <c r="A177" t="s">
        <v>76</v>
      </c>
      <c r="B177" t="s">
        <v>54</v>
      </c>
      <c r="C177" t="s">
        <v>40</v>
      </c>
      <c r="D177">
        <v>2018</v>
      </c>
      <c r="E177">
        <v>2.9504045313044398</v>
      </c>
      <c r="F177">
        <v>2.2276489335745251</v>
      </c>
      <c r="G177">
        <f t="shared" si="2"/>
        <v>-0.72275559772991471</v>
      </c>
      <c r="H177">
        <v>0.59845318384970081</v>
      </c>
      <c r="I177" t="s">
        <v>79</v>
      </c>
    </row>
    <row r="178" spans="1:9" x14ac:dyDescent="0.35">
      <c r="A178" t="s">
        <v>77</v>
      </c>
      <c r="B178" t="s">
        <v>51</v>
      </c>
      <c r="C178" t="s">
        <v>38</v>
      </c>
      <c r="D178">
        <v>2018</v>
      </c>
      <c r="E178">
        <v>2.0625112156605669</v>
      </c>
      <c r="F178">
        <v>2.903725267458769</v>
      </c>
      <c r="G178">
        <f t="shared" si="2"/>
        <v>0.84121405179820208</v>
      </c>
      <c r="H178">
        <v>0.57431309132740549</v>
      </c>
      <c r="I178" t="s">
        <v>79</v>
      </c>
    </row>
    <row r="179" spans="1:9" x14ac:dyDescent="0.35">
      <c r="A179" t="s">
        <v>77</v>
      </c>
      <c r="B179" t="s">
        <v>52</v>
      </c>
      <c r="C179" t="s">
        <v>40</v>
      </c>
      <c r="D179">
        <v>2018</v>
      </c>
      <c r="E179">
        <v>1.5677461936429939</v>
      </c>
      <c r="F179">
        <v>2.903725267458769</v>
      </c>
      <c r="G179">
        <f t="shared" si="2"/>
        <v>1.3359790738157751</v>
      </c>
      <c r="H179">
        <v>0.57431309132740549</v>
      </c>
      <c r="I179" t="s">
        <v>79</v>
      </c>
    </row>
    <row r="180" spans="1:9" x14ac:dyDescent="0.35">
      <c r="A180" t="s">
        <v>77</v>
      </c>
      <c r="B180" t="s">
        <v>53</v>
      </c>
      <c r="C180" t="s">
        <v>38</v>
      </c>
      <c r="D180">
        <v>2018</v>
      </c>
      <c r="E180">
        <v>2.1672748154352162</v>
      </c>
      <c r="F180">
        <v>2.903725267458769</v>
      </c>
      <c r="G180">
        <f t="shared" si="2"/>
        <v>0.73645045202355286</v>
      </c>
      <c r="H180">
        <v>0.57431309132740549</v>
      </c>
      <c r="I180" t="s">
        <v>79</v>
      </c>
    </row>
    <row r="181" spans="1:9" x14ac:dyDescent="0.35">
      <c r="A181" t="s">
        <v>77</v>
      </c>
      <c r="B181" t="s">
        <v>54</v>
      </c>
      <c r="C181" t="s">
        <v>40</v>
      </c>
      <c r="D181">
        <v>2018</v>
      </c>
      <c r="E181">
        <v>2.3337380052623979</v>
      </c>
      <c r="F181">
        <v>2.903725267458769</v>
      </c>
      <c r="G181">
        <f t="shared" si="2"/>
        <v>0.56998726219637108</v>
      </c>
      <c r="H181">
        <v>0.57431309132740549</v>
      </c>
      <c r="I181" t="s">
        <v>79</v>
      </c>
    </row>
    <row r="182" spans="1:9" x14ac:dyDescent="0.35">
      <c r="A182" t="s">
        <v>69</v>
      </c>
      <c r="B182" t="s">
        <v>59</v>
      </c>
      <c r="C182" t="s">
        <v>38</v>
      </c>
      <c r="D182">
        <v>2022</v>
      </c>
      <c r="E182">
        <v>5.5278236152833893</v>
      </c>
      <c r="F182">
        <v>6.1757125573772758</v>
      </c>
      <c r="G182">
        <f t="shared" si="2"/>
        <v>0.64788894209388648</v>
      </c>
      <c r="H182">
        <v>0.59190560042782348</v>
      </c>
      <c r="I182" t="s">
        <v>79</v>
      </c>
    </row>
    <row r="183" spans="1:9" x14ac:dyDescent="0.35">
      <c r="A183" t="s">
        <v>69</v>
      </c>
      <c r="B183" t="s">
        <v>60</v>
      </c>
      <c r="C183" t="s">
        <v>40</v>
      </c>
      <c r="D183">
        <v>2022</v>
      </c>
      <c r="E183">
        <v>6.7779918001151573</v>
      </c>
      <c r="F183">
        <v>6.1757125573772758</v>
      </c>
      <c r="G183">
        <f t="shared" si="2"/>
        <v>-0.60227924273788158</v>
      </c>
      <c r="H183">
        <v>0.59190560042782348</v>
      </c>
      <c r="I183" t="s">
        <v>79</v>
      </c>
    </row>
    <row r="184" spans="1:9" x14ac:dyDescent="0.35">
      <c r="A184" t="s">
        <v>69</v>
      </c>
      <c r="B184" t="s">
        <v>61</v>
      </c>
      <c r="C184" t="s">
        <v>38</v>
      </c>
      <c r="D184">
        <v>2022</v>
      </c>
      <c r="E184">
        <v>4.547669246739372</v>
      </c>
      <c r="F184">
        <v>6.1757125573772758</v>
      </c>
      <c r="G184">
        <f t="shared" si="2"/>
        <v>1.6280433106379038</v>
      </c>
      <c r="H184">
        <v>0.59190560042782348</v>
      </c>
      <c r="I184" t="s">
        <v>79</v>
      </c>
    </row>
    <row r="185" spans="1:9" x14ac:dyDescent="0.35">
      <c r="A185" t="s">
        <v>69</v>
      </c>
      <c r="B185" t="s">
        <v>62</v>
      </c>
      <c r="C185" t="s">
        <v>40</v>
      </c>
      <c r="D185">
        <v>2022</v>
      </c>
      <c r="E185">
        <v>4.0260894815609127</v>
      </c>
      <c r="F185">
        <v>6.1757125573772758</v>
      </c>
      <c r="G185">
        <f t="shared" si="2"/>
        <v>2.149623075816363</v>
      </c>
      <c r="H185">
        <v>0.59190560042782348</v>
      </c>
      <c r="I185" t="s">
        <v>79</v>
      </c>
    </row>
    <row r="186" spans="1:9" x14ac:dyDescent="0.35">
      <c r="A186" t="s">
        <v>77</v>
      </c>
      <c r="B186" t="s">
        <v>59</v>
      </c>
      <c r="C186" t="s">
        <v>38</v>
      </c>
      <c r="D186">
        <v>2022</v>
      </c>
      <c r="E186">
        <v>5.3212657228810967</v>
      </c>
      <c r="F186">
        <v>6.7526124502433778</v>
      </c>
      <c r="G186">
        <f t="shared" si="2"/>
        <v>1.4313467273622811</v>
      </c>
      <c r="H186">
        <v>0.20372319717267059</v>
      </c>
      <c r="I186" t="s">
        <v>79</v>
      </c>
    </row>
    <row r="187" spans="1:9" x14ac:dyDescent="0.35">
      <c r="A187" t="s">
        <v>77</v>
      </c>
      <c r="B187" t="s">
        <v>60</v>
      </c>
      <c r="C187" t="s">
        <v>40</v>
      </c>
      <c r="D187">
        <v>2022</v>
      </c>
      <c r="E187">
        <v>5.0988792351265078</v>
      </c>
      <c r="F187">
        <v>6.7526124502433778</v>
      </c>
      <c r="G187">
        <f t="shared" si="2"/>
        <v>1.65373321511687</v>
      </c>
      <c r="H187">
        <v>0.20372319717267059</v>
      </c>
      <c r="I187" t="s">
        <v>79</v>
      </c>
    </row>
    <row r="188" spans="1:9" x14ac:dyDescent="0.35">
      <c r="A188" t="s">
        <v>77</v>
      </c>
      <c r="B188" t="s">
        <v>61</v>
      </c>
      <c r="C188" t="s">
        <v>38</v>
      </c>
      <c r="D188">
        <v>2022</v>
      </c>
      <c r="E188">
        <v>6.5861251608809734</v>
      </c>
      <c r="F188">
        <v>6.7526124502433778</v>
      </c>
      <c r="G188">
        <f t="shared" si="2"/>
        <v>0.16648728936240431</v>
      </c>
      <c r="H188">
        <v>0.20372319717267059</v>
      </c>
      <c r="I188" t="s">
        <v>79</v>
      </c>
    </row>
    <row r="189" spans="1:9" x14ac:dyDescent="0.35">
      <c r="A189" t="s">
        <v>77</v>
      </c>
      <c r="B189" t="s">
        <v>62</v>
      </c>
      <c r="C189" t="s">
        <v>40</v>
      </c>
      <c r="D189">
        <v>2022</v>
      </c>
      <c r="E189">
        <v>5.8054687081874778</v>
      </c>
      <c r="F189">
        <v>6.7526124502433778</v>
      </c>
      <c r="G189">
        <f t="shared" si="2"/>
        <v>0.94714374205589991</v>
      </c>
      <c r="H189">
        <v>0.20372319717267059</v>
      </c>
      <c r="I189" t="s">
        <v>79</v>
      </c>
    </row>
    <row r="190" spans="1:9" x14ac:dyDescent="0.35">
      <c r="A190" t="s">
        <v>70</v>
      </c>
      <c r="B190" t="s">
        <v>61</v>
      </c>
      <c r="C190" t="s">
        <v>38</v>
      </c>
      <c r="D190">
        <v>2023</v>
      </c>
      <c r="E190">
        <v>0.23998786112824361</v>
      </c>
      <c r="F190">
        <v>-1.2980054053073831</v>
      </c>
      <c r="G190">
        <f t="shared" si="2"/>
        <v>-1.5379932664356266</v>
      </c>
      <c r="H190">
        <v>0.58353512654831619</v>
      </c>
      <c r="I190" t="s">
        <v>79</v>
      </c>
    </row>
    <row r="191" spans="1:9" x14ac:dyDescent="0.35">
      <c r="A191" t="s">
        <v>70</v>
      </c>
      <c r="B191" t="s">
        <v>62</v>
      </c>
      <c r="C191" t="s">
        <v>40</v>
      </c>
      <c r="D191">
        <v>2023</v>
      </c>
      <c r="E191">
        <v>1.664320363648697</v>
      </c>
      <c r="F191">
        <v>-1.2980054053073831</v>
      </c>
      <c r="G191">
        <f t="shared" si="2"/>
        <v>-2.96232576895608</v>
      </c>
      <c r="H191">
        <v>0.58353512654831619</v>
      </c>
      <c r="I191" t="s">
        <v>79</v>
      </c>
    </row>
    <row r="192" spans="1:9" x14ac:dyDescent="0.35">
      <c r="A192" t="s">
        <v>70</v>
      </c>
      <c r="B192" t="s">
        <v>63</v>
      </c>
      <c r="C192" t="s">
        <v>38</v>
      </c>
      <c r="D192">
        <v>2023</v>
      </c>
      <c r="E192">
        <v>0.13705974715647609</v>
      </c>
      <c r="F192">
        <v>-1.2980054053073831</v>
      </c>
      <c r="G192">
        <f t="shared" si="2"/>
        <v>-1.4350651524638591</v>
      </c>
      <c r="H192">
        <v>0.58353512654831619</v>
      </c>
      <c r="I192" t="s">
        <v>79</v>
      </c>
    </row>
    <row r="193" spans="1:9" x14ac:dyDescent="0.35">
      <c r="A193" t="s">
        <v>70</v>
      </c>
      <c r="B193" t="s">
        <v>64</v>
      </c>
      <c r="C193" t="s">
        <v>40</v>
      </c>
      <c r="D193">
        <v>2023</v>
      </c>
      <c r="E193">
        <v>0.1978909161836295</v>
      </c>
      <c r="F193">
        <v>-1.2980054053073831</v>
      </c>
      <c r="G193">
        <f t="shared" si="2"/>
        <v>-1.4958963214910126</v>
      </c>
      <c r="H193">
        <v>0.58353512654831619</v>
      </c>
      <c r="I193" t="s">
        <v>79</v>
      </c>
    </row>
    <row r="194" spans="1:9" x14ac:dyDescent="0.35">
      <c r="A194" t="s">
        <v>77</v>
      </c>
      <c r="B194" t="s">
        <v>61</v>
      </c>
      <c r="C194" t="s">
        <v>38</v>
      </c>
      <c r="D194">
        <v>2023</v>
      </c>
      <c r="E194">
        <v>0.71696140778811923</v>
      </c>
      <c r="F194">
        <v>3.0529202104847739</v>
      </c>
      <c r="G194">
        <f t="shared" ref="G194:G257" si="3">IF(OR(F194="",E194=""),"",F194-E194)</f>
        <v>2.3359588026966547</v>
      </c>
      <c r="H194">
        <v>0.25055247475281461</v>
      </c>
      <c r="I194" t="s">
        <v>79</v>
      </c>
    </row>
    <row r="195" spans="1:9" x14ac:dyDescent="0.35">
      <c r="A195" t="s">
        <v>77</v>
      </c>
      <c r="B195" t="s">
        <v>62</v>
      </c>
      <c r="C195" t="s">
        <v>40</v>
      </c>
      <c r="D195">
        <v>2023</v>
      </c>
      <c r="E195">
        <v>2.6604918870074319</v>
      </c>
      <c r="F195">
        <v>3.0529202104847739</v>
      </c>
      <c r="G195">
        <f t="shared" si="3"/>
        <v>0.39242832347734202</v>
      </c>
      <c r="H195">
        <v>0.25055247475281461</v>
      </c>
      <c r="I195" t="s">
        <v>79</v>
      </c>
    </row>
    <row r="196" spans="1:9" x14ac:dyDescent="0.35">
      <c r="A196" t="s">
        <v>77</v>
      </c>
      <c r="B196" t="s">
        <v>63</v>
      </c>
      <c r="C196" t="s">
        <v>38</v>
      </c>
      <c r="D196">
        <v>2023</v>
      </c>
      <c r="E196">
        <v>2.226883105497079</v>
      </c>
      <c r="F196">
        <v>3.0529202104847739</v>
      </c>
      <c r="G196">
        <f t="shared" si="3"/>
        <v>0.82603710498769489</v>
      </c>
      <c r="H196">
        <v>0.25055247475281461</v>
      </c>
      <c r="I196" t="s">
        <v>79</v>
      </c>
    </row>
    <row r="197" spans="1:9" x14ac:dyDescent="0.35">
      <c r="A197" t="s">
        <v>77</v>
      </c>
      <c r="B197" t="s">
        <v>64</v>
      </c>
      <c r="C197" t="s">
        <v>40</v>
      </c>
      <c r="D197">
        <v>2023</v>
      </c>
      <c r="E197">
        <v>2.4387614512581202</v>
      </c>
      <c r="F197">
        <v>3.0529202104847739</v>
      </c>
      <c r="G197">
        <f t="shared" si="3"/>
        <v>0.61415875922665375</v>
      </c>
      <c r="H197">
        <v>0.25055247475281461</v>
      </c>
      <c r="I197" t="s">
        <v>79</v>
      </c>
    </row>
    <row r="198" spans="1:9" x14ac:dyDescent="0.35">
      <c r="A198" t="s">
        <v>36</v>
      </c>
      <c r="B198" t="s">
        <v>63</v>
      </c>
      <c r="C198" t="s">
        <v>38</v>
      </c>
      <c r="D198">
        <v>2024</v>
      </c>
      <c r="E198">
        <v>1.003014698305593</v>
      </c>
      <c r="F198">
        <v>-0.83360128885911988</v>
      </c>
      <c r="G198">
        <f t="shared" si="3"/>
        <v>-1.8366159871647127</v>
      </c>
      <c r="H198">
        <v>0.48385240401732688</v>
      </c>
      <c r="I198" t="s">
        <v>79</v>
      </c>
    </row>
    <row r="199" spans="1:9" x14ac:dyDescent="0.35">
      <c r="A199" t="s">
        <v>36</v>
      </c>
      <c r="B199" t="s">
        <v>64</v>
      </c>
      <c r="C199" t="s">
        <v>40</v>
      </c>
      <c r="D199">
        <v>2024</v>
      </c>
      <c r="E199">
        <v>1.612734355819456</v>
      </c>
      <c r="F199">
        <v>-0.83360128885911988</v>
      </c>
      <c r="G199">
        <f t="shared" si="3"/>
        <v>-2.4463356446785758</v>
      </c>
      <c r="H199">
        <v>0.48385240401732688</v>
      </c>
      <c r="I199" t="s">
        <v>79</v>
      </c>
    </row>
    <row r="200" spans="1:9" x14ac:dyDescent="0.35">
      <c r="A200" t="s">
        <v>36</v>
      </c>
      <c r="B200" t="s">
        <v>65</v>
      </c>
      <c r="C200" t="s">
        <v>38</v>
      </c>
      <c r="D200">
        <v>2024</v>
      </c>
      <c r="E200">
        <v>-0.62164843681992155</v>
      </c>
      <c r="F200">
        <v>-0.83360128885911988</v>
      </c>
      <c r="G200">
        <f t="shared" si="3"/>
        <v>-0.21195285203919834</v>
      </c>
      <c r="H200">
        <v>0.48385240401732688</v>
      </c>
      <c r="I200" t="s">
        <v>79</v>
      </c>
    </row>
    <row r="201" spans="1:9" x14ac:dyDescent="0.35">
      <c r="A201" t="s">
        <v>36</v>
      </c>
      <c r="B201" t="s">
        <v>66</v>
      </c>
      <c r="C201" t="s">
        <v>40</v>
      </c>
      <c r="D201">
        <v>2024</v>
      </c>
      <c r="E201">
        <v>0.29111977378135651</v>
      </c>
      <c r="F201">
        <v>-0.83360128885911988</v>
      </c>
      <c r="G201">
        <f t="shared" si="3"/>
        <v>-1.1247210626404764</v>
      </c>
      <c r="H201">
        <v>0.48385240401732688</v>
      </c>
      <c r="I201" t="s">
        <v>79</v>
      </c>
    </row>
    <row r="202" spans="1:9" x14ac:dyDescent="0.35">
      <c r="A202" t="s">
        <v>67</v>
      </c>
      <c r="B202" t="s">
        <v>63</v>
      </c>
      <c r="C202" t="s">
        <v>38</v>
      </c>
      <c r="D202">
        <v>2024</v>
      </c>
      <c r="E202">
        <v>1.366814397179428</v>
      </c>
      <c r="F202">
        <v>1.0917584184985489</v>
      </c>
      <c r="G202">
        <f t="shared" si="3"/>
        <v>-0.27505597868087905</v>
      </c>
      <c r="H202">
        <v>0.21859314049932341</v>
      </c>
      <c r="I202" t="s">
        <v>79</v>
      </c>
    </row>
    <row r="203" spans="1:9" x14ac:dyDescent="0.35">
      <c r="A203" t="s">
        <v>67</v>
      </c>
      <c r="B203" t="s">
        <v>64</v>
      </c>
      <c r="C203" t="s">
        <v>40</v>
      </c>
      <c r="D203">
        <v>2024</v>
      </c>
      <c r="E203">
        <v>1.3611844962323929</v>
      </c>
      <c r="F203">
        <v>1.0917584184985489</v>
      </c>
      <c r="G203">
        <f t="shared" si="3"/>
        <v>-0.26942607773384397</v>
      </c>
      <c r="H203">
        <v>0.21859314049932341</v>
      </c>
      <c r="I203" t="s">
        <v>79</v>
      </c>
    </row>
    <row r="204" spans="1:9" x14ac:dyDescent="0.35">
      <c r="A204" t="s">
        <v>67</v>
      </c>
      <c r="B204" t="s">
        <v>65</v>
      </c>
      <c r="C204" t="s">
        <v>38</v>
      </c>
      <c r="D204">
        <v>2024</v>
      </c>
      <c r="E204">
        <v>1.144309940913812</v>
      </c>
      <c r="F204">
        <v>1.0917584184985489</v>
      </c>
      <c r="G204">
        <f t="shared" si="3"/>
        <v>-5.2551522415263063E-2</v>
      </c>
      <c r="H204">
        <v>0.21859314049932341</v>
      </c>
      <c r="I204" t="s">
        <v>79</v>
      </c>
    </row>
    <row r="205" spans="1:9" x14ac:dyDescent="0.35">
      <c r="A205" t="s">
        <v>67</v>
      </c>
      <c r="B205" t="s">
        <v>66</v>
      </c>
      <c r="C205" t="s">
        <v>40</v>
      </c>
      <c r="D205">
        <v>2024</v>
      </c>
      <c r="E205">
        <v>1.2741731353000501</v>
      </c>
      <c r="F205">
        <v>1.0917584184985489</v>
      </c>
      <c r="G205">
        <f t="shared" si="3"/>
        <v>-0.18241471680150112</v>
      </c>
      <c r="H205">
        <v>0.21859314049932341</v>
      </c>
      <c r="I205" t="s">
        <v>79</v>
      </c>
    </row>
    <row r="206" spans="1:9" x14ac:dyDescent="0.35">
      <c r="A206" t="s">
        <v>69</v>
      </c>
      <c r="B206" t="s">
        <v>63</v>
      </c>
      <c r="C206" t="s">
        <v>38</v>
      </c>
      <c r="D206">
        <v>2024</v>
      </c>
      <c r="E206">
        <v>1.660542743130144</v>
      </c>
      <c r="F206">
        <v>3.3969031373447791</v>
      </c>
      <c r="G206">
        <f t="shared" si="3"/>
        <v>1.7363603942146351</v>
      </c>
      <c r="H206">
        <v>0.68485482665072694</v>
      </c>
      <c r="I206" t="s">
        <v>79</v>
      </c>
    </row>
    <row r="207" spans="1:9" x14ac:dyDescent="0.35">
      <c r="A207" t="s">
        <v>69</v>
      </c>
      <c r="B207" t="s">
        <v>64</v>
      </c>
      <c r="C207" t="s">
        <v>40</v>
      </c>
      <c r="D207">
        <v>2024</v>
      </c>
      <c r="E207">
        <v>1.9648768473316871</v>
      </c>
      <c r="F207">
        <v>3.3969031373447791</v>
      </c>
      <c r="G207">
        <f t="shared" si="3"/>
        <v>1.432026290013092</v>
      </c>
      <c r="H207">
        <v>0.68485482665072694</v>
      </c>
      <c r="I207" t="s">
        <v>79</v>
      </c>
    </row>
    <row r="208" spans="1:9" x14ac:dyDescent="0.35">
      <c r="A208" t="s">
        <v>69</v>
      </c>
      <c r="B208" t="s">
        <v>65</v>
      </c>
      <c r="C208" t="s">
        <v>38</v>
      </c>
      <c r="D208">
        <v>2024</v>
      </c>
      <c r="E208">
        <v>2.966936931003072</v>
      </c>
      <c r="F208">
        <v>3.3969031373447791</v>
      </c>
      <c r="G208">
        <f t="shared" si="3"/>
        <v>0.42996620634170712</v>
      </c>
      <c r="H208">
        <v>0.68485482665072694</v>
      </c>
      <c r="I208" t="s">
        <v>79</v>
      </c>
    </row>
    <row r="209" spans="1:9" x14ac:dyDescent="0.35">
      <c r="A209" t="s">
        <v>69</v>
      </c>
      <c r="B209" t="s">
        <v>66</v>
      </c>
      <c r="C209" t="s">
        <v>40</v>
      </c>
      <c r="D209">
        <v>2024</v>
      </c>
      <c r="E209">
        <v>2.1447304612078222</v>
      </c>
      <c r="F209">
        <v>3.3969031373447791</v>
      </c>
      <c r="G209">
        <f t="shared" si="3"/>
        <v>1.2521726761369569</v>
      </c>
      <c r="H209">
        <v>0.68485482665072694</v>
      </c>
      <c r="I209" t="s">
        <v>79</v>
      </c>
    </row>
    <row r="210" spans="1:9" x14ac:dyDescent="0.35">
      <c r="A210" t="s">
        <v>70</v>
      </c>
      <c r="B210" t="s">
        <v>63</v>
      </c>
      <c r="C210" t="s">
        <v>38</v>
      </c>
      <c r="D210">
        <v>2024</v>
      </c>
      <c r="E210">
        <v>0.82599219561030335</v>
      </c>
      <c r="F210">
        <v>0.8814466149882676</v>
      </c>
      <c r="G210">
        <f t="shared" si="3"/>
        <v>5.5454419377964248E-2</v>
      </c>
      <c r="H210">
        <v>0.19885093325215261</v>
      </c>
      <c r="I210" t="s">
        <v>79</v>
      </c>
    </row>
    <row r="211" spans="1:9" x14ac:dyDescent="0.35">
      <c r="A211" t="s">
        <v>70</v>
      </c>
      <c r="B211" t="s">
        <v>64</v>
      </c>
      <c r="C211" t="s">
        <v>40</v>
      </c>
      <c r="D211">
        <v>2024</v>
      </c>
      <c r="E211">
        <v>1.375433393552461</v>
      </c>
      <c r="F211">
        <v>0.8814466149882676</v>
      </c>
      <c r="G211">
        <f t="shared" si="3"/>
        <v>-0.49398677856419337</v>
      </c>
      <c r="H211">
        <v>0.19885093325215261</v>
      </c>
      <c r="I211" t="s">
        <v>79</v>
      </c>
    </row>
    <row r="212" spans="1:9" x14ac:dyDescent="0.35">
      <c r="A212" t="s">
        <v>70</v>
      </c>
      <c r="B212" t="s">
        <v>65</v>
      </c>
      <c r="C212" t="s">
        <v>38</v>
      </c>
      <c r="D212">
        <v>2024</v>
      </c>
      <c r="E212">
        <v>-0.27816035844419051</v>
      </c>
      <c r="F212">
        <v>0.8814466149882676</v>
      </c>
      <c r="G212">
        <f t="shared" si="3"/>
        <v>1.1596069734324581</v>
      </c>
      <c r="H212">
        <v>0.19885093325215261</v>
      </c>
      <c r="I212" t="s">
        <v>79</v>
      </c>
    </row>
    <row r="213" spans="1:9" x14ac:dyDescent="0.35">
      <c r="A213" t="s">
        <v>70</v>
      </c>
      <c r="B213" t="s">
        <v>66</v>
      </c>
      <c r="C213" t="s">
        <v>40</v>
      </c>
      <c r="D213">
        <v>2024</v>
      </c>
      <c r="E213">
        <v>3.9573385924840387E-2</v>
      </c>
      <c r="F213">
        <v>0.8814466149882676</v>
      </c>
      <c r="G213">
        <f t="shared" si="3"/>
        <v>0.84187322906342721</v>
      </c>
      <c r="H213">
        <v>0.19885093325215261</v>
      </c>
      <c r="I213" t="s">
        <v>79</v>
      </c>
    </row>
    <row r="214" spans="1:9" x14ac:dyDescent="0.35">
      <c r="A214" t="s">
        <v>73</v>
      </c>
      <c r="B214" t="s">
        <v>63</v>
      </c>
      <c r="C214" t="s">
        <v>38</v>
      </c>
      <c r="D214">
        <v>2024</v>
      </c>
      <c r="E214">
        <v>1.2470954330068731</v>
      </c>
      <c r="F214">
        <v>1.4144828845553741</v>
      </c>
      <c r="G214">
        <f t="shared" si="3"/>
        <v>0.16738745154850099</v>
      </c>
      <c r="H214">
        <v>0.65431551417529998</v>
      </c>
      <c r="I214" t="s">
        <v>79</v>
      </c>
    </row>
    <row r="215" spans="1:9" x14ac:dyDescent="0.35">
      <c r="A215" t="s">
        <v>73</v>
      </c>
      <c r="B215" t="s">
        <v>64</v>
      </c>
      <c r="C215" t="s">
        <v>40</v>
      </c>
      <c r="D215">
        <v>2024</v>
      </c>
      <c r="E215">
        <v>1.41860461240253</v>
      </c>
      <c r="F215">
        <v>1.4144828845553741</v>
      </c>
      <c r="G215">
        <f t="shared" si="3"/>
        <v>-4.1217278471559204E-3</v>
      </c>
      <c r="H215">
        <v>0.65431551417529998</v>
      </c>
      <c r="I215" t="s">
        <v>79</v>
      </c>
    </row>
    <row r="216" spans="1:9" x14ac:dyDescent="0.35">
      <c r="A216" t="s">
        <v>73</v>
      </c>
      <c r="B216" t="s">
        <v>65</v>
      </c>
      <c r="C216" t="s">
        <v>38</v>
      </c>
      <c r="D216">
        <v>2024</v>
      </c>
      <c r="E216">
        <v>1.13903040986485</v>
      </c>
      <c r="F216">
        <v>1.4144828845553741</v>
      </c>
      <c r="G216">
        <f t="shared" si="3"/>
        <v>0.27545247469052403</v>
      </c>
      <c r="H216">
        <v>0.65431551417529998</v>
      </c>
      <c r="I216" t="s">
        <v>79</v>
      </c>
    </row>
    <row r="217" spans="1:9" x14ac:dyDescent="0.35">
      <c r="A217" t="s">
        <v>73</v>
      </c>
      <c r="B217" t="s">
        <v>66</v>
      </c>
      <c r="C217" t="s">
        <v>40</v>
      </c>
      <c r="D217">
        <v>2024</v>
      </c>
      <c r="E217">
        <v>0.72851910514837304</v>
      </c>
      <c r="F217">
        <v>1.4144828845553741</v>
      </c>
      <c r="G217">
        <f t="shared" si="3"/>
        <v>0.68596377940700104</v>
      </c>
      <c r="H217">
        <v>0.65431551417529998</v>
      </c>
      <c r="I217" t="s">
        <v>79</v>
      </c>
    </row>
    <row r="218" spans="1:9" x14ac:dyDescent="0.35">
      <c r="A218" t="s">
        <v>74</v>
      </c>
      <c r="B218" t="s">
        <v>63</v>
      </c>
      <c r="C218" t="s">
        <v>38</v>
      </c>
      <c r="D218">
        <v>2024</v>
      </c>
      <c r="E218">
        <v>3.0440640134462789</v>
      </c>
      <c r="F218">
        <v>3.6203795629134459</v>
      </c>
      <c r="G218">
        <f t="shared" si="3"/>
        <v>0.57631554946716701</v>
      </c>
      <c r="H218">
        <v>0.6431194191189592</v>
      </c>
      <c r="I218" t="s">
        <v>79</v>
      </c>
    </row>
    <row r="219" spans="1:9" x14ac:dyDescent="0.35">
      <c r="A219" t="s">
        <v>74</v>
      </c>
      <c r="B219" t="s">
        <v>64</v>
      </c>
      <c r="C219" t="s">
        <v>40</v>
      </c>
      <c r="D219">
        <v>2024</v>
      </c>
      <c r="E219">
        <v>4.9679452562146009</v>
      </c>
      <c r="F219">
        <v>3.6203795629134459</v>
      </c>
      <c r="G219">
        <f t="shared" si="3"/>
        <v>-1.3475656933011551</v>
      </c>
      <c r="H219">
        <v>0.6431194191189592</v>
      </c>
      <c r="I219" t="s">
        <v>79</v>
      </c>
    </row>
    <row r="220" spans="1:9" x14ac:dyDescent="0.35">
      <c r="A220" t="s">
        <v>74</v>
      </c>
      <c r="B220" t="s">
        <v>65</v>
      </c>
      <c r="C220" t="s">
        <v>38</v>
      </c>
      <c r="D220">
        <v>2024</v>
      </c>
      <c r="E220">
        <v>-0.54062635287741578</v>
      </c>
      <c r="F220">
        <v>3.6203795629134459</v>
      </c>
      <c r="G220">
        <f t="shared" si="3"/>
        <v>4.1610059157908612</v>
      </c>
      <c r="H220">
        <v>0.6431194191189592</v>
      </c>
      <c r="I220" t="s">
        <v>79</v>
      </c>
    </row>
    <row r="221" spans="1:9" x14ac:dyDescent="0.35">
      <c r="A221" t="s">
        <v>74</v>
      </c>
      <c r="B221" t="s">
        <v>66</v>
      </c>
      <c r="C221" t="s">
        <v>40</v>
      </c>
      <c r="D221">
        <v>2024</v>
      </c>
      <c r="E221">
        <v>1.2437124663212009</v>
      </c>
      <c r="F221">
        <v>3.6203795629134459</v>
      </c>
      <c r="G221">
        <f t="shared" si="3"/>
        <v>2.3766670965922447</v>
      </c>
      <c r="H221">
        <v>0.6431194191189592</v>
      </c>
      <c r="I221" t="s">
        <v>79</v>
      </c>
    </row>
    <row r="222" spans="1:9" x14ac:dyDescent="0.35">
      <c r="A222" t="s">
        <v>75</v>
      </c>
      <c r="B222" t="s">
        <v>63</v>
      </c>
      <c r="C222" t="s">
        <v>38</v>
      </c>
      <c r="D222">
        <v>2024</v>
      </c>
      <c r="E222">
        <v>0.85219564942633497</v>
      </c>
      <c r="F222">
        <v>0.58463257989526929</v>
      </c>
      <c r="G222">
        <f t="shared" si="3"/>
        <v>-0.26756306953106568</v>
      </c>
      <c r="H222">
        <v>0.69071195379939176</v>
      </c>
      <c r="I222" t="s">
        <v>79</v>
      </c>
    </row>
    <row r="223" spans="1:9" x14ac:dyDescent="0.35">
      <c r="A223" t="s">
        <v>75</v>
      </c>
      <c r="B223" t="s">
        <v>64</v>
      </c>
      <c r="C223" t="s">
        <v>40</v>
      </c>
      <c r="D223">
        <v>2024</v>
      </c>
      <c r="E223">
        <v>1.088219792885559</v>
      </c>
      <c r="F223">
        <v>0.58463257989526929</v>
      </c>
      <c r="G223">
        <f t="shared" si="3"/>
        <v>-0.50358721299028975</v>
      </c>
      <c r="H223">
        <v>0.69071195379939176</v>
      </c>
      <c r="I223" t="s">
        <v>79</v>
      </c>
    </row>
    <row r="224" spans="1:9" x14ac:dyDescent="0.35">
      <c r="A224" t="s">
        <v>75</v>
      </c>
      <c r="B224" t="s">
        <v>65</v>
      </c>
      <c r="C224" t="s">
        <v>38</v>
      </c>
      <c r="D224">
        <v>2024</v>
      </c>
      <c r="E224">
        <v>0.66875073104093463</v>
      </c>
      <c r="F224">
        <v>0.58463257989526929</v>
      </c>
      <c r="G224">
        <f t="shared" si="3"/>
        <v>-8.4118151145665343E-2</v>
      </c>
      <c r="H224">
        <v>0.69071195379939176</v>
      </c>
      <c r="I224" t="s">
        <v>79</v>
      </c>
    </row>
    <row r="225" spans="1:9" x14ac:dyDescent="0.35">
      <c r="A225" t="s">
        <v>75</v>
      </c>
      <c r="B225" t="s">
        <v>66</v>
      </c>
      <c r="C225" t="s">
        <v>40</v>
      </c>
      <c r="D225">
        <v>2024</v>
      </c>
      <c r="E225">
        <v>0.93648338218597083</v>
      </c>
      <c r="F225">
        <v>0.58463257989526929</v>
      </c>
      <c r="G225">
        <f t="shared" si="3"/>
        <v>-0.35185080229070154</v>
      </c>
      <c r="H225">
        <v>0.69071195379939176</v>
      </c>
      <c r="I225" t="s">
        <v>79</v>
      </c>
    </row>
    <row r="226" spans="1:9" x14ac:dyDescent="0.35">
      <c r="A226" t="s">
        <v>77</v>
      </c>
      <c r="B226" t="s">
        <v>63</v>
      </c>
      <c r="C226" t="s">
        <v>38</v>
      </c>
      <c r="D226">
        <v>2024</v>
      </c>
      <c r="E226">
        <v>1.3133477904788251</v>
      </c>
      <c r="F226">
        <v>2.1904072780361381</v>
      </c>
      <c r="G226">
        <f t="shared" si="3"/>
        <v>0.877059487557313</v>
      </c>
      <c r="H226">
        <v>0.29518356966946802</v>
      </c>
      <c r="I226" t="s">
        <v>79</v>
      </c>
    </row>
    <row r="227" spans="1:9" x14ac:dyDescent="0.35">
      <c r="A227" t="s">
        <v>77</v>
      </c>
      <c r="B227" t="s">
        <v>64</v>
      </c>
      <c r="C227" t="s">
        <v>40</v>
      </c>
      <c r="D227">
        <v>2024</v>
      </c>
      <c r="E227">
        <v>1.7569161258840891</v>
      </c>
      <c r="F227">
        <v>2.1904072780361381</v>
      </c>
      <c r="G227">
        <f t="shared" si="3"/>
        <v>0.43349115215204903</v>
      </c>
      <c r="H227">
        <v>0.29518356966946802</v>
      </c>
      <c r="I227" t="s">
        <v>79</v>
      </c>
    </row>
    <row r="228" spans="1:9" x14ac:dyDescent="0.35">
      <c r="A228" t="s">
        <v>77</v>
      </c>
      <c r="B228" t="s">
        <v>65</v>
      </c>
      <c r="C228" t="s">
        <v>38</v>
      </c>
      <c r="D228">
        <v>2024</v>
      </c>
      <c r="E228">
        <v>1.6514732694230541</v>
      </c>
      <c r="F228">
        <v>2.1904072780361381</v>
      </c>
      <c r="G228">
        <f t="shared" si="3"/>
        <v>0.53893400861308405</v>
      </c>
      <c r="H228">
        <v>0.29518356966946802</v>
      </c>
      <c r="I228" t="s">
        <v>79</v>
      </c>
    </row>
    <row r="229" spans="1:9" x14ac:dyDescent="0.35">
      <c r="A229" t="s">
        <v>77</v>
      </c>
      <c r="B229" t="s">
        <v>66</v>
      </c>
      <c r="C229" t="s">
        <v>40</v>
      </c>
      <c r="D229">
        <v>2024</v>
      </c>
      <c r="E229">
        <v>1.734179743438991</v>
      </c>
      <c r="F229">
        <v>2.1904072780361381</v>
      </c>
      <c r="G229">
        <f t="shared" si="3"/>
        <v>0.45622753459714716</v>
      </c>
      <c r="H229">
        <v>0.29518356966946802</v>
      </c>
      <c r="I229" t="s">
        <v>79</v>
      </c>
    </row>
    <row r="230" spans="1:9" x14ac:dyDescent="0.35">
      <c r="A230" t="s">
        <v>36</v>
      </c>
      <c r="B230" t="s">
        <v>65</v>
      </c>
      <c r="C230" t="s">
        <v>38</v>
      </c>
      <c r="D230">
        <v>2025</v>
      </c>
      <c r="E230">
        <v>0.99303912238537517</v>
      </c>
      <c r="F230">
        <v>0.95241300208403867</v>
      </c>
      <c r="G230">
        <f t="shared" si="3"/>
        <v>-4.0626120301336499E-2</v>
      </c>
      <c r="H230">
        <v>6.562263636895671E-2</v>
      </c>
      <c r="I230" t="s">
        <v>79</v>
      </c>
    </row>
    <row r="231" spans="1:9" x14ac:dyDescent="0.35">
      <c r="A231" t="s">
        <v>36</v>
      </c>
      <c r="B231" t="s">
        <v>66</v>
      </c>
      <c r="C231" t="s">
        <v>40</v>
      </c>
      <c r="D231">
        <v>2025</v>
      </c>
      <c r="E231">
        <v>1.6020195321839961</v>
      </c>
      <c r="F231">
        <v>0.95241300208403867</v>
      </c>
      <c r="G231">
        <f t="shared" si="3"/>
        <v>-0.64960653009995739</v>
      </c>
      <c r="H231">
        <v>6.562263636895671E-2</v>
      </c>
      <c r="I231" t="s">
        <v>79</v>
      </c>
    </row>
    <row r="232" spans="1:9" x14ac:dyDescent="0.35">
      <c r="A232" t="s">
        <v>36</v>
      </c>
      <c r="B232" t="s">
        <v>71</v>
      </c>
      <c r="C232" t="s">
        <v>38</v>
      </c>
      <c r="D232">
        <v>2025</v>
      </c>
      <c r="E232">
        <v>0.31436230025780892</v>
      </c>
      <c r="F232">
        <v>0.95241300208403867</v>
      </c>
      <c r="G232">
        <f t="shared" si="3"/>
        <v>0.6380507018262298</v>
      </c>
      <c r="H232">
        <v>6.562263636895671E-2</v>
      </c>
      <c r="I232" t="s">
        <v>79</v>
      </c>
    </row>
    <row r="233" spans="1:9" x14ac:dyDescent="0.35">
      <c r="A233" t="s">
        <v>36</v>
      </c>
      <c r="B233" t="s">
        <v>72</v>
      </c>
      <c r="C233" t="s">
        <v>40</v>
      </c>
      <c r="D233">
        <v>2025</v>
      </c>
      <c r="E233">
        <v>-0.28270783018636841</v>
      </c>
      <c r="F233">
        <v>0.95241300208403867</v>
      </c>
      <c r="G233">
        <f t="shared" si="3"/>
        <v>1.235120832270407</v>
      </c>
      <c r="H233">
        <v>6.562263636895671E-2</v>
      </c>
      <c r="I233" t="s">
        <v>79</v>
      </c>
    </row>
    <row r="234" spans="1:9" x14ac:dyDescent="0.35">
      <c r="A234" t="s">
        <v>67</v>
      </c>
      <c r="B234" t="s">
        <v>65</v>
      </c>
      <c r="C234" t="s">
        <v>38</v>
      </c>
      <c r="D234">
        <v>2025</v>
      </c>
      <c r="E234">
        <v>1.2445832169132749</v>
      </c>
      <c r="F234">
        <v>0.97833513074895262</v>
      </c>
      <c r="G234">
        <f t="shared" si="3"/>
        <v>-0.26624808616432227</v>
      </c>
      <c r="H234">
        <v>2.7062806004489109E-2</v>
      </c>
      <c r="I234" t="s">
        <v>79</v>
      </c>
    </row>
    <row r="235" spans="1:9" x14ac:dyDescent="0.35">
      <c r="A235" t="s">
        <v>67</v>
      </c>
      <c r="B235" t="s">
        <v>66</v>
      </c>
      <c r="C235" t="s">
        <v>40</v>
      </c>
      <c r="D235">
        <v>2025</v>
      </c>
      <c r="E235">
        <v>1.3772936758912999</v>
      </c>
      <c r="F235">
        <v>0.97833513074895262</v>
      </c>
      <c r="G235">
        <f t="shared" si="3"/>
        <v>-0.3989585451423473</v>
      </c>
      <c r="H235">
        <v>2.7062806004489109E-2</v>
      </c>
      <c r="I235" t="s">
        <v>79</v>
      </c>
    </row>
    <row r="236" spans="1:9" x14ac:dyDescent="0.35">
      <c r="A236" t="s">
        <v>67</v>
      </c>
      <c r="B236" t="s">
        <v>71</v>
      </c>
      <c r="C236" t="s">
        <v>38</v>
      </c>
      <c r="D236">
        <v>2025</v>
      </c>
      <c r="E236">
        <v>0.99784735760106713</v>
      </c>
      <c r="F236">
        <v>0.97833513074895262</v>
      </c>
      <c r="G236">
        <f t="shared" si="3"/>
        <v>-1.9512226852114511E-2</v>
      </c>
      <c r="H236">
        <v>2.7062806004489109E-2</v>
      </c>
      <c r="I236" t="s">
        <v>79</v>
      </c>
    </row>
    <row r="237" spans="1:9" x14ac:dyDescent="0.35">
      <c r="A237" t="s">
        <v>67</v>
      </c>
      <c r="B237" t="s">
        <v>72</v>
      </c>
      <c r="C237" t="s">
        <v>40</v>
      </c>
      <c r="D237">
        <v>2025</v>
      </c>
      <c r="E237">
        <v>0.76893815941332377</v>
      </c>
      <c r="F237">
        <v>0.97833513074895262</v>
      </c>
      <c r="G237">
        <f t="shared" si="3"/>
        <v>0.20939697133562885</v>
      </c>
      <c r="H237">
        <v>2.7062806004489109E-2</v>
      </c>
      <c r="I237" t="s">
        <v>79</v>
      </c>
    </row>
    <row r="238" spans="1:9" x14ac:dyDescent="0.35">
      <c r="A238" t="s">
        <v>68</v>
      </c>
      <c r="B238" t="s">
        <v>65</v>
      </c>
      <c r="C238" t="s">
        <v>38</v>
      </c>
      <c r="D238">
        <v>2025</v>
      </c>
      <c r="E238">
        <v>0.69333808233418281</v>
      </c>
      <c r="F238">
        <v>0.34025588112837718</v>
      </c>
      <c r="G238">
        <f t="shared" si="3"/>
        <v>-0.35308220120580563</v>
      </c>
      <c r="H238">
        <v>6.1567950988359252E-3</v>
      </c>
      <c r="I238" t="s">
        <v>79</v>
      </c>
    </row>
    <row r="239" spans="1:9" x14ac:dyDescent="0.35">
      <c r="A239" t="s">
        <v>68</v>
      </c>
      <c r="B239" t="s">
        <v>66</v>
      </c>
      <c r="C239" t="s">
        <v>40</v>
      </c>
      <c r="D239">
        <v>2025</v>
      </c>
      <c r="E239">
        <v>1.014129227832639</v>
      </c>
      <c r="F239">
        <v>0.34025588112837718</v>
      </c>
      <c r="G239">
        <f t="shared" si="3"/>
        <v>-0.67387334670426191</v>
      </c>
      <c r="H239">
        <v>6.1567950988359252E-3</v>
      </c>
      <c r="I239" t="s">
        <v>79</v>
      </c>
    </row>
    <row r="240" spans="1:9" x14ac:dyDescent="0.35">
      <c r="A240" t="s">
        <v>68</v>
      </c>
      <c r="B240" t="s">
        <v>71</v>
      </c>
      <c r="C240" t="s">
        <v>38</v>
      </c>
      <c r="D240">
        <v>2025</v>
      </c>
      <c r="E240">
        <v>0.17068748819852869</v>
      </c>
      <c r="F240">
        <v>0.34025588112837718</v>
      </c>
      <c r="G240">
        <f t="shared" si="3"/>
        <v>0.16956839292984849</v>
      </c>
      <c r="H240">
        <v>6.1567950988359252E-3</v>
      </c>
      <c r="I240" t="s">
        <v>79</v>
      </c>
    </row>
    <row r="241" spans="1:9" x14ac:dyDescent="0.35">
      <c r="A241" t="s">
        <v>68</v>
      </c>
      <c r="B241" t="s">
        <v>72</v>
      </c>
      <c r="C241" t="s">
        <v>40</v>
      </c>
      <c r="D241">
        <v>2025</v>
      </c>
      <c r="E241">
        <v>-2.9831521216272531E-2</v>
      </c>
      <c r="F241">
        <v>0.34025588112837718</v>
      </c>
      <c r="G241">
        <f t="shared" si="3"/>
        <v>0.37008740234464971</v>
      </c>
      <c r="H241">
        <v>6.1567950988359252E-3</v>
      </c>
      <c r="I241" t="s">
        <v>79</v>
      </c>
    </row>
    <row r="242" spans="1:9" x14ac:dyDescent="0.35">
      <c r="A242" t="s">
        <v>69</v>
      </c>
      <c r="B242" t="s">
        <v>65</v>
      </c>
      <c r="C242" t="s">
        <v>38</v>
      </c>
      <c r="D242">
        <v>2025</v>
      </c>
      <c r="E242">
        <v>2.3460653050844331</v>
      </c>
      <c r="F242">
        <v>2.7857852243734129</v>
      </c>
      <c r="G242">
        <f t="shared" si="3"/>
        <v>0.4397199192889798</v>
      </c>
      <c r="H242">
        <v>-2.9567303162600381E-2</v>
      </c>
      <c r="I242" t="s">
        <v>79</v>
      </c>
    </row>
    <row r="243" spans="1:9" x14ac:dyDescent="0.35">
      <c r="A243" t="s">
        <v>69</v>
      </c>
      <c r="B243" t="s">
        <v>66</v>
      </c>
      <c r="C243" t="s">
        <v>40</v>
      </c>
      <c r="D243">
        <v>2025</v>
      </c>
      <c r="E243">
        <v>1.947420292593427</v>
      </c>
      <c r="F243">
        <v>2.7857852243734129</v>
      </c>
      <c r="G243">
        <f t="shared" si="3"/>
        <v>0.83836493177998594</v>
      </c>
      <c r="H243">
        <v>-2.9567303162600381E-2</v>
      </c>
      <c r="I243" t="s">
        <v>79</v>
      </c>
    </row>
    <row r="244" spans="1:9" x14ac:dyDescent="0.35">
      <c r="A244" t="s">
        <v>69</v>
      </c>
      <c r="B244" t="s">
        <v>71</v>
      </c>
      <c r="C244" t="s">
        <v>38</v>
      </c>
      <c r="D244">
        <v>2025</v>
      </c>
      <c r="E244">
        <v>2.8680409593299978</v>
      </c>
      <c r="F244">
        <v>2.7857852243734129</v>
      </c>
      <c r="G244">
        <f t="shared" si="3"/>
        <v>-8.2255734956584892E-2</v>
      </c>
      <c r="H244">
        <v>-2.9567303162600381E-2</v>
      </c>
      <c r="I244" t="s">
        <v>79</v>
      </c>
    </row>
    <row r="245" spans="1:9" x14ac:dyDescent="0.35">
      <c r="A245" t="s">
        <v>69</v>
      </c>
      <c r="B245" t="s">
        <v>72</v>
      </c>
      <c r="C245" t="s">
        <v>40</v>
      </c>
      <c r="D245">
        <v>2025</v>
      </c>
      <c r="E245">
        <v>2.5510068501240162</v>
      </c>
      <c r="F245">
        <v>2.7857852243734129</v>
      </c>
      <c r="G245">
        <f t="shared" si="3"/>
        <v>0.23477837424939674</v>
      </c>
      <c r="H245">
        <v>-2.9567303162600381E-2</v>
      </c>
      <c r="I245" t="s">
        <v>79</v>
      </c>
    </row>
    <row r="246" spans="1:9" x14ac:dyDescent="0.35">
      <c r="A246" t="s">
        <v>70</v>
      </c>
      <c r="B246" t="s">
        <v>65</v>
      </c>
      <c r="C246" t="s">
        <v>38</v>
      </c>
      <c r="D246">
        <v>2025</v>
      </c>
      <c r="E246">
        <v>1.544507858030109</v>
      </c>
      <c r="F246">
        <v>0.79990149121373022</v>
      </c>
      <c r="G246">
        <f t="shared" si="3"/>
        <v>-0.74460636681637882</v>
      </c>
      <c r="H246">
        <v>0.1653796609584316</v>
      </c>
      <c r="I246" t="s">
        <v>79</v>
      </c>
    </row>
    <row r="247" spans="1:9" x14ac:dyDescent="0.35">
      <c r="A247" t="s">
        <v>70</v>
      </c>
      <c r="B247" t="s">
        <v>66</v>
      </c>
      <c r="C247" t="s">
        <v>40</v>
      </c>
      <c r="D247">
        <v>2025</v>
      </c>
      <c r="E247">
        <v>1.3606562692519699</v>
      </c>
      <c r="F247">
        <v>0.79990149121373022</v>
      </c>
      <c r="G247">
        <f t="shared" si="3"/>
        <v>-0.5607547780382397</v>
      </c>
      <c r="H247">
        <v>0.1653796609584316</v>
      </c>
      <c r="I247" t="s">
        <v>79</v>
      </c>
    </row>
    <row r="248" spans="1:9" x14ac:dyDescent="0.35">
      <c r="A248" t="s">
        <v>70</v>
      </c>
      <c r="B248" t="s">
        <v>71</v>
      </c>
      <c r="C248" t="s">
        <v>38</v>
      </c>
      <c r="D248">
        <v>2025</v>
      </c>
      <c r="E248">
        <v>7.5720238361931536E-2</v>
      </c>
      <c r="F248">
        <v>0.79990149121373022</v>
      </c>
      <c r="G248">
        <f t="shared" si="3"/>
        <v>0.72418125285179868</v>
      </c>
      <c r="H248">
        <v>0.1653796609584316</v>
      </c>
      <c r="I248" t="s">
        <v>79</v>
      </c>
    </row>
    <row r="249" spans="1:9" x14ac:dyDescent="0.35">
      <c r="A249" t="s">
        <v>70</v>
      </c>
      <c r="B249" t="s">
        <v>72</v>
      </c>
      <c r="C249" t="s">
        <v>40</v>
      </c>
      <c r="D249">
        <v>2025</v>
      </c>
      <c r="E249">
        <v>0.97596362509042578</v>
      </c>
      <c r="F249">
        <v>0.79990149121373022</v>
      </c>
      <c r="G249">
        <f t="shared" si="3"/>
        <v>-0.17606213387669556</v>
      </c>
      <c r="H249">
        <v>0.1653796609584316</v>
      </c>
      <c r="I249" t="s">
        <v>79</v>
      </c>
    </row>
    <row r="250" spans="1:9" x14ac:dyDescent="0.35">
      <c r="A250" t="s">
        <v>73</v>
      </c>
      <c r="B250" t="s">
        <v>65</v>
      </c>
      <c r="C250" t="s">
        <v>38</v>
      </c>
      <c r="D250">
        <v>2025</v>
      </c>
      <c r="E250">
        <v>0.82258828244963222</v>
      </c>
      <c r="F250">
        <v>0.88561946045636819</v>
      </c>
      <c r="G250">
        <f t="shared" si="3"/>
        <v>6.3031178006735966E-2</v>
      </c>
      <c r="H250">
        <v>7.4630748449780043E-3</v>
      </c>
      <c r="I250" t="s">
        <v>79</v>
      </c>
    </row>
    <row r="251" spans="1:9" x14ac:dyDescent="0.35">
      <c r="A251" t="s">
        <v>73</v>
      </c>
      <c r="B251" t="s">
        <v>66</v>
      </c>
      <c r="C251" t="s">
        <v>40</v>
      </c>
      <c r="D251">
        <v>2025</v>
      </c>
      <c r="E251">
        <v>1.2594069979400271</v>
      </c>
      <c r="F251">
        <v>0.88561946045636819</v>
      </c>
      <c r="G251">
        <f t="shared" si="3"/>
        <v>-0.37378753748365889</v>
      </c>
      <c r="H251">
        <v>7.4630748449780043E-3</v>
      </c>
      <c r="I251" t="s">
        <v>79</v>
      </c>
    </row>
    <row r="252" spans="1:9" x14ac:dyDescent="0.35">
      <c r="A252" t="s">
        <v>73</v>
      </c>
      <c r="B252" t="s">
        <v>71</v>
      </c>
      <c r="C252" t="s">
        <v>38</v>
      </c>
      <c r="D252">
        <v>2025</v>
      </c>
      <c r="E252">
        <v>0.69714532745484004</v>
      </c>
      <c r="F252">
        <v>0.88561946045636819</v>
      </c>
      <c r="G252">
        <f t="shared" si="3"/>
        <v>0.18847413300152815</v>
      </c>
      <c r="H252">
        <v>7.4630748449780043E-3</v>
      </c>
      <c r="I252" t="s">
        <v>79</v>
      </c>
    </row>
    <row r="253" spans="1:9" x14ac:dyDescent="0.35">
      <c r="A253" t="s">
        <v>73</v>
      </c>
      <c r="B253" t="s">
        <v>72</v>
      </c>
      <c r="C253" t="s">
        <v>40</v>
      </c>
      <c r="D253">
        <v>2025</v>
      </c>
      <c r="E253">
        <v>0.57266269658549085</v>
      </c>
      <c r="F253">
        <v>0.88561946045636819</v>
      </c>
      <c r="G253">
        <f t="shared" si="3"/>
        <v>0.31295676387087734</v>
      </c>
      <c r="H253">
        <v>7.4630748449780043E-3</v>
      </c>
      <c r="I253" t="s">
        <v>79</v>
      </c>
    </row>
    <row r="254" spans="1:9" x14ac:dyDescent="0.35">
      <c r="A254" t="s">
        <v>74</v>
      </c>
      <c r="B254" t="s">
        <v>65</v>
      </c>
      <c r="C254" t="s">
        <v>38</v>
      </c>
      <c r="D254">
        <v>2025</v>
      </c>
      <c r="E254">
        <v>4.023669914633099</v>
      </c>
      <c r="F254">
        <v>7.7791754385506806</v>
      </c>
      <c r="G254">
        <f t="shared" si="3"/>
        <v>3.7555055239175816</v>
      </c>
      <c r="H254">
        <v>0.32092170257034919</v>
      </c>
      <c r="I254" t="s">
        <v>79</v>
      </c>
    </row>
    <row r="255" spans="1:9" x14ac:dyDescent="0.35">
      <c r="A255" t="s">
        <v>74</v>
      </c>
      <c r="B255" t="s">
        <v>66</v>
      </c>
      <c r="C255" t="s">
        <v>40</v>
      </c>
      <c r="D255">
        <v>2025</v>
      </c>
      <c r="E255">
        <v>3.5927766013469591</v>
      </c>
      <c r="F255">
        <v>7.7791754385506806</v>
      </c>
      <c r="G255">
        <f t="shared" si="3"/>
        <v>4.186398837203722</v>
      </c>
      <c r="H255">
        <v>0.32092170257034919</v>
      </c>
      <c r="I255" t="s">
        <v>79</v>
      </c>
    </row>
    <row r="256" spans="1:9" x14ac:dyDescent="0.35">
      <c r="A256" t="s">
        <v>74</v>
      </c>
      <c r="B256" t="s">
        <v>71</v>
      </c>
      <c r="C256" t="s">
        <v>38</v>
      </c>
      <c r="D256">
        <v>2025</v>
      </c>
      <c r="E256">
        <v>10.65081995793598</v>
      </c>
      <c r="F256">
        <v>7.7791754385506806</v>
      </c>
      <c r="G256">
        <f t="shared" si="3"/>
        <v>-2.8716445193852991</v>
      </c>
      <c r="H256">
        <v>0.32092170257034919</v>
      </c>
      <c r="I256" t="s">
        <v>79</v>
      </c>
    </row>
    <row r="257" spans="1:9" x14ac:dyDescent="0.35">
      <c r="A257" t="s">
        <v>74</v>
      </c>
      <c r="B257" t="s">
        <v>72</v>
      </c>
      <c r="C257" t="s">
        <v>40</v>
      </c>
      <c r="D257">
        <v>2025</v>
      </c>
      <c r="E257">
        <v>3.377198218825495</v>
      </c>
      <c r="F257">
        <v>7.7791754385506806</v>
      </c>
      <c r="G257">
        <f t="shared" si="3"/>
        <v>4.4019772197251861</v>
      </c>
      <c r="H257">
        <v>0.32092170257034919</v>
      </c>
      <c r="I257" t="s">
        <v>79</v>
      </c>
    </row>
    <row r="258" spans="1:9" x14ac:dyDescent="0.35">
      <c r="A258" t="s">
        <v>75</v>
      </c>
      <c r="B258" t="s">
        <v>65</v>
      </c>
      <c r="C258" t="s">
        <v>38</v>
      </c>
      <c r="D258">
        <v>2025</v>
      </c>
      <c r="E258">
        <v>1.0376492446310339</v>
      </c>
      <c r="F258">
        <v>0.66135842759176278</v>
      </c>
      <c r="G258">
        <f t="shared" ref="G258:G321" si="4">IF(OR(F258="",E258=""),"",F258-E258)</f>
        <v>-0.37629081703927114</v>
      </c>
      <c r="H258">
        <v>6.0061203852044547E-2</v>
      </c>
      <c r="I258" t="s">
        <v>79</v>
      </c>
    </row>
    <row r="259" spans="1:9" x14ac:dyDescent="0.35">
      <c r="A259" t="s">
        <v>75</v>
      </c>
      <c r="B259" t="s">
        <v>66</v>
      </c>
      <c r="C259" t="s">
        <v>40</v>
      </c>
      <c r="D259">
        <v>2025</v>
      </c>
      <c r="E259">
        <v>1.0979449050216421</v>
      </c>
      <c r="F259">
        <v>0.66135842759176278</v>
      </c>
      <c r="G259">
        <f t="shared" si="4"/>
        <v>-0.43658647742987933</v>
      </c>
      <c r="H259">
        <v>6.0061203852044547E-2</v>
      </c>
      <c r="I259" t="s">
        <v>79</v>
      </c>
    </row>
    <row r="260" spans="1:9" x14ac:dyDescent="0.35">
      <c r="A260" t="s">
        <v>75</v>
      </c>
      <c r="B260" t="s">
        <v>71</v>
      </c>
      <c r="C260" t="s">
        <v>38</v>
      </c>
      <c r="D260">
        <v>2025</v>
      </c>
      <c r="E260">
        <v>0.35981622121454843</v>
      </c>
      <c r="F260">
        <v>0.66135842759176278</v>
      </c>
      <c r="G260">
        <f t="shared" si="4"/>
        <v>0.30154220637721435</v>
      </c>
      <c r="H260">
        <v>6.0061203852044547E-2</v>
      </c>
      <c r="I260" t="s">
        <v>79</v>
      </c>
    </row>
    <row r="261" spans="1:9" x14ac:dyDescent="0.35">
      <c r="A261" t="s">
        <v>75</v>
      </c>
      <c r="B261" t="s">
        <v>72</v>
      </c>
      <c r="C261" t="s">
        <v>40</v>
      </c>
      <c r="D261">
        <v>2025</v>
      </c>
      <c r="E261">
        <v>0.66447930597219873</v>
      </c>
      <c r="F261">
        <v>0.66135842759176278</v>
      </c>
      <c r="G261">
        <f t="shared" si="4"/>
        <v>-3.1208783804359541E-3</v>
      </c>
      <c r="H261">
        <v>6.0061203852044547E-2</v>
      </c>
      <c r="I261" t="s">
        <v>79</v>
      </c>
    </row>
    <row r="262" spans="1:9" x14ac:dyDescent="0.35">
      <c r="A262" t="s">
        <v>76</v>
      </c>
      <c r="B262" t="s">
        <v>65</v>
      </c>
      <c r="C262" t="s">
        <v>38</v>
      </c>
      <c r="D262">
        <v>2025</v>
      </c>
      <c r="E262">
        <v>1.551316113361789</v>
      </c>
      <c r="F262">
        <v>1.5629801711020599</v>
      </c>
      <c r="G262">
        <f t="shared" si="4"/>
        <v>1.1664057740270906E-2</v>
      </c>
      <c r="H262">
        <v>0.58193671258721102</v>
      </c>
      <c r="I262" t="s">
        <v>79</v>
      </c>
    </row>
    <row r="263" spans="1:9" x14ac:dyDescent="0.35">
      <c r="A263" t="s">
        <v>76</v>
      </c>
      <c r="B263" t="s">
        <v>66</v>
      </c>
      <c r="C263" t="s">
        <v>40</v>
      </c>
      <c r="D263">
        <v>2025</v>
      </c>
      <c r="E263">
        <v>1.4664182247055459</v>
      </c>
      <c r="F263">
        <v>1.5629801711020599</v>
      </c>
      <c r="G263">
        <f t="shared" si="4"/>
        <v>9.6561946396513942E-2</v>
      </c>
      <c r="H263">
        <v>0.58193671258721102</v>
      </c>
      <c r="I263" t="s">
        <v>79</v>
      </c>
    </row>
    <row r="264" spans="1:9" x14ac:dyDescent="0.35">
      <c r="A264" t="s">
        <v>76</v>
      </c>
      <c r="B264" t="s">
        <v>71</v>
      </c>
      <c r="C264" t="s">
        <v>38</v>
      </c>
      <c r="D264">
        <v>2025</v>
      </c>
      <c r="E264">
        <v>1.6966708374271939</v>
      </c>
      <c r="F264">
        <v>1.5629801711020599</v>
      </c>
      <c r="G264">
        <f t="shared" si="4"/>
        <v>-0.13369066632513404</v>
      </c>
      <c r="H264">
        <v>0.58193671258721102</v>
      </c>
      <c r="I264" t="s">
        <v>79</v>
      </c>
    </row>
    <row r="265" spans="1:9" x14ac:dyDescent="0.35">
      <c r="A265" t="s">
        <v>76</v>
      </c>
      <c r="B265" t="s">
        <v>72</v>
      </c>
      <c r="C265" t="s">
        <v>40</v>
      </c>
      <c r="D265">
        <v>2025</v>
      </c>
      <c r="E265">
        <v>1.282511180567347</v>
      </c>
      <c r="F265">
        <v>1.5629801711020599</v>
      </c>
      <c r="G265">
        <f t="shared" si="4"/>
        <v>0.28046899053471286</v>
      </c>
      <c r="H265">
        <v>0.58193671258721102</v>
      </c>
      <c r="I265" t="s">
        <v>79</v>
      </c>
    </row>
    <row r="266" spans="1:9" x14ac:dyDescent="0.35">
      <c r="A266" t="s">
        <v>77</v>
      </c>
      <c r="B266" t="s">
        <v>65</v>
      </c>
      <c r="C266" t="s">
        <v>38</v>
      </c>
      <c r="D266">
        <v>2025</v>
      </c>
      <c r="E266">
        <v>1.851074416505627</v>
      </c>
      <c r="F266">
        <v>1.8442000090405599</v>
      </c>
      <c r="G266">
        <f t="shared" si="4"/>
        <v>-6.8744074650670672E-3</v>
      </c>
      <c r="H266">
        <v>4.3141098767000223E-2</v>
      </c>
      <c r="I266" t="s">
        <v>79</v>
      </c>
    </row>
    <row r="267" spans="1:9" x14ac:dyDescent="0.35">
      <c r="A267" t="s">
        <v>77</v>
      </c>
      <c r="B267" t="s">
        <v>66</v>
      </c>
      <c r="C267" t="s">
        <v>40</v>
      </c>
      <c r="D267">
        <v>2025</v>
      </c>
      <c r="E267">
        <v>1.87529344869708</v>
      </c>
      <c r="F267">
        <v>1.8442000090405599</v>
      </c>
      <c r="G267">
        <f t="shared" si="4"/>
        <v>-3.1093439656520117E-2</v>
      </c>
      <c r="H267">
        <v>4.3141098767000223E-2</v>
      </c>
      <c r="I267" t="s">
        <v>79</v>
      </c>
    </row>
    <row r="268" spans="1:9" x14ac:dyDescent="0.35">
      <c r="A268" t="s">
        <v>77</v>
      </c>
      <c r="B268" t="s">
        <v>71</v>
      </c>
      <c r="C268" t="s">
        <v>38</v>
      </c>
      <c r="D268">
        <v>2025</v>
      </c>
      <c r="E268">
        <v>1.898720252436026</v>
      </c>
      <c r="F268">
        <v>1.8442000090405599</v>
      </c>
      <c r="G268">
        <f t="shared" si="4"/>
        <v>-5.4520243395466128E-2</v>
      </c>
      <c r="H268">
        <v>4.3141098767000223E-2</v>
      </c>
      <c r="I268" t="s">
        <v>79</v>
      </c>
    </row>
    <row r="269" spans="1:9" x14ac:dyDescent="0.35">
      <c r="A269" t="s">
        <v>77</v>
      </c>
      <c r="B269" t="s">
        <v>72</v>
      </c>
      <c r="C269" t="s">
        <v>40</v>
      </c>
      <c r="D269">
        <v>2025</v>
      </c>
      <c r="E269">
        <v>1.7505876843593839</v>
      </c>
      <c r="F269">
        <v>1.8442000090405599</v>
      </c>
      <c r="G269">
        <f t="shared" si="4"/>
        <v>9.3612324681175973E-2</v>
      </c>
      <c r="H269">
        <v>4.3141098767000223E-2</v>
      </c>
      <c r="I269" t="s">
        <v>79</v>
      </c>
    </row>
    <row r="270" spans="1:9" x14ac:dyDescent="0.35">
      <c r="A270" t="s">
        <v>36</v>
      </c>
      <c r="B270" t="s">
        <v>71</v>
      </c>
      <c r="C270" t="s">
        <v>38</v>
      </c>
      <c r="D270">
        <v>2026</v>
      </c>
      <c r="E270">
        <v>0.88463570458545693</v>
      </c>
      <c r="G270" t="str">
        <f t="shared" si="4"/>
        <v/>
      </c>
      <c r="H270">
        <v>0.3559829624806633</v>
      </c>
      <c r="I270" t="s">
        <v>79</v>
      </c>
    </row>
    <row r="271" spans="1:9" x14ac:dyDescent="0.35">
      <c r="A271" t="s">
        <v>36</v>
      </c>
      <c r="B271" t="s">
        <v>72</v>
      </c>
      <c r="C271" t="s">
        <v>40</v>
      </c>
      <c r="D271">
        <v>2026</v>
      </c>
      <c r="E271">
        <v>0.97202851159921</v>
      </c>
      <c r="G271" t="str">
        <f t="shared" si="4"/>
        <v/>
      </c>
      <c r="H271">
        <v>0.3559829624806633</v>
      </c>
      <c r="I271" t="s">
        <v>79</v>
      </c>
    </row>
    <row r="272" spans="1:9" x14ac:dyDescent="0.35">
      <c r="A272" t="s">
        <v>67</v>
      </c>
      <c r="B272" t="s">
        <v>71</v>
      </c>
      <c r="C272" t="s">
        <v>38</v>
      </c>
      <c r="D272">
        <v>2026</v>
      </c>
      <c r="E272">
        <v>1.1470051470927609</v>
      </c>
      <c r="G272" t="str">
        <f t="shared" si="4"/>
        <v/>
      </c>
      <c r="H272">
        <v>0.31215408421731011</v>
      </c>
      <c r="I272" t="s">
        <v>79</v>
      </c>
    </row>
    <row r="273" spans="1:9" x14ac:dyDescent="0.35">
      <c r="A273" t="s">
        <v>67</v>
      </c>
      <c r="B273" t="s">
        <v>72</v>
      </c>
      <c r="C273" t="s">
        <v>40</v>
      </c>
      <c r="D273">
        <v>2026</v>
      </c>
      <c r="E273">
        <v>0.85752820542872588</v>
      </c>
      <c r="G273" t="str">
        <f t="shared" si="4"/>
        <v/>
      </c>
      <c r="H273">
        <v>0.31215408421731011</v>
      </c>
      <c r="I273" t="s">
        <v>79</v>
      </c>
    </row>
    <row r="274" spans="1:9" x14ac:dyDescent="0.35">
      <c r="A274" t="s">
        <v>68</v>
      </c>
      <c r="B274" t="s">
        <v>71</v>
      </c>
      <c r="C274" t="s">
        <v>38</v>
      </c>
      <c r="D274">
        <v>2026</v>
      </c>
      <c r="E274">
        <v>1.2155892578365359</v>
      </c>
      <c r="G274" t="str">
        <f t="shared" si="4"/>
        <v/>
      </c>
      <c r="H274">
        <v>-0.1018077058059029</v>
      </c>
      <c r="I274" t="s">
        <v>79</v>
      </c>
    </row>
    <row r="275" spans="1:9" x14ac:dyDescent="0.35">
      <c r="A275" t="s">
        <v>68</v>
      </c>
      <c r="B275" t="s">
        <v>72</v>
      </c>
      <c r="C275" t="s">
        <v>40</v>
      </c>
      <c r="D275">
        <v>2026</v>
      </c>
      <c r="E275">
        <v>1.095748100238314</v>
      </c>
      <c r="G275" t="str">
        <f t="shared" si="4"/>
        <v/>
      </c>
      <c r="H275">
        <v>-0.1018077058059029</v>
      </c>
      <c r="I275" t="s">
        <v>79</v>
      </c>
    </row>
    <row r="276" spans="1:9" x14ac:dyDescent="0.35">
      <c r="A276" t="s">
        <v>69</v>
      </c>
      <c r="B276" t="s">
        <v>71</v>
      </c>
      <c r="C276" t="s">
        <v>38</v>
      </c>
      <c r="D276">
        <v>2026</v>
      </c>
      <c r="E276">
        <v>2.2791798404137031</v>
      </c>
      <c r="G276" t="str">
        <f t="shared" si="4"/>
        <v/>
      </c>
      <c r="H276">
        <v>9.0869507630926452E-2</v>
      </c>
      <c r="I276" t="s">
        <v>79</v>
      </c>
    </row>
    <row r="277" spans="1:9" x14ac:dyDescent="0.35">
      <c r="A277" t="s">
        <v>69</v>
      </c>
      <c r="B277" t="s">
        <v>72</v>
      </c>
      <c r="C277" t="s">
        <v>40</v>
      </c>
      <c r="D277">
        <v>2026</v>
      </c>
      <c r="E277">
        <v>2.0482566856621309</v>
      </c>
      <c r="G277" t="str">
        <f t="shared" si="4"/>
        <v/>
      </c>
      <c r="H277">
        <v>9.0869507630926452E-2</v>
      </c>
      <c r="I277" t="s">
        <v>79</v>
      </c>
    </row>
    <row r="278" spans="1:9" x14ac:dyDescent="0.35">
      <c r="A278" t="s">
        <v>70</v>
      </c>
      <c r="B278" t="s">
        <v>71</v>
      </c>
      <c r="C278" t="s">
        <v>38</v>
      </c>
      <c r="D278">
        <v>2026</v>
      </c>
      <c r="E278">
        <v>0.90576609482633241</v>
      </c>
      <c r="G278" t="str">
        <f t="shared" si="4"/>
        <v/>
      </c>
      <c r="H278">
        <v>0.29060327203809921</v>
      </c>
      <c r="I278" t="s">
        <v>79</v>
      </c>
    </row>
    <row r="279" spans="1:9" x14ac:dyDescent="0.35">
      <c r="A279" t="s">
        <v>70</v>
      </c>
      <c r="B279" t="s">
        <v>72</v>
      </c>
      <c r="C279" t="s">
        <v>40</v>
      </c>
      <c r="D279">
        <v>2026</v>
      </c>
      <c r="E279">
        <v>1.2769044165836569</v>
      </c>
      <c r="G279" t="str">
        <f t="shared" si="4"/>
        <v/>
      </c>
      <c r="H279">
        <v>0.29060327203809921</v>
      </c>
      <c r="I279" t="s">
        <v>79</v>
      </c>
    </row>
    <row r="280" spans="1:9" x14ac:dyDescent="0.35">
      <c r="A280" t="s">
        <v>73</v>
      </c>
      <c r="B280" t="s">
        <v>71</v>
      </c>
      <c r="C280" t="s">
        <v>38</v>
      </c>
      <c r="D280">
        <v>2026</v>
      </c>
      <c r="E280">
        <v>0.92447634895047592</v>
      </c>
      <c r="G280" t="str">
        <f t="shared" si="4"/>
        <v/>
      </c>
      <c r="H280">
        <v>-2.2259896152862169E-2</v>
      </c>
      <c r="I280" t="s">
        <v>79</v>
      </c>
    </row>
    <row r="281" spans="1:9" x14ac:dyDescent="0.35">
      <c r="A281" t="s">
        <v>73</v>
      </c>
      <c r="B281" t="s">
        <v>72</v>
      </c>
      <c r="C281" t="s">
        <v>40</v>
      </c>
      <c r="D281">
        <v>2026</v>
      </c>
      <c r="E281">
        <v>1.332665672326838</v>
      </c>
      <c r="G281" t="str">
        <f t="shared" si="4"/>
        <v/>
      </c>
      <c r="H281">
        <v>-2.2259896152862169E-2</v>
      </c>
      <c r="I281" t="s">
        <v>79</v>
      </c>
    </row>
    <row r="282" spans="1:9" x14ac:dyDescent="0.35">
      <c r="A282" t="s">
        <v>74</v>
      </c>
      <c r="B282" t="s">
        <v>71</v>
      </c>
      <c r="C282" t="s">
        <v>38</v>
      </c>
      <c r="D282">
        <v>2026</v>
      </c>
      <c r="E282">
        <v>0.2094530818921525</v>
      </c>
      <c r="G282" t="str">
        <f t="shared" si="4"/>
        <v/>
      </c>
      <c r="H282">
        <v>0.35395753132631119</v>
      </c>
      <c r="I282" t="s">
        <v>79</v>
      </c>
    </row>
    <row r="283" spans="1:9" x14ac:dyDescent="0.35">
      <c r="A283" t="s">
        <v>74</v>
      </c>
      <c r="B283" t="s">
        <v>72</v>
      </c>
      <c r="C283" t="s">
        <v>40</v>
      </c>
      <c r="D283">
        <v>2026</v>
      </c>
      <c r="E283">
        <v>2.459515994483374</v>
      </c>
      <c r="G283" t="str">
        <f t="shared" si="4"/>
        <v/>
      </c>
      <c r="H283">
        <v>0.35395753132631119</v>
      </c>
      <c r="I283" t="s">
        <v>79</v>
      </c>
    </row>
    <row r="284" spans="1:9" x14ac:dyDescent="0.35">
      <c r="A284" t="s">
        <v>75</v>
      </c>
      <c r="B284" t="s">
        <v>71</v>
      </c>
      <c r="C284" t="s">
        <v>38</v>
      </c>
      <c r="D284">
        <v>2026</v>
      </c>
      <c r="E284">
        <v>0.79212128922647729</v>
      </c>
      <c r="G284" t="str">
        <f t="shared" si="4"/>
        <v/>
      </c>
      <c r="H284">
        <v>0.13475190754493399</v>
      </c>
      <c r="I284" t="s">
        <v>79</v>
      </c>
    </row>
    <row r="285" spans="1:9" x14ac:dyDescent="0.35">
      <c r="A285" t="s">
        <v>75</v>
      </c>
      <c r="B285" t="s">
        <v>72</v>
      </c>
      <c r="C285" t="s">
        <v>40</v>
      </c>
      <c r="D285">
        <v>2026</v>
      </c>
      <c r="E285">
        <v>0.94654087888825789</v>
      </c>
      <c r="G285" t="str">
        <f t="shared" si="4"/>
        <v/>
      </c>
      <c r="H285">
        <v>0.13475190754493399</v>
      </c>
      <c r="I285" t="s">
        <v>79</v>
      </c>
    </row>
    <row r="286" spans="1:9" x14ac:dyDescent="0.35">
      <c r="A286" t="s">
        <v>76</v>
      </c>
      <c r="B286" t="s">
        <v>71</v>
      </c>
      <c r="C286" t="s">
        <v>38</v>
      </c>
      <c r="D286">
        <v>2026</v>
      </c>
      <c r="E286">
        <v>1.2965999194465061</v>
      </c>
      <c r="G286" t="str">
        <f t="shared" si="4"/>
        <v/>
      </c>
      <c r="H286">
        <v>0.60408164837066136</v>
      </c>
      <c r="I286" t="s">
        <v>79</v>
      </c>
    </row>
    <row r="287" spans="1:9" x14ac:dyDescent="0.35">
      <c r="A287" t="s">
        <v>76</v>
      </c>
      <c r="B287" t="s">
        <v>72</v>
      </c>
      <c r="C287" t="s">
        <v>40</v>
      </c>
      <c r="D287">
        <v>2026</v>
      </c>
      <c r="E287">
        <v>1.244771632095754</v>
      </c>
      <c r="G287" t="str">
        <f t="shared" si="4"/>
        <v/>
      </c>
      <c r="H287">
        <v>0.60408164837066136</v>
      </c>
      <c r="I287" t="s">
        <v>79</v>
      </c>
    </row>
    <row r="288" spans="1:9" x14ac:dyDescent="0.35">
      <c r="A288" t="s">
        <v>77</v>
      </c>
      <c r="B288" t="s">
        <v>71</v>
      </c>
      <c r="C288" t="s">
        <v>38</v>
      </c>
      <c r="D288">
        <v>2026</v>
      </c>
      <c r="E288">
        <v>2.230218535318218</v>
      </c>
      <c r="G288" t="str">
        <f t="shared" si="4"/>
        <v/>
      </c>
      <c r="H288">
        <v>9.3006789852331434E-2</v>
      </c>
      <c r="I288" t="s">
        <v>79</v>
      </c>
    </row>
    <row r="289" spans="1:9" x14ac:dyDescent="0.35">
      <c r="A289" t="s">
        <v>77</v>
      </c>
      <c r="B289" t="s">
        <v>72</v>
      </c>
      <c r="C289" t="s">
        <v>40</v>
      </c>
      <c r="D289">
        <v>2026</v>
      </c>
      <c r="E289">
        <v>2.2455624522224049</v>
      </c>
      <c r="G289" t="str">
        <f t="shared" si="4"/>
        <v/>
      </c>
      <c r="H289">
        <v>9.3006789852331434E-2</v>
      </c>
      <c r="I289" t="s">
        <v>79</v>
      </c>
    </row>
    <row r="290" spans="1:9" x14ac:dyDescent="0.35">
      <c r="A290" t="s">
        <v>36</v>
      </c>
      <c r="B290" t="s">
        <v>37</v>
      </c>
      <c r="C290" t="s">
        <v>38</v>
      </c>
      <c r="D290">
        <v>2011</v>
      </c>
      <c r="E290">
        <v>2.8875773288541411</v>
      </c>
      <c r="F290">
        <v>2.98019333147692</v>
      </c>
      <c r="G290">
        <f t="shared" si="4"/>
        <v>9.2616002622778915E-2</v>
      </c>
      <c r="H290">
        <v>0.84405172952214014</v>
      </c>
      <c r="I290" t="s">
        <v>80</v>
      </c>
    </row>
    <row r="291" spans="1:9" x14ac:dyDescent="0.35">
      <c r="A291" t="s">
        <v>36</v>
      </c>
      <c r="B291" t="s">
        <v>39</v>
      </c>
      <c r="C291" t="s">
        <v>40</v>
      </c>
      <c r="D291">
        <v>2011</v>
      </c>
      <c r="E291">
        <v>2.3656449720009132</v>
      </c>
      <c r="F291">
        <v>2.98019333147692</v>
      </c>
      <c r="G291">
        <f t="shared" si="4"/>
        <v>0.61454835947600683</v>
      </c>
      <c r="H291">
        <v>0.84405172952214014</v>
      </c>
      <c r="I291" t="s">
        <v>80</v>
      </c>
    </row>
    <row r="292" spans="1:9" x14ac:dyDescent="0.35">
      <c r="A292" t="s">
        <v>67</v>
      </c>
      <c r="B292" t="s">
        <v>37</v>
      </c>
      <c r="C292" t="s">
        <v>38</v>
      </c>
      <c r="D292">
        <v>2011</v>
      </c>
      <c r="E292">
        <v>2.1783942373023502</v>
      </c>
      <c r="F292">
        <v>1.9127519277234819</v>
      </c>
      <c r="G292">
        <f t="shared" si="4"/>
        <v>-0.26564230957886825</v>
      </c>
      <c r="H292">
        <v>0.76745955333446914</v>
      </c>
      <c r="I292" t="s">
        <v>80</v>
      </c>
    </row>
    <row r="293" spans="1:9" x14ac:dyDescent="0.35">
      <c r="A293" t="s">
        <v>67</v>
      </c>
      <c r="B293" t="s">
        <v>39</v>
      </c>
      <c r="C293" t="s">
        <v>40</v>
      </c>
      <c r="D293">
        <v>2011</v>
      </c>
      <c r="E293">
        <v>2.356686907237338</v>
      </c>
      <c r="F293">
        <v>1.9127519277234819</v>
      </c>
      <c r="G293">
        <f t="shared" si="4"/>
        <v>-0.44393497951385608</v>
      </c>
      <c r="H293">
        <v>0.76745955333446914</v>
      </c>
      <c r="I293" t="s">
        <v>80</v>
      </c>
    </row>
    <row r="294" spans="1:9" x14ac:dyDescent="0.35">
      <c r="A294" t="s">
        <v>68</v>
      </c>
      <c r="B294" t="s">
        <v>37</v>
      </c>
      <c r="C294" t="s">
        <v>38</v>
      </c>
      <c r="D294">
        <v>2011</v>
      </c>
      <c r="E294">
        <v>2.871708621036118</v>
      </c>
      <c r="F294">
        <v>3.7711034609926739</v>
      </c>
      <c r="G294">
        <f t="shared" si="4"/>
        <v>0.89939483995655589</v>
      </c>
      <c r="H294">
        <v>0.85547195387252284</v>
      </c>
      <c r="I294" t="s">
        <v>80</v>
      </c>
    </row>
    <row r="295" spans="1:9" x14ac:dyDescent="0.35">
      <c r="A295" t="s">
        <v>68</v>
      </c>
      <c r="B295" t="s">
        <v>39</v>
      </c>
      <c r="C295" t="s">
        <v>40</v>
      </c>
      <c r="D295">
        <v>2011</v>
      </c>
      <c r="E295">
        <v>2.5902474284125621</v>
      </c>
      <c r="F295">
        <v>3.7711034609926739</v>
      </c>
      <c r="G295">
        <f t="shared" si="4"/>
        <v>1.1808560325801118</v>
      </c>
      <c r="H295">
        <v>0.85547195387252284</v>
      </c>
      <c r="I295" t="s">
        <v>80</v>
      </c>
    </row>
    <row r="296" spans="1:9" x14ac:dyDescent="0.35">
      <c r="A296" t="s">
        <v>73</v>
      </c>
      <c r="B296" t="s">
        <v>37</v>
      </c>
      <c r="C296" t="s">
        <v>38</v>
      </c>
      <c r="D296">
        <v>2011</v>
      </c>
      <c r="E296">
        <v>1.6159410538217229</v>
      </c>
      <c r="F296">
        <v>2.4520659404670382</v>
      </c>
      <c r="G296">
        <f t="shared" si="4"/>
        <v>0.83612488664531526</v>
      </c>
      <c r="H296">
        <v>0.86455349240999857</v>
      </c>
      <c r="I296" t="s">
        <v>80</v>
      </c>
    </row>
    <row r="297" spans="1:9" x14ac:dyDescent="0.35">
      <c r="A297" t="s">
        <v>73</v>
      </c>
      <c r="B297" t="s">
        <v>39</v>
      </c>
      <c r="C297" t="s">
        <v>40</v>
      </c>
      <c r="D297">
        <v>2011</v>
      </c>
      <c r="E297">
        <v>1.7720935903862369</v>
      </c>
      <c r="F297">
        <v>2.4520659404670382</v>
      </c>
      <c r="G297">
        <f t="shared" si="4"/>
        <v>0.67997235008080126</v>
      </c>
      <c r="H297">
        <v>0.86455349240999857</v>
      </c>
      <c r="I297" t="s">
        <v>80</v>
      </c>
    </row>
    <row r="298" spans="1:9" x14ac:dyDescent="0.35">
      <c r="A298" t="s">
        <v>75</v>
      </c>
      <c r="B298" t="s">
        <v>37</v>
      </c>
      <c r="C298" t="s">
        <v>38</v>
      </c>
      <c r="D298">
        <v>2011</v>
      </c>
      <c r="E298">
        <v>0.53999066387708794</v>
      </c>
      <c r="F298">
        <v>0.85331162783846093</v>
      </c>
      <c r="G298">
        <f t="shared" si="4"/>
        <v>0.31332096396137299</v>
      </c>
      <c r="H298">
        <v>0.81763903391524484</v>
      </c>
      <c r="I298" t="s">
        <v>80</v>
      </c>
    </row>
    <row r="299" spans="1:9" x14ac:dyDescent="0.35">
      <c r="A299" t="s">
        <v>75</v>
      </c>
      <c r="B299" t="s">
        <v>39</v>
      </c>
      <c r="C299" t="s">
        <v>40</v>
      </c>
      <c r="D299">
        <v>2011</v>
      </c>
      <c r="E299">
        <v>0.95974398092302238</v>
      </c>
      <c r="F299">
        <v>0.85331162783846093</v>
      </c>
      <c r="G299">
        <f t="shared" si="4"/>
        <v>-0.10643235308456145</v>
      </c>
      <c r="H299">
        <v>0.81763903391524484</v>
      </c>
      <c r="I299" t="s">
        <v>80</v>
      </c>
    </row>
    <row r="300" spans="1:9" x14ac:dyDescent="0.35">
      <c r="A300" t="s">
        <v>76</v>
      </c>
      <c r="B300" t="s">
        <v>37</v>
      </c>
      <c r="C300" t="s">
        <v>38</v>
      </c>
      <c r="D300">
        <v>2011</v>
      </c>
      <c r="E300">
        <v>1.8081352289394561</v>
      </c>
      <c r="F300">
        <v>1.763265804751377</v>
      </c>
      <c r="G300">
        <f t="shared" si="4"/>
        <v>-4.4869424188079154E-2</v>
      </c>
      <c r="H300">
        <v>0.93333849233642174</v>
      </c>
      <c r="I300" t="s">
        <v>80</v>
      </c>
    </row>
    <row r="301" spans="1:9" x14ac:dyDescent="0.35">
      <c r="A301" t="s">
        <v>76</v>
      </c>
      <c r="B301" t="s">
        <v>39</v>
      </c>
      <c r="C301" t="s">
        <v>40</v>
      </c>
      <c r="D301">
        <v>2011</v>
      </c>
      <c r="E301">
        <v>1.926005162138456</v>
      </c>
      <c r="F301">
        <v>1.763265804751377</v>
      </c>
      <c r="G301">
        <f t="shared" si="4"/>
        <v>-0.16273935738707901</v>
      </c>
      <c r="H301">
        <v>0.93333849233642174</v>
      </c>
      <c r="I301" t="s">
        <v>80</v>
      </c>
    </row>
    <row r="302" spans="1:9" x14ac:dyDescent="0.35">
      <c r="A302" t="s">
        <v>36</v>
      </c>
      <c r="B302" t="s">
        <v>37</v>
      </c>
      <c r="C302" t="s">
        <v>38</v>
      </c>
      <c r="D302">
        <v>2012</v>
      </c>
      <c r="E302">
        <v>0.92282948340831616</v>
      </c>
      <c r="F302">
        <v>0.73761701476599373</v>
      </c>
      <c r="G302">
        <f t="shared" si="4"/>
        <v>-0.18521246864232244</v>
      </c>
      <c r="H302">
        <v>0.86375015188608173</v>
      </c>
      <c r="I302" t="s">
        <v>80</v>
      </c>
    </row>
    <row r="303" spans="1:9" x14ac:dyDescent="0.35">
      <c r="A303" t="s">
        <v>36</v>
      </c>
      <c r="B303" t="s">
        <v>39</v>
      </c>
      <c r="C303" t="s">
        <v>40</v>
      </c>
      <c r="D303">
        <v>2012</v>
      </c>
      <c r="E303">
        <v>2.001395495121816</v>
      </c>
      <c r="F303">
        <v>0.73761701476599373</v>
      </c>
      <c r="G303">
        <f t="shared" si="4"/>
        <v>-1.2637784803558223</v>
      </c>
      <c r="H303">
        <v>0.86375015188608173</v>
      </c>
      <c r="I303" t="s">
        <v>80</v>
      </c>
    </row>
    <row r="304" spans="1:9" x14ac:dyDescent="0.35">
      <c r="A304" t="s">
        <v>36</v>
      </c>
      <c r="B304" t="s">
        <v>41</v>
      </c>
      <c r="C304" t="s">
        <v>38</v>
      </c>
      <c r="D304">
        <v>2012</v>
      </c>
      <c r="E304">
        <v>0.7904128560278334</v>
      </c>
      <c r="F304">
        <v>0.73761701476599373</v>
      </c>
      <c r="G304">
        <f t="shared" si="4"/>
        <v>-5.2795841261839671E-2</v>
      </c>
      <c r="H304">
        <v>0.86375015188608173</v>
      </c>
      <c r="I304" t="s">
        <v>80</v>
      </c>
    </row>
    <row r="305" spans="1:9" x14ac:dyDescent="0.35">
      <c r="A305" t="s">
        <v>36</v>
      </c>
      <c r="B305" t="s">
        <v>42</v>
      </c>
      <c r="C305" t="s">
        <v>40</v>
      </c>
      <c r="D305">
        <v>2012</v>
      </c>
      <c r="E305">
        <v>0.77706713829110985</v>
      </c>
      <c r="F305">
        <v>0.73761701476599373</v>
      </c>
      <c r="G305">
        <f t="shared" si="4"/>
        <v>-3.9450123525116121E-2</v>
      </c>
      <c r="H305">
        <v>0.86375015188608173</v>
      </c>
      <c r="I305" t="s">
        <v>80</v>
      </c>
    </row>
    <row r="306" spans="1:9" x14ac:dyDescent="0.35">
      <c r="A306" t="s">
        <v>67</v>
      </c>
      <c r="B306" t="s">
        <v>37</v>
      </c>
      <c r="C306" t="s">
        <v>38</v>
      </c>
      <c r="D306">
        <v>2012</v>
      </c>
      <c r="E306">
        <v>0.94750037204316406</v>
      </c>
      <c r="F306">
        <v>0.2155903836940283</v>
      </c>
      <c r="G306">
        <f t="shared" si="4"/>
        <v>-0.73190998834913579</v>
      </c>
      <c r="H306">
        <v>0.81973101760919642</v>
      </c>
      <c r="I306" t="s">
        <v>80</v>
      </c>
    </row>
    <row r="307" spans="1:9" x14ac:dyDescent="0.35">
      <c r="A307" t="s">
        <v>67</v>
      </c>
      <c r="B307" t="s">
        <v>39</v>
      </c>
      <c r="C307" t="s">
        <v>40</v>
      </c>
      <c r="D307">
        <v>2012</v>
      </c>
      <c r="E307">
        <v>2.2102235249893849</v>
      </c>
      <c r="F307">
        <v>0.2155903836940283</v>
      </c>
      <c r="G307">
        <f t="shared" si="4"/>
        <v>-1.9946331412953566</v>
      </c>
      <c r="H307">
        <v>0.81973101760919642</v>
      </c>
      <c r="I307" t="s">
        <v>80</v>
      </c>
    </row>
    <row r="308" spans="1:9" x14ac:dyDescent="0.35">
      <c r="A308" t="s">
        <v>67</v>
      </c>
      <c r="B308" t="s">
        <v>41</v>
      </c>
      <c r="C308" t="s">
        <v>38</v>
      </c>
      <c r="D308">
        <v>2012</v>
      </c>
      <c r="E308">
        <v>-0.20103838842507879</v>
      </c>
      <c r="F308">
        <v>0.2155903836940283</v>
      </c>
      <c r="G308">
        <f t="shared" si="4"/>
        <v>0.41662877211910709</v>
      </c>
      <c r="H308">
        <v>0.81973101760919642</v>
      </c>
      <c r="I308" t="s">
        <v>80</v>
      </c>
    </row>
    <row r="309" spans="1:9" x14ac:dyDescent="0.35">
      <c r="A309" t="s">
        <v>67</v>
      </c>
      <c r="B309" t="s">
        <v>42</v>
      </c>
      <c r="C309" t="s">
        <v>40</v>
      </c>
      <c r="D309">
        <v>2012</v>
      </c>
      <c r="E309">
        <v>-1.8249929426483739E-2</v>
      </c>
      <c r="F309">
        <v>0.2155903836940283</v>
      </c>
      <c r="G309">
        <f t="shared" si="4"/>
        <v>0.23384031312051204</v>
      </c>
      <c r="H309">
        <v>0.81973101760919642</v>
      </c>
      <c r="I309" t="s">
        <v>80</v>
      </c>
    </row>
    <row r="310" spans="1:9" x14ac:dyDescent="0.35">
      <c r="A310" t="s">
        <v>68</v>
      </c>
      <c r="B310" t="s">
        <v>37</v>
      </c>
      <c r="C310" t="s">
        <v>38</v>
      </c>
      <c r="D310">
        <v>2012</v>
      </c>
      <c r="E310">
        <v>0.75853952005673353</v>
      </c>
      <c r="F310">
        <v>0.70451026571915831</v>
      </c>
      <c r="G310">
        <f t="shared" si="4"/>
        <v>-5.4029254337575217E-2</v>
      </c>
      <c r="H310">
        <v>0.85819884210171127</v>
      </c>
      <c r="I310" t="s">
        <v>80</v>
      </c>
    </row>
    <row r="311" spans="1:9" x14ac:dyDescent="0.35">
      <c r="A311" t="s">
        <v>68</v>
      </c>
      <c r="B311" t="s">
        <v>39</v>
      </c>
      <c r="C311" t="s">
        <v>40</v>
      </c>
      <c r="D311">
        <v>2012</v>
      </c>
      <c r="E311">
        <v>1.947486880825489</v>
      </c>
      <c r="F311">
        <v>0.70451026571915831</v>
      </c>
      <c r="G311">
        <f t="shared" si="4"/>
        <v>-1.2429766151063308</v>
      </c>
      <c r="H311">
        <v>0.85819884210171127</v>
      </c>
      <c r="I311" t="s">
        <v>80</v>
      </c>
    </row>
    <row r="312" spans="1:9" x14ac:dyDescent="0.35">
      <c r="A312" t="s">
        <v>68</v>
      </c>
      <c r="B312" t="s">
        <v>41</v>
      </c>
      <c r="C312" t="s">
        <v>38</v>
      </c>
      <c r="D312">
        <v>2012</v>
      </c>
      <c r="E312">
        <v>0.8314871930005685</v>
      </c>
      <c r="F312">
        <v>0.70451026571915831</v>
      </c>
      <c r="G312">
        <f t="shared" si="4"/>
        <v>-0.12697692728141019</v>
      </c>
      <c r="H312">
        <v>0.85819884210171127</v>
      </c>
      <c r="I312" t="s">
        <v>80</v>
      </c>
    </row>
    <row r="313" spans="1:9" x14ac:dyDescent="0.35">
      <c r="A313" t="s">
        <v>68</v>
      </c>
      <c r="B313" t="s">
        <v>42</v>
      </c>
      <c r="C313" t="s">
        <v>40</v>
      </c>
      <c r="D313">
        <v>2012</v>
      </c>
      <c r="E313">
        <v>0.68323358153099534</v>
      </c>
      <c r="F313">
        <v>0.70451026571915831</v>
      </c>
      <c r="G313">
        <f t="shared" si="4"/>
        <v>2.1276684188162975E-2</v>
      </c>
      <c r="H313">
        <v>0.85819884210171127</v>
      </c>
      <c r="I313" t="s">
        <v>80</v>
      </c>
    </row>
    <row r="314" spans="1:9" x14ac:dyDescent="0.35">
      <c r="A314" t="s">
        <v>73</v>
      </c>
      <c r="B314" t="s">
        <v>37</v>
      </c>
      <c r="C314" t="s">
        <v>38</v>
      </c>
      <c r="D314">
        <v>2012</v>
      </c>
      <c r="E314">
        <v>0.55167308327404019</v>
      </c>
      <c r="F314">
        <v>0.226946609537066</v>
      </c>
      <c r="G314">
        <f t="shared" si="4"/>
        <v>-0.32472647373697416</v>
      </c>
      <c r="H314">
        <v>0.83359266727057346</v>
      </c>
      <c r="I314" t="s">
        <v>80</v>
      </c>
    </row>
    <row r="315" spans="1:9" x14ac:dyDescent="0.35">
      <c r="A315" t="s">
        <v>73</v>
      </c>
      <c r="B315" t="s">
        <v>39</v>
      </c>
      <c r="C315" t="s">
        <v>40</v>
      </c>
      <c r="D315">
        <v>2012</v>
      </c>
      <c r="E315">
        <v>2.040883011076966</v>
      </c>
      <c r="F315">
        <v>0.226946609537066</v>
      </c>
      <c r="G315">
        <f t="shared" si="4"/>
        <v>-1.8139364015399</v>
      </c>
      <c r="H315">
        <v>0.83359266727057346</v>
      </c>
      <c r="I315" t="s">
        <v>80</v>
      </c>
    </row>
    <row r="316" spans="1:9" x14ac:dyDescent="0.35">
      <c r="A316" t="s">
        <v>73</v>
      </c>
      <c r="B316" t="s">
        <v>41</v>
      </c>
      <c r="C316" t="s">
        <v>38</v>
      </c>
      <c r="D316">
        <v>2012</v>
      </c>
      <c r="E316">
        <v>0.191602674222735</v>
      </c>
      <c r="F316">
        <v>0.226946609537066</v>
      </c>
      <c r="G316">
        <f t="shared" si="4"/>
        <v>3.5343935314330999E-2</v>
      </c>
      <c r="H316">
        <v>0.83359266727057346</v>
      </c>
      <c r="I316" t="s">
        <v>80</v>
      </c>
    </row>
    <row r="317" spans="1:9" x14ac:dyDescent="0.35">
      <c r="A317" t="s">
        <v>73</v>
      </c>
      <c r="B317" t="s">
        <v>42</v>
      </c>
      <c r="C317" t="s">
        <v>40</v>
      </c>
      <c r="D317">
        <v>2012</v>
      </c>
      <c r="E317">
        <v>0.47308017111291623</v>
      </c>
      <c r="F317">
        <v>0.226946609537066</v>
      </c>
      <c r="G317">
        <f t="shared" si="4"/>
        <v>-0.24613356157585023</v>
      </c>
      <c r="H317">
        <v>0.83359266727057346</v>
      </c>
      <c r="I317" t="s">
        <v>80</v>
      </c>
    </row>
    <row r="318" spans="1:9" x14ac:dyDescent="0.35">
      <c r="A318" t="s">
        <v>74</v>
      </c>
      <c r="B318" t="s">
        <v>37</v>
      </c>
      <c r="C318" t="s">
        <v>38</v>
      </c>
      <c r="D318">
        <v>2012</v>
      </c>
      <c r="E318">
        <v>1.0901130974096951</v>
      </c>
      <c r="F318">
        <v>-0.53795048916406796</v>
      </c>
      <c r="G318">
        <f t="shared" si="4"/>
        <v>-1.6280635865737629</v>
      </c>
      <c r="H318">
        <v>0.80455270009552871</v>
      </c>
      <c r="I318" t="s">
        <v>80</v>
      </c>
    </row>
    <row r="319" spans="1:9" x14ac:dyDescent="0.35">
      <c r="A319" t="s">
        <v>74</v>
      </c>
      <c r="B319" t="s">
        <v>39</v>
      </c>
      <c r="C319" t="s">
        <v>40</v>
      </c>
      <c r="D319">
        <v>2012</v>
      </c>
      <c r="E319">
        <v>1.915684733449208</v>
      </c>
      <c r="F319">
        <v>-0.53795048916406796</v>
      </c>
      <c r="G319">
        <f t="shared" si="4"/>
        <v>-2.453635222613276</v>
      </c>
      <c r="H319">
        <v>0.80455270009552871</v>
      </c>
      <c r="I319" t="s">
        <v>80</v>
      </c>
    </row>
    <row r="320" spans="1:9" x14ac:dyDescent="0.35">
      <c r="A320" t="s">
        <v>74</v>
      </c>
      <c r="B320" t="s">
        <v>41</v>
      </c>
      <c r="C320" t="s">
        <v>38</v>
      </c>
      <c r="D320">
        <v>2012</v>
      </c>
      <c r="E320">
        <v>0.43127476645701268</v>
      </c>
      <c r="F320">
        <v>-0.53795048916406796</v>
      </c>
      <c r="G320">
        <f t="shared" si="4"/>
        <v>-0.96922525562108064</v>
      </c>
      <c r="H320">
        <v>0.80455270009552871</v>
      </c>
      <c r="I320" t="s">
        <v>80</v>
      </c>
    </row>
    <row r="321" spans="1:9" x14ac:dyDescent="0.35">
      <c r="A321" t="s">
        <v>74</v>
      </c>
      <c r="B321" t="s">
        <v>42</v>
      </c>
      <c r="C321" t="s">
        <v>40</v>
      </c>
      <c r="D321">
        <v>2012</v>
      </c>
      <c r="E321">
        <v>0.53448290594637626</v>
      </c>
      <c r="F321">
        <v>-0.53795048916406796</v>
      </c>
      <c r="G321">
        <f t="shared" si="4"/>
        <v>-1.0724333951104441</v>
      </c>
      <c r="H321">
        <v>0.80455270009552871</v>
      </c>
      <c r="I321" t="s">
        <v>80</v>
      </c>
    </row>
    <row r="322" spans="1:9" x14ac:dyDescent="0.35">
      <c r="A322" t="s">
        <v>75</v>
      </c>
      <c r="B322" t="s">
        <v>37</v>
      </c>
      <c r="C322" t="s">
        <v>38</v>
      </c>
      <c r="D322">
        <v>2012</v>
      </c>
      <c r="E322">
        <v>5.7128352794499897E-2</v>
      </c>
      <c r="F322">
        <v>-3.2265545234223771</v>
      </c>
      <c r="G322">
        <f t="shared" ref="G322:G385" si="5">IF(OR(F322="",E322=""),"",F322-E322)</f>
        <v>-3.283682876216877</v>
      </c>
      <c r="H322">
        <v>0.82627094935362411</v>
      </c>
      <c r="I322" t="s">
        <v>80</v>
      </c>
    </row>
    <row r="323" spans="1:9" x14ac:dyDescent="0.35">
      <c r="A323" t="s">
        <v>75</v>
      </c>
      <c r="B323" t="s">
        <v>39</v>
      </c>
      <c r="C323" t="s">
        <v>40</v>
      </c>
      <c r="D323">
        <v>2012</v>
      </c>
      <c r="E323">
        <v>1.314970893331791</v>
      </c>
      <c r="F323">
        <v>-3.2265545234223771</v>
      </c>
      <c r="G323">
        <f t="shared" si="5"/>
        <v>-4.5415254167541681</v>
      </c>
      <c r="H323">
        <v>0.82627094935362411</v>
      </c>
      <c r="I323" t="s">
        <v>80</v>
      </c>
    </row>
    <row r="324" spans="1:9" x14ac:dyDescent="0.35">
      <c r="A324" t="s">
        <v>75</v>
      </c>
      <c r="B324" t="s">
        <v>41</v>
      </c>
      <c r="C324" t="s">
        <v>38</v>
      </c>
      <c r="D324">
        <v>2012</v>
      </c>
      <c r="E324">
        <v>-2.2867991965167418</v>
      </c>
      <c r="F324">
        <v>-3.2265545234223771</v>
      </c>
      <c r="G324">
        <f t="shared" si="5"/>
        <v>-0.93975532690563535</v>
      </c>
      <c r="H324">
        <v>0.82627094935362411</v>
      </c>
      <c r="I324" t="s">
        <v>80</v>
      </c>
    </row>
    <row r="325" spans="1:9" x14ac:dyDescent="0.35">
      <c r="A325" t="s">
        <v>75</v>
      </c>
      <c r="B325" t="s">
        <v>42</v>
      </c>
      <c r="C325" t="s">
        <v>40</v>
      </c>
      <c r="D325">
        <v>2012</v>
      </c>
      <c r="E325">
        <v>-1.4066091621440899</v>
      </c>
      <c r="F325">
        <v>-3.2265545234223771</v>
      </c>
      <c r="G325">
        <f t="shared" si="5"/>
        <v>-1.8199453612782872</v>
      </c>
      <c r="H325">
        <v>0.82627094935362411</v>
      </c>
      <c r="I325" t="s">
        <v>80</v>
      </c>
    </row>
    <row r="326" spans="1:9" x14ac:dyDescent="0.35">
      <c r="A326" t="s">
        <v>76</v>
      </c>
      <c r="B326" t="s">
        <v>37</v>
      </c>
      <c r="C326" t="s">
        <v>38</v>
      </c>
      <c r="D326">
        <v>2012</v>
      </c>
      <c r="E326">
        <v>0.49861923570131422</v>
      </c>
      <c r="F326">
        <v>-0.98761966818776048</v>
      </c>
      <c r="G326">
        <f t="shared" si="5"/>
        <v>-1.4862389038890746</v>
      </c>
      <c r="H326">
        <v>0.8351428698232144</v>
      </c>
      <c r="I326" t="s">
        <v>80</v>
      </c>
    </row>
    <row r="327" spans="1:9" x14ac:dyDescent="0.35">
      <c r="A327" t="s">
        <v>76</v>
      </c>
      <c r="B327" t="s">
        <v>39</v>
      </c>
      <c r="C327" t="s">
        <v>40</v>
      </c>
      <c r="D327">
        <v>2012</v>
      </c>
      <c r="E327">
        <v>1.661047212655653</v>
      </c>
      <c r="F327">
        <v>-0.98761966818776048</v>
      </c>
      <c r="G327">
        <f t="shared" si="5"/>
        <v>-2.6486668808434137</v>
      </c>
      <c r="H327">
        <v>0.8351428698232144</v>
      </c>
      <c r="I327" t="s">
        <v>80</v>
      </c>
    </row>
    <row r="328" spans="1:9" x14ac:dyDescent="0.35">
      <c r="A328" t="s">
        <v>76</v>
      </c>
      <c r="B328" t="s">
        <v>41</v>
      </c>
      <c r="C328" t="s">
        <v>38</v>
      </c>
      <c r="D328">
        <v>2012</v>
      </c>
      <c r="E328">
        <v>-0.28000741980042099</v>
      </c>
      <c r="F328">
        <v>-0.98761966818776048</v>
      </c>
      <c r="G328">
        <f t="shared" si="5"/>
        <v>-0.70761224838733949</v>
      </c>
      <c r="H328">
        <v>0.8351428698232144</v>
      </c>
      <c r="I328" t="s">
        <v>80</v>
      </c>
    </row>
    <row r="329" spans="1:9" x14ac:dyDescent="0.35">
      <c r="A329" t="s">
        <v>76</v>
      </c>
      <c r="B329" t="s">
        <v>42</v>
      </c>
      <c r="C329" t="s">
        <v>40</v>
      </c>
      <c r="D329">
        <v>2012</v>
      </c>
      <c r="E329">
        <v>-0.88737458554019044</v>
      </c>
      <c r="F329">
        <v>-0.98761966818776048</v>
      </c>
      <c r="G329">
        <f t="shared" si="5"/>
        <v>-0.10024508264757004</v>
      </c>
      <c r="H329">
        <v>0.8351428698232144</v>
      </c>
      <c r="I329" t="s">
        <v>80</v>
      </c>
    </row>
    <row r="330" spans="1:9" x14ac:dyDescent="0.35">
      <c r="A330" t="s">
        <v>67</v>
      </c>
      <c r="B330" t="s">
        <v>41</v>
      </c>
      <c r="C330" t="s">
        <v>38</v>
      </c>
      <c r="D330">
        <v>2013</v>
      </c>
      <c r="E330">
        <v>0.74022419318038324</v>
      </c>
      <c r="F330">
        <v>0.30504047757239749</v>
      </c>
      <c r="G330">
        <f t="shared" si="5"/>
        <v>-0.43518371560798574</v>
      </c>
      <c r="H330">
        <v>0.69331955515361221</v>
      </c>
      <c r="I330" t="s">
        <v>80</v>
      </c>
    </row>
    <row r="331" spans="1:9" x14ac:dyDescent="0.35">
      <c r="A331" t="s">
        <v>67</v>
      </c>
      <c r="B331" t="s">
        <v>42</v>
      </c>
      <c r="C331" t="s">
        <v>40</v>
      </c>
      <c r="D331">
        <v>2013</v>
      </c>
      <c r="E331">
        <v>1.243358392394422</v>
      </c>
      <c r="F331">
        <v>0.30504047757239749</v>
      </c>
      <c r="G331">
        <f t="shared" si="5"/>
        <v>-0.93831791482202453</v>
      </c>
      <c r="H331">
        <v>0.69331955515361221</v>
      </c>
      <c r="I331" t="s">
        <v>80</v>
      </c>
    </row>
    <row r="332" spans="1:9" x14ac:dyDescent="0.35">
      <c r="A332" t="s">
        <v>67</v>
      </c>
      <c r="B332" t="s">
        <v>43</v>
      </c>
      <c r="C332" t="s">
        <v>38</v>
      </c>
      <c r="D332">
        <v>2013</v>
      </c>
      <c r="E332">
        <v>0.1418580624652277</v>
      </c>
      <c r="F332">
        <v>0.30504047757239749</v>
      </c>
      <c r="G332">
        <f t="shared" si="5"/>
        <v>0.1631824151071698</v>
      </c>
      <c r="H332">
        <v>0.69331955515361221</v>
      </c>
      <c r="I332" t="s">
        <v>80</v>
      </c>
    </row>
    <row r="333" spans="1:9" x14ac:dyDescent="0.35">
      <c r="A333" t="s">
        <v>67</v>
      </c>
      <c r="B333" t="s">
        <v>44</v>
      </c>
      <c r="C333" t="s">
        <v>40</v>
      </c>
      <c r="D333">
        <v>2013</v>
      </c>
      <c r="E333">
        <v>4.2242834906547337E-2</v>
      </c>
      <c r="F333">
        <v>0.30504047757239749</v>
      </c>
      <c r="G333">
        <f t="shared" si="5"/>
        <v>0.26279764266585015</v>
      </c>
      <c r="H333">
        <v>0.69331955515361221</v>
      </c>
      <c r="I333" t="s">
        <v>80</v>
      </c>
    </row>
    <row r="334" spans="1:9" x14ac:dyDescent="0.35">
      <c r="A334" t="s">
        <v>68</v>
      </c>
      <c r="B334" t="s">
        <v>41</v>
      </c>
      <c r="C334" t="s">
        <v>38</v>
      </c>
      <c r="D334">
        <v>2013</v>
      </c>
      <c r="E334">
        <v>0.83761648451896598</v>
      </c>
      <c r="F334">
        <v>0.57080505068838228</v>
      </c>
      <c r="G334">
        <f t="shared" si="5"/>
        <v>-0.2668114338305837</v>
      </c>
      <c r="H334">
        <v>0.74606709497390522</v>
      </c>
      <c r="I334" t="s">
        <v>80</v>
      </c>
    </row>
    <row r="335" spans="1:9" x14ac:dyDescent="0.35">
      <c r="A335" t="s">
        <v>68</v>
      </c>
      <c r="B335" t="s">
        <v>42</v>
      </c>
      <c r="C335" t="s">
        <v>40</v>
      </c>
      <c r="D335">
        <v>2013</v>
      </c>
      <c r="E335">
        <v>1.6744076981229929</v>
      </c>
      <c r="F335">
        <v>0.57080505068838228</v>
      </c>
      <c r="G335">
        <f t="shared" si="5"/>
        <v>-1.1036026474346108</v>
      </c>
      <c r="H335">
        <v>0.74606709497390522</v>
      </c>
      <c r="I335" t="s">
        <v>80</v>
      </c>
    </row>
    <row r="336" spans="1:9" x14ac:dyDescent="0.35">
      <c r="A336" t="s">
        <v>68</v>
      </c>
      <c r="B336" t="s">
        <v>43</v>
      </c>
      <c r="C336" t="s">
        <v>38</v>
      </c>
      <c r="D336">
        <v>2013</v>
      </c>
      <c r="E336">
        <v>0.46473090150995772</v>
      </c>
      <c r="F336">
        <v>0.57080505068838228</v>
      </c>
      <c r="G336">
        <f t="shared" si="5"/>
        <v>0.10607414917842456</v>
      </c>
      <c r="H336">
        <v>0.74606709497390522</v>
      </c>
      <c r="I336" t="s">
        <v>80</v>
      </c>
    </row>
    <row r="337" spans="1:9" x14ac:dyDescent="0.35">
      <c r="A337" t="s">
        <v>68</v>
      </c>
      <c r="B337" t="s">
        <v>44</v>
      </c>
      <c r="C337" t="s">
        <v>40</v>
      </c>
      <c r="D337">
        <v>2013</v>
      </c>
      <c r="E337">
        <v>0.37981982770534112</v>
      </c>
      <c r="F337">
        <v>0.57080505068838228</v>
      </c>
      <c r="G337">
        <f t="shared" si="5"/>
        <v>0.19098522298304116</v>
      </c>
      <c r="H337">
        <v>0.74606709497390522</v>
      </c>
      <c r="I337" t="s">
        <v>80</v>
      </c>
    </row>
    <row r="338" spans="1:9" x14ac:dyDescent="0.35">
      <c r="A338" t="s">
        <v>73</v>
      </c>
      <c r="B338" t="s">
        <v>41</v>
      </c>
      <c r="C338" t="s">
        <v>38</v>
      </c>
      <c r="D338">
        <v>2013</v>
      </c>
      <c r="E338">
        <v>0.38047816820923058</v>
      </c>
      <c r="F338">
        <v>0.92634815984379837</v>
      </c>
      <c r="G338">
        <f t="shared" si="5"/>
        <v>0.54586999163456773</v>
      </c>
      <c r="H338">
        <v>0.6952933760342126</v>
      </c>
      <c r="I338" t="s">
        <v>80</v>
      </c>
    </row>
    <row r="339" spans="1:9" x14ac:dyDescent="0.35">
      <c r="A339" t="s">
        <v>73</v>
      </c>
      <c r="B339" t="s">
        <v>42</v>
      </c>
      <c r="C339" t="s">
        <v>40</v>
      </c>
      <c r="D339">
        <v>2013</v>
      </c>
      <c r="E339">
        <v>1.3369944796204569</v>
      </c>
      <c r="F339">
        <v>0.92634815984379837</v>
      </c>
      <c r="G339">
        <f t="shared" si="5"/>
        <v>-0.41064631977665855</v>
      </c>
      <c r="H339">
        <v>0.6952933760342126</v>
      </c>
      <c r="I339" t="s">
        <v>80</v>
      </c>
    </row>
    <row r="340" spans="1:9" x14ac:dyDescent="0.35">
      <c r="A340" t="s">
        <v>73</v>
      </c>
      <c r="B340" t="s">
        <v>43</v>
      </c>
      <c r="C340" t="s">
        <v>38</v>
      </c>
      <c r="D340">
        <v>2013</v>
      </c>
      <c r="E340">
        <v>0.21992165083872811</v>
      </c>
      <c r="F340">
        <v>0.92634815984379837</v>
      </c>
      <c r="G340">
        <f t="shared" si="5"/>
        <v>0.70642650900507031</v>
      </c>
      <c r="H340">
        <v>0.6952933760342126</v>
      </c>
      <c r="I340" t="s">
        <v>80</v>
      </c>
    </row>
    <row r="341" spans="1:9" x14ac:dyDescent="0.35">
      <c r="A341" t="s">
        <v>73</v>
      </c>
      <c r="B341" t="s">
        <v>44</v>
      </c>
      <c r="C341" t="s">
        <v>40</v>
      </c>
      <c r="D341">
        <v>2013</v>
      </c>
      <c r="E341">
        <v>-9.6293692429949562E-2</v>
      </c>
      <c r="F341">
        <v>0.92634815984379837</v>
      </c>
      <c r="G341">
        <f t="shared" si="5"/>
        <v>1.0226418522737479</v>
      </c>
      <c r="H341">
        <v>0.6952933760342126</v>
      </c>
      <c r="I341" t="s">
        <v>80</v>
      </c>
    </row>
    <row r="342" spans="1:9" x14ac:dyDescent="0.35">
      <c r="A342" t="s">
        <v>74</v>
      </c>
      <c r="B342" t="s">
        <v>41</v>
      </c>
      <c r="C342" t="s">
        <v>38</v>
      </c>
      <c r="D342">
        <v>2013</v>
      </c>
      <c r="E342">
        <v>1.055742969234341</v>
      </c>
      <c r="F342">
        <v>2.260800070139938</v>
      </c>
      <c r="G342">
        <f t="shared" si="5"/>
        <v>1.205057100905597</v>
      </c>
      <c r="H342">
        <v>0.8458141491316713</v>
      </c>
      <c r="I342" t="s">
        <v>80</v>
      </c>
    </row>
    <row r="343" spans="1:9" x14ac:dyDescent="0.35">
      <c r="A343" t="s">
        <v>74</v>
      </c>
      <c r="B343" t="s">
        <v>42</v>
      </c>
      <c r="C343" t="s">
        <v>40</v>
      </c>
      <c r="D343">
        <v>2013</v>
      </c>
      <c r="E343">
        <v>1.9060651556646271</v>
      </c>
      <c r="F343">
        <v>2.260800070139938</v>
      </c>
      <c r="G343">
        <f t="shared" si="5"/>
        <v>0.35473491447531091</v>
      </c>
      <c r="H343">
        <v>0.8458141491316713</v>
      </c>
      <c r="I343" t="s">
        <v>80</v>
      </c>
    </row>
    <row r="344" spans="1:9" x14ac:dyDescent="0.35">
      <c r="A344" t="s">
        <v>74</v>
      </c>
      <c r="B344" t="s">
        <v>43</v>
      </c>
      <c r="C344" t="s">
        <v>38</v>
      </c>
      <c r="D344">
        <v>2013</v>
      </c>
      <c r="E344">
        <v>0.30402131855349351</v>
      </c>
      <c r="F344">
        <v>2.260800070139938</v>
      </c>
      <c r="G344">
        <f t="shared" si="5"/>
        <v>1.9567787515864445</v>
      </c>
      <c r="H344">
        <v>0.8458141491316713</v>
      </c>
      <c r="I344" t="s">
        <v>80</v>
      </c>
    </row>
    <row r="345" spans="1:9" x14ac:dyDescent="0.35">
      <c r="A345" t="s">
        <v>74</v>
      </c>
      <c r="B345" t="s">
        <v>44</v>
      </c>
      <c r="C345" t="s">
        <v>40</v>
      </c>
      <c r="D345">
        <v>2013</v>
      </c>
      <c r="E345">
        <v>1.069987927348115</v>
      </c>
      <c r="F345">
        <v>2.260800070139938</v>
      </c>
      <c r="G345">
        <f t="shared" si="5"/>
        <v>1.190812142791823</v>
      </c>
      <c r="H345">
        <v>0.8458141491316713</v>
      </c>
      <c r="I345" t="s">
        <v>80</v>
      </c>
    </row>
    <row r="346" spans="1:9" x14ac:dyDescent="0.35">
      <c r="A346" t="s">
        <v>36</v>
      </c>
      <c r="B346" t="s">
        <v>49</v>
      </c>
      <c r="C346" t="s">
        <v>38</v>
      </c>
      <c r="D346">
        <v>2017</v>
      </c>
      <c r="E346">
        <v>1.5818491497620271</v>
      </c>
      <c r="F346">
        <v>2.3680132788277781</v>
      </c>
      <c r="G346">
        <f t="shared" si="5"/>
        <v>0.78616412906575106</v>
      </c>
      <c r="H346">
        <v>0.76433492494395139</v>
      </c>
      <c r="I346" t="s">
        <v>80</v>
      </c>
    </row>
    <row r="347" spans="1:9" x14ac:dyDescent="0.35">
      <c r="A347" t="s">
        <v>36</v>
      </c>
      <c r="B347" t="s">
        <v>50</v>
      </c>
      <c r="C347" t="s">
        <v>40</v>
      </c>
      <c r="D347">
        <v>2017</v>
      </c>
      <c r="E347">
        <v>1.626978361111475</v>
      </c>
      <c r="F347">
        <v>2.3680132788277781</v>
      </c>
      <c r="G347">
        <f t="shared" si="5"/>
        <v>0.74103491771630314</v>
      </c>
      <c r="H347">
        <v>0.76433492494395139</v>
      </c>
      <c r="I347" t="s">
        <v>80</v>
      </c>
    </row>
    <row r="348" spans="1:9" x14ac:dyDescent="0.35">
      <c r="A348" t="s">
        <v>36</v>
      </c>
      <c r="B348" t="s">
        <v>51</v>
      </c>
      <c r="C348" t="s">
        <v>38</v>
      </c>
      <c r="D348">
        <v>2017</v>
      </c>
      <c r="E348">
        <v>2.5716586567718469</v>
      </c>
      <c r="F348">
        <v>2.3680132788277781</v>
      </c>
      <c r="G348">
        <f t="shared" si="5"/>
        <v>-0.20364537794406878</v>
      </c>
      <c r="H348">
        <v>0.76433492494395139</v>
      </c>
      <c r="I348" t="s">
        <v>80</v>
      </c>
    </row>
    <row r="349" spans="1:9" x14ac:dyDescent="0.35">
      <c r="A349" t="s">
        <v>36</v>
      </c>
      <c r="B349" t="s">
        <v>52</v>
      </c>
      <c r="C349" t="s">
        <v>40</v>
      </c>
      <c r="D349">
        <v>2017</v>
      </c>
      <c r="E349">
        <v>1.728692467241477</v>
      </c>
      <c r="F349">
        <v>2.3680132788277781</v>
      </c>
      <c r="G349">
        <f t="shared" si="5"/>
        <v>0.63932081158630116</v>
      </c>
      <c r="H349">
        <v>0.76433492494395139</v>
      </c>
      <c r="I349" t="s">
        <v>80</v>
      </c>
    </row>
    <row r="350" spans="1:9" x14ac:dyDescent="0.35">
      <c r="A350" t="s">
        <v>67</v>
      </c>
      <c r="B350" t="s">
        <v>49</v>
      </c>
      <c r="C350" t="s">
        <v>38</v>
      </c>
      <c r="D350">
        <v>2017</v>
      </c>
      <c r="E350">
        <v>1.3129307877172809</v>
      </c>
      <c r="F350">
        <v>1.4637105039357461</v>
      </c>
      <c r="G350">
        <f t="shared" si="5"/>
        <v>0.1507797162184652</v>
      </c>
      <c r="H350">
        <v>0.74248837679873125</v>
      </c>
      <c r="I350" t="s">
        <v>80</v>
      </c>
    </row>
    <row r="351" spans="1:9" x14ac:dyDescent="0.35">
      <c r="A351" t="s">
        <v>67</v>
      </c>
      <c r="B351" t="s">
        <v>50</v>
      </c>
      <c r="C351" t="s">
        <v>40</v>
      </c>
      <c r="D351">
        <v>2017</v>
      </c>
      <c r="E351">
        <v>1.566209901734994</v>
      </c>
      <c r="F351">
        <v>1.4637105039357461</v>
      </c>
      <c r="G351">
        <f t="shared" si="5"/>
        <v>-0.10249939779924788</v>
      </c>
      <c r="H351">
        <v>0.74248837679873125</v>
      </c>
      <c r="I351" t="s">
        <v>80</v>
      </c>
    </row>
    <row r="352" spans="1:9" x14ac:dyDescent="0.35">
      <c r="A352" t="s">
        <v>67</v>
      </c>
      <c r="B352" t="s">
        <v>51</v>
      </c>
      <c r="C352" t="s">
        <v>38</v>
      </c>
      <c r="D352">
        <v>2017</v>
      </c>
      <c r="E352">
        <v>1.732555567629479</v>
      </c>
      <c r="F352">
        <v>1.4637105039357461</v>
      </c>
      <c r="G352">
        <f t="shared" si="5"/>
        <v>-0.26884506369373296</v>
      </c>
      <c r="H352">
        <v>0.74248837679873125</v>
      </c>
      <c r="I352" t="s">
        <v>80</v>
      </c>
    </row>
    <row r="353" spans="1:9" x14ac:dyDescent="0.35">
      <c r="A353" t="s">
        <v>67</v>
      </c>
      <c r="B353" t="s">
        <v>52</v>
      </c>
      <c r="C353" t="s">
        <v>40</v>
      </c>
      <c r="D353">
        <v>2017</v>
      </c>
      <c r="E353">
        <v>1.543494370971477</v>
      </c>
      <c r="F353">
        <v>1.4637105039357461</v>
      </c>
      <c r="G353">
        <f t="shared" si="5"/>
        <v>-7.9783867035730927E-2</v>
      </c>
      <c r="H353">
        <v>0.74248837679873125</v>
      </c>
      <c r="I353" t="s">
        <v>80</v>
      </c>
    </row>
    <row r="354" spans="1:9" x14ac:dyDescent="0.35">
      <c r="A354" t="s">
        <v>68</v>
      </c>
      <c r="B354" t="s">
        <v>49</v>
      </c>
      <c r="C354" t="s">
        <v>38</v>
      </c>
      <c r="D354">
        <v>2017</v>
      </c>
      <c r="E354">
        <v>1.4744000913811779</v>
      </c>
      <c r="F354">
        <v>3.139119319610074</v>
      </c>
      <c r="G354">
        <f t="shared" si="5"/>
        <v>1.6647192282288961</v>
      </c>
      <c r="H354">
        <v>0.82120507713586166</v>
      </c>
      <c r="I354" t="s">
        <v>80</v>
      </c>
    </row>
    <row r="355" spans="1:9" x14ac:dyDescent="0.35">
      <c r="A355" t="s">
        <v>68</v>
      </c>
      <c r="B355" t="s">
        <v>50</v>
      </c>
      <c r="C355" t="s">
        <v>40</v>
      </c>
      <c r="D355">
        <v>2017</v>
      </c>
      <c r="E355">
        <v>1.5665137095587811</v>
      </c>
      <c r="F355">
        <v>3.139119319610074</v>
      </c>
      <c r="G355">
        <f t="shared" si="5"/>
        <v>1.5726056100512928</v>
      </c>
      <c r="H355">
        <v>0.82120507713586166</v>
      </c>
      <c r="I355" t="s">
        <v>80</v>
      </c>
    </row>
    <row r="356" spans="1:9" x14ac:dyDescent="0.35">
      <c r="A356" t="s">
        <v>68</v>
      </c>
      <c r="B356" t="s">
        <v>51</v>
      </c>
      <c r="C356" t="s">
        <v>38</v>
      </c>
      <c r="D356">
        <v>2017</v>
      </c>
      <c r="E356">
        <v>2.1518537819505301</v>
      </c>
      <c r="F356">
        <v>3.139119319610074</v>
      </c>
      <c r="G356">
        <f t="shared" si="5"/>
        <v>0.98726553765954383</v>
      </c>
      <c r="H356">
        <v>0.82120507713586166</v>
      </c>
      <c r="I356" t="s">
        <v>80</v>
      </c>
    </row>
    <row r="357" spans="1:9" x14ac:dyDescent="0.35">
      <c r="A357" t="s">
        <v>68</v>
      </c>
      <c r="B357" t="s">
        <v>52</v>
      </c>
      <c r="C357" t="s">
        <v>40</v>
      </c>
      <c r="D357">
        <v>2017</v>
      </c>
      <c r="E357">
        <v>1.6411721834364681</v>
      </c>
      <c r="F357">
        <v>3.139119319610074</v>
      </c>
      <c r="G357">
        <f t="shared" si="5"/>
        <v>1.4979471361736059</v>
      </c>
      <c r="H357">
        <v>0.82120507713586166</v>
      </c>
      <c r="I357" t="s">
        <v>80</v>
      </c>
    </row>
    <row r="358" spans="1:9" x14ac:dyDescent="0.35">
      <c r="A358" t="s">
        <v>69</v>
      </c>
      <c r="B358" t="s">
        <v>49</v>
      </c>
      <c r="C358" t="s">
        <v>38</v>
      </c>
      <c r="D358">
        <v>2017</v>
      </c>
      <c r="E358">
        <v>2.255443360388365</v>
      </c>
      <c r="F358">
        <v>2.855001546118654</v>
      </c>
      <c r="G358">
        <f t="shared" si="5"/>
        <v>0.59955818573028896</v>
      </c>
      <c r="H358">
        <v>0.76844861224739902</v>
      </c>
      <c r="I358" t="s">
        <v>80</v>
      </c>
    </row>
    <row r="359" spans="1:9" x14ac:dyDescent="0.35">
      <c r="A359" t="s">
        <v>69</v>
      </c>
      <c r="B359" t="s">
        <v>50</v>
      </c>
      <c r="C359" t="s">
        <v>40</v>
      </c>
      <c r="D359">
        <v>2017</v>
      </c>
      <c r="E359">
        <v>2.5049942578537321</v>
      </c>
      <c r="F359">
        <v>2.855001546118654</v>
      </c>
      <c r="G359">
        <f t="shared" si="5"/>
        <v>0.35000728826492189</v>
      </c>
      <c r="H359">
        <v>0.76844861224739902</v>
      </c>
      <c r="I359" t="s">
        <v>80</v>
      </c>
    </row>
    <row r="360" spans="1:9" x14ac:dyDescent="0.35">
      <c r="A360" t="s">
        <v>69</v>
      </c>
      <c r="B360" t="s">
        <v>51</v>
      </c>
      <c r="C360" t="s">
        <v>38</v>
      </c>
      <c r="D360">
        <v>2017</v>
      </c>
      <c r="E360">
        <v>3.068359604619419</v>
      </c>
      <c r="F360">
        <v>2.855001546118654</v>
      </c>
      <c r="G360">
        <f t="shared" si="5"/>
        <v>-0.21335805850076506</v>
      </c>
      <c r="H360">
        <v>0.76844861224739902</v>
      </c>
      <c r="I360" t="s">
        <v>80</v>
      </c>
    </row>
    <row r="361" spans="1:9" x14ac:dyDescent="0.35">
      <c r="A361" t="s">
        <v>69</v>
      </c>
      <c r="B361" t="s">
        <v>52</v>
      </c>
      <c r="C361" t="s">
        <v>40</v>
      </c>
      <c r="D361">
        <v>2017</v>
      </c>
      <c r="E361">
        <v>2.763295099061525</v>
      </c>
      <c r="F361">
        <v>2.855001546118654</v>
      </c>
      <c r="G361">
        <f t="shared" si="5"/>
        <v>9.1706447057128937E-2</v>
      </c>
      <c r="H361">
        <v>0.76844861224739902</v>
      </c>
      <c r="I361" t="s">
        <v>80</v>
      </c>
    </row>
    <row r="362" spans="1:9" x14ac:dyDescent="0.35">
      <c r="A362" t="s">
        <v>70</v>
      </c>
      <c r="B362" t="s">
        <v>49</v>
      </c>
      <c r="C362" t="s">
        <v>38</v>
      </c>
      <c r="D362">
        <v>2017</v>
      </c>
      <c r="E362">
        <v>0.7788253796826794</v>
      </c>
      <c r="F362">
        <v>3.2509193804219478</v>
      </c>
      <c r="G362">
        <f t="shared" si="5"/>
        <v>2.4720940007392684</v>
      </c>
      <c r="H362">
        <v>0.71940483524885424</v>
      </c>
      <c r="I362" t="s">
        <v>80</v>
      </c>
    </row>
    <row r="363" spans="1:9" x14ac:dyDescent="0.35">
      <c r="A363" t="s">
        <v>70</v>
      </c>
      <c r="B363" t="s">
        <v>50</v>
      </c>
      <c r="C363" t="s">
        <v>40</v>
      </c>
      <c r="D363">
        <v>2017</v>
      </c>
      <c r="E363">
        <v>0.72652337554917068</v>
      </c>
      <c r="F363">
        <v>3.2509193804219478</v>
      </c>
      <c r="G363">
        <f t="shared" si="5"/>
        <v>2.5243960048727772</v>
      </c>
      <c r="H363">
        <v>0.71940483524885424</v>
      </c>
      <c r="I363" t="s">
        <v>80</v>
      </c>
    </row>
    <row r="364" spans="1:9" x14ac:dyDescent="0.35">
      <c r="A364" t="s">
        <v>70</v>
      </c>
      <c r="B364" t="s">
        <v>51</v>
      </c>
      <c r="C364" t="s">
        <v>38</v>
      </c>
      <c r="D364">
        <v>2017</v>
      </c>
      <c r="E364">
        <v>3.2999705467780189</v>
      </c>
      <c r="F364">
        <v>3.2509193804219478</v>
      </c>
      <c r="G364">
        <f t="shared" si="5"/>
        <v>-4.9051166356071096E-2</v>
      </c>
      <c r="H364">
        <v>0.71940483524885424</v>
      </c>
      <c r="I364" t="s">
        <v>80</v>
      </c>
    </row>
    <row r="365" spans="1:9" x14ac:dyDescent="0.35">
      <c r="A365" t="s">
        <v>70</v>
      </c>
      <c r="B365" t="s">
        <v>52</v>
      </c>
      <c r="C365" t="s">
        <v>40</v>
      </c>
      <c r="D365">
        <v>2017</v>
      </c>
      <c r="E365">
        <v>1.2981877046543739</v>
      </c>
      <c r="F365">
        <v>3.2509193804219478</v>
      </c>
      <c r="G365">
        <f t="shared" si="5"/>
        <v>1.9527316757675739</v>
      </c>
      <c r="H365">
        <v>0.71940483524885424</v>
      </c>
      <c r="I365" t="s">
        <v>80</v>
      </c>
    </row>
    <row r="366" spans="1:9" x14ac:dyDescent="0.35">
      <c r="A366" t="s">
        <v>73</v>
      </c>
      <c r="B366" t="s">
        <v>49</v>
      </c>
      <c r="C366" t="s">
        <v>38</v>
      </c>
      <c r="D366">
        <v>2017</v>
      </c>
      <c r="E366">
        <v>1.3568331696729889</v>
      </c>
      <c r="F366">
        <v>2.2441414587468929</v>
      </c>
      <c r="G366">
        <f t="shared" si="5"/>
        <v>0.88730828907390391</v>
      </c>
      <c r="H366">
        <v>0.74423388640620014</v>
      </c>
      <c r="I366" t="s">
        <v>80</v>
      </c>
    </row>
    <row r="367" spans="1:9" x14ac:dyDescent="0.35">
      <c r="A367" t="s">
        <v>73</v>
      </c>
      <c r="B367" t="s">
        <v>50</v>
      </c>
      <c r="C367" t="s">
        <v>40</v>
      </c>
      <c r="D367">
        <v>2017</v>
      </c>
      <c r="E367">
        <v>1.686145619472357</v>
      </c>
      <c r="F367">
        <v>2.2441414587468929</v>
      </c>
      <c r="G367">
        <f t="shared" si="5"/>
        <v>0.55799583927453589</v>
      </c>
      <c r="H367">
        <v>0.74423388640620014</v>
      </c>
      <c r="I367" t="s">
        <v>80</v>
      </c>
    </row>
    <row r="368" spans="1:9" x14ac:dyDescent="0.35">
      <c r="A368" t="s">
        <v>73</v>
      </c>
      <c r="B368" t="s">
        <v>51</v>
      </c>
      <c r="C368" t="s">
        <v>38</v>
      </c>
      <c r="D368">
        <v>2017</v>
      </c>
      <c r="E368">
        <v>1.6108305416448809</v>
      </c>
      <c r="F368">
        <v>2.2441414587468929</v>
      </c>
      <c r="G368">
        <f t="shared" si="5"/>
        <v>0.63331091710201193</v>
      </c>
      <c r="H368">
        <v>0.74423388640620014</v>
      </c>
      <c r="I368" t="s">
        <v>80</v>
      </c>
    </row>
    <row r="369" spans="1:9" x14ac:dyDescent="0.35">
      <c r="A369" t="s">
        <v>73</v>
      </c>
      <c r="B369" t="s">
        <v>52</v>
      </c>
      <c r="C369" t="s">
        <v>40</v>
      </c>
      <c r="D369">
        <v>2017</v>
      </c>
      <c r="E369">
        <v>1.353609964652547</v>
      </c>
      <c r="F369">
        <v>2.2441414587468929</v>
      </c>
      <c r="G369">
        <f t="shared" si="5"/>
        <v>0.89053149409434584</v>
      </c>
      <c r="H369">
        <v>0.74423388640620014</v>
      </c>
      <c r="I369" t="s">
        <v>80</v>
      </c>
    </row>
    <row r="370" spans="1:9" x14ac:dyDescent="0.35">
      <c r="A370" t="s">
        <v>76</v>
      </c>
      <c r="B370" t="s">
        <v>49</v>
      </c>
      <c r="C370" t="s">
        <v>38</v>
      </c>
      <c r="D370">
        <v>2017</v>
      </c>
      <c r="E370">
        <v>1.6517530585588249</v>
      </c>
      <c r="F370">
        <v>2.7431906089065579</v>
      </c>
      <c r="G370">
        <f t="shared" si="5"/>
        <v>1.0914375503477329</v>
      </c>
      <c r="H370">
        <v>0.79840954303689304</v>
      </c>
      <c r="I370" t="s">
        <v>80</v>
      </c>
    </row>
    <row r="371" spans="1:9" x14ac:dyDescent="0.35">
      <c r="A371" t="s">
        <v>76</v>
      </c>
      <c r="B371" t="s">
        <v>50</v>
      </c>
      <c r="C371" t="s">
        <v>40</v>
      </c>
      <c r="D371">
        <v>2017</v>
      </c>
      <c r="E371">
        <v>1.9694041267229729</v>
      </c>
      <c r="F371">
        <v>2.7431906089065579</v>
      </c>
      <c r="G371">
        <f t="shared" si="5"/>
        <v>0.77378648218358492</v>
      </c>
      <c r="H371">
        <v>0.79840954303689304</v>
      </c>
      <c r="I371" t="s">
        <v>80</v>
      </c>
    </row>
    <row r="372" spans="1:9" x14ac:dyDescent="0.35">
      <c r="A372" t="s">
        <v>76</v>
      </c>
      <c r="B372" t="s">
        <v>51</v>
      </c>
      <c r="C372" t="s">
        <v>38</v>
      </c>
      <c r="D372">
        <v>2017</v>
      </c>
      <c r="E372">
        <v>3.2081591137887999</v>
      </c>
      <c r="F372">
        <v>2.7431906089065579</v>
      </c>
      <c r="G372">
        <f t="shared" si="5"/>
        <v>-0.46496850488224206</v>
      </c>
      <c r="H372">
        <v>0.79840954303689304</v>
      </c>
      <c r="I372" t="s">
        <v>80</v>
      </c>
    </row>
    <row r="373" spans="1:9" x14ac:dyDescent="0.35">
      <c r="A373" t="s">
        <v>76</v>
      </c>
      <c r="B373" t="s">
        <v>52</v>
      </c>
      <c r="C373" t="s">
        <v>40</v>
      </c>
      <c r="D373">
        <v>2017</v>
      </c>
      <c r="E373">
        <v>2.1108256212513781</v>
      </c>
      <c r="F373">
        <v>2.7431906089065579</v>
      </c>
      <c r="G373">
        <f t="shared" si="5"/>
        <v>0.63236498765517979</v>
      </c>
      <c r="H373">
        <v>0.79840954303689304</v>
      </c>
      <c r="I373" t="s">
        <v>80</v>
      </c>
    </row>
    <row r="374" spans="1:9" x14ac:dyDescent="0.35">
      <c r="A374" t="s">
        <v>36</v>
      </c>
      <c r="B374" t="s">
        <v>51</v>
      </c>
      <c r="C374" t="s">
        <v>38</v>
      </c>
      <c r="D374">
        <v>2018</v>
      </c>
      <c r="E374">
        <v>2.3931358040782502</v>
      </c>
      <c r="F374">
        <v>2.3622453086648898</v>
      </c>
      <c r="G374">
        <f t="shared" si="5"/>
        <v>-3.0890495413360419E-2</v>
      </c>
      <c r="H374">
        <v>0.70974761126512598</v>
      </c>
      <c r="I374" t="s">
        <v>80</v>
      </c>
    </row>
    <row r="375" spans="1:9" x14ac:dyDescent="0.35">
      <c r="A375" t="s">
        <v>36</v>
      </c>
      <c r="B375" t="s">
        <v>52</v>
      </c>
      <c r="C375" t="s">
        <v>40</v>
      </c>
      <c r="D375">
        <v>2018</v>
      </c>
      <c r="E375">
        <v>1.65788346393998</v>
      </c>
      <c r="F375">
        <v>2.3622453086648898</v>
      </c>
      <c r="G375">
        <f t="shared" si="5"/>
        <v>0.70436184472490981</v>
      </c>
      <c r="H375">
        <v>0.70974761126512598</v>
      </c>
      <c r="I375" t="s">
        <v>80</v>
      </c>
    </row>
    <row r="376" spans="1:9" x14ac:dyDescent="0.35">
      <c r="A376" t="s">
        <v>36</v>
      </c>
      <c r="B376" t="s">
        <v>53</v>
      </c>
      <c r="C376" t="s">
        <v>38</v>
      </c>
      <c r="D376">
        <v>2018</v>
      </c>
      <c r="E376">
        <v>2.740700342709967</v>
      </c>
      <c r="F376">
        <v>2.3622453086648898</v>
      </c>
      <c r="G376">
        <f t="shared" si="5"/>
        <v>-0.37845503404507719</v>
      </c>
      <c r="H376">
        <v>0.70974761126512598</v>
      </c>
      <c r="I376" t="s">
        <v>80</v>
      </c>
    </row>
    <row r="377" spans="1:9" x14ac:dyDescent="0.35">
      <c r="A377" t="s">
        <v>36</v>
      </c>
      <c r="B377" t="s">
        <v>54</v>
      </c>
      <c r="C377" t="s">
        <v>40</v>
      </c>
      <c r="D377">
        <v>2018</v>
      </c>
      <c r="E377">
        <v>2.8029630500962628</v>
      </c>
      <c r="F377">
        <v>2.3622453086648898</v>
      </c>
      <c r="G377">
        <f t="shared" si="5"/>
        <v>-0.44071774143137299</v>
      </c>
      <c r="H377">
        <v>0.70974761126512598</v>
      </c>
      <c r="I377" t="s">
        <v>80</v>
      </c>
    </row>
    <row r="378" spans="1:9" x14ac:dyDescent="0.35">
      <c r="A378" t="s">
        <v>67</v>
      </c>
      <c r="B378" t="s">
        <v>51</v>
      </c>
      <c r="C378" t="s">
        <v>38</v>
      </c>
      <c r="D378">
        <v>2018</v>
      </c>
      <c r="E378">
        <v>1.802338911935264</v>
      </c>
      <c r="F378">
        <v>1.8605501927054691</v>
      </c>
      <c r="G378">
        <f t="shared" si="5"/>
        <v>5.8211280770205098E-2</v>
      </c>
      <c r="H378">
        <v>0.87942205352349401</v>
      </c>
      <c r="I378" t="s">
        <v>80</v>
      </c>
    </row>
    <row r="379" spans="1:9" x14ac:dyDescent="0.35">
      <c r="A379" t="s">
        <v>67</v>
      </c>
      <c r="B379" t="s">
        <v>52</v>
      </c>
      <c r="C379" t="s">
        <v>40</v>
      </c>
      <c r="D379">
        <v>2018</v>
      </c>
      <c r="E379">
        <v>1.6830527400463651</v>
      </c>
      <c r="F379">
        <v>1.8605501927054691</v>
      </c>
      <c r="G379">
        <f t="shared" si="5"/>
        <v>0.17749745265910399</v>
      </c>
      <c r="H379">
        <v>0.87942205352349401</v>
      </c>
      <c r="I379" t="s">
        <v>80</v>
      </c>
    </row>
    <row r="380" spans="1:9" x14ac:dyDescent="0.35">
      <c r="A380" t="s">
        <v>67</v>
      </c>
      <c r="B380" t="s">
        <v>53</v>
      </c>
      <c r="C380" t="s">
        <v>38</v>
      </c>
      <c r="D380">
        <v>2018</v>
      </c>
      <c r="E380">
        <v>1.5323838734635939</v>
      </c>
      <c r="F380">
        <v>1.8605501927054691</v>
      </c>
      <c r="G380">
        <f t="shared" si="5"/>
        <v>0.32816631924187512</v>
      </c>
      <c r="H380">
        <v>0.87942205352349401</v>
      </c>
      <c r="I380" t="s">
        <v>80</v>
      </c>
    </row>
    <row r="381" spans="1:9" x14ac:dyDescent="0.35">
      <c r="A381" t="s">
        <v>67</v>
      </c>
      <c r="B381" t="s">
        <v>54</v>
      </c>
      <c r="C381" t="s">
        <v>40</v>
      </c>
      <c r="D381">
        <v>2018</v>
      </c>
      <c r="E381">
        <v>1.8083342533319999</v>
      </c>
      <c r="F381">
        <v>1.8605501927054691</v>
      </c>
      <c r="G381">
        <f t="shared" si="5"/>
        <v>5.2215939373469133E-2</v>
      </c>
      <c r="H381">
        <v>0.87942205352349401</v>
      </c>
      <c r="I381" t="s">
        <v>80</v>
      </c>
    </row>
    <row r="382" spans="1:9" x14ac:dyDescent="0.35">
      <c r="A382" t="s">
        <v>36</v>
      </c>
      <c r="B382" t="s">
        <v>53</v>
      </c>
      <c r="C382" t="s">
        <v>38</v>
      </c>
      <c r="D382">
        <v>2019</v>
      </c>
      <c r="E382">
        <v>1.956993039697497</v>
      </c>
      <c r="F382">
        <v>1.6857084827373969</v>
      </c>
      <c r="G382">
        <f t="shared" si="5"/>
        <v>-0.27128455696010012</v>
      </c>
      <c r="H382">
        <v>0.95570461099392501</v>
      </c>
      <c r="I382" t="s">
        <v>80</v>
      </c>
    </row>
    <row r="383" spans="1:9" x14ac:dyDescent="0.35">
      <c r="A383" t="s">
        <v>36</v>
      </c>
      <c r="B383" t="s">
        <v>54</v>
      </c>
      <c r="C383" t="s">
        <v>40</v>
      </c>
      <c r="D383">
        <v>2019</v>
      </c>
      <c r="E383">
        <v>2.158686474515914</v>
      </c>
      <c r="F383">
        <v>1.6857084827373969</v>
      </c>
      <c r="G383">
        <f t="shared" si="5"/>
        <v>-0.47297799177851707</v>
      </c>
      <c r="H383">
        <v>0.95570461099392501</v>
      </c>
      <c r="I383" t="s">
        <v>80</v>
      </c>
    </row>
    <row r="384" spans="1:9" x14ac:dyDescent="0.35">
      <c r="A384" t="s">
        <v>36</v>
      </c>
      <c r="B384" t="s">
        <v>55</v>
      </c>
      <c r="C384" t="s">
        <v>38</v>
      </c>
      <c r="D384">
        <v>2019</v>
      </c>
      <c r="E384">
        <v>1.548243112232184</v>
      </c>
      <c r="F384">
        <v>1.6857084827373969</v>
      </c>
      <c r="G384">
        <f t="shared" si="5"/>
        <v>0.1374653705052129</v>
      </c>
      <c r="H384">
        <v>0.95570461099392501</v>
      </c>
      <c r="I384" t="s">
        <v>80</v>
      </c>
    </row>
    <row r="385" spans="1:9" x14ac:dyDescent="0.35">
      <c r="A385" t="s">
        <v>36</v>
      </c>
      <c r="B385" t="s">
        <v>56</v>
      </c>
      <c r="C385" t="s">
        <v>40</v>
      </c>
      <c r="D385">
        <v>2019</v>
      </c>
      <c r="E385">
        <v>1.5232710630633359</v>
      </c>
      <c r="F385">
        <v>1.6857084827373969</v>
      </c>
      <c r="G385">
        <f t="shared" si="5"/>
        <v>0.162437419674061</v>
      </c>
      <c r="H385">
        <v>0.95570461099392501</v>
      </c>
      <c r="I385" t="s">
        <v>80</v>
      </c>
    </row>
    <row r="386" spans="1:9" x14ac:dyDescent="0.35">
      <c r="A386" t="s">
        <v>67</v>
      </c>
      <c r="B386" t="s">
        <v>53</v>
      </c>
      <c r="C386" t="s">
        <v>38</v>
      </c>
      <c r="D386">
        <v>2019</v>
      </c>
      <c r="E386">
        <v>1.5152383923937141</v>
      </c>
      <c r="F386">
        <v>2.4135230125478802</v>
      </c>
      <c r="G386">
        <f t="shared" ref="G386:G449" si="6">IF(OR(F386="",E386=""),"",F386-E386)</f>
        <v>0.8982846201541661</v>
      </c>
      <c r="H386">
        <v>0.94798441449834092</v>
      </c>
      <c r="I386" t="s">
        <v>80</v>
      </c>
    </row>
    <row r="387" spans="1:9" x14ac:dyDescent="0.35">
      <c r="A387" t="s">
        <v>67</v>
      </c>
      <c r="B387" t="s">
        <v>54</v>
      </c>
      <c r="C387" t="s">
        <v>40</v>
      </c>
      <c r="D387">
        <v>2019</v>
      </c>
      <c r="E387">
        <v>1.7329380565713759</v>
      </c>
      <c r="F387">
        <v>2.4135230125478802</v>
      </c>
      <c r="G387">
        <f t="shared" si="6"/>
        <v>0.68058495597650426</v>
      </c>
      <c r="H387">
        <v>0.94798441449834092</v>
      </c>
      <c r="I387" t="s">
        <v>80</v>
      </c>
    </row>
    <row r="388" spans="1:9" x14ac:dyDescent="0.35">
      <c r="A388" t="s">
        <v>67</v>
      </c>
      <c r="B388" t="s">
        <v>55</v>
      </c>
      <c r="C388" t="s">
        <v>38</v>
      </c>
      <c r="D388">
        <v>2019</v>
      </c>
      <c r="E388">
        <v>1.136502566631536</v>
      </c>
      <c r="F388">
        <v>2.4135230125478802</v>
      </c>
      <c r="G388">
        <f t="shared" si="6"/>
        <v>1.2770204459163441</v>
      </c>
      <c r="H388">
        <v>0.94798441449834092</v>
      </c>
      <c r="I388" t="s">
        <v>80</v>
      </c>
    </row>
    <row r="389" spans="1:9" x14ac:dyDescent="0.35">
      <c r="A389" t="s">
        <v>67</v>
      </c>
      <c r="B389" t="s">
        <v>56</v>
      </c>
      <c r="C389" t="s">
        <v>40</v>
      </c>
      <c r="D389">
        <v>2019</v>
      </c>
      <c r="E389">
        <v>1.2263795589823929</v>
      </c>
      <c r="F389">
        <v>2.4135230125478802</v>
      </c>
      <c r="G389">
        <f t="shared" si="6"/>
        <v>1.1871434535654872</v>
      </c>
      <c r="H389">
        <v>0.94798441449834092</v>
      </c>
      <c r="I389" t="s">
        <v>80</v>
      </c>
    </row>
    <row r="390" spans="1:9" x14ac:dyDescent="0.35">
      <c r="A390" t="s">
        <v>68</v>
      </c>
      <c r="B390" t="s">
        <v>53</v>
      </c>
      <c r="C390" t="s">
        <v>38</v>
      </c>
      <c r="D390">
        <v>2019</v>
      </c>
      <c r="E390">
        <v>1.837083008004692</v>
      </c>
      <c r="F390">
        <v>1.110244719033926</v>
      </c>
      <c r="G390">
        <f t="shared" si="6"/>
        <v>-0.72683828897076608</v>
      </c>
      <c r="H390">
        <v>0.82793739835477054</v>
      </c>
      <c r="I390" t="s">
        <v>80</v>
      </c>
    </row>
    <row r="391" spans="1:9" x14ac:dyDescent="0.35">
      <c r="A391" t="s">
        <v>68</v>
      </c>
      <c r="B391" t="s">
        <v>54</v>
      </c>
      <c r="C391" t="s">
        <v>40</v>
      </c>
      <c r="D391">
        <v>2019</v>
      </c>
      <c r="E391">
        <v>2.050241516126516</v>
      </c>
      <c r="F391">
        <v>1.110244719033926</v>
      </c>
      <c r="G391">
        <f t="shared" si="6"/>
        <v>-0.93999679709258999</v>
      </c>
      <c r="H391">
        <v>0.82793739835477054</v>
      </c>
      <c r="I391" t="s">
        <v>80</v>
      </c>
    </row>
    <row r="392" spans="1:9" x14ac:dyDescent="0.35">
      <c r="A392" t="s">
        <v>68</v>
      </c>
      <c r="B392" t="s">
        <v>55</v>
      </c>
      <c r="C392" t="s">
        <v>38</v>
      </c>
      <c r="D392">
        <v>2019</v>
      </c>
      <c r="E392">
        <v>0.43652728225691551</v>
      </c>
      <c r="F392">
        <v>1.110244719033926</v>
      </c>
      <c r="G392">
        <f t="shared" si="6"/>
        <v>0.67371743677701046</v>
      </c>
      <c r="H392">
        <v>0.82793739835477054</v>
      </c>
      <c r="I392" t="s">
        <v>80</v>
      </c>
    </row>
    <row r="393" spans="1:9" x14ac:dyDescent="0.35">
      <c r="A393" t="s">
        <v>68</v>
      </c>
      <c r="B393" t="s">
        <v>56</v>
      </c>
      <c r="C393" t="s">
        <v>40</v>
      </c>
      <c r="D393">
        <v>2019</v>
      </c>
      <c r="E393">
        <v>0.54362498919910962</v>
      </c>
      <c r="F393">
        <v>1.110244719033926</v>
      </c>
      <c r="G393">
        <f t="shared" si="6"/>
        <v>0.56661972983481634</v>
      </c>
      <c r="H393">
        <v>0.82793739835477054</v>
      </c>
      <c r="I393" t="s">
        <v>80</v>
      </c>
    </row>
    <row r="394" spans="1:9" x14ac:dyDescent="0.35">
      <c r="A394" t="s">
        <v>69</v>
      </c>
      <c r="B394" t="s">
        <v>53</v>
      </c>
      <c r="C394" t="s">
        <v>38</v>
      </c>
      <c r="D394">
        <v>2019</v>
      </c>
      <c r="E394">
        <v>2.1553608163649152</v>
      </c>
      <c r="F394">
        <v>1.9422910480512949</v>
      </c>
      <c r="G394">
        <f t="shared" si="6"/>
        <v>-0.21306976831362023</v>
      </c>
      <c r="H394">
        <v>0.8375403037033835</v>
      </c>
      <c r="I394" t="s">
        <v>80</v>
      </c>
    </row>
    <row r="395" spans="1:9" x14ac:dyDescent="0.35">
      <c r="A395" t="s">
        <v>69</v>
      </c>
      <c r="B395" t="s">
        <v>54</v>
      </c>
      <c r="C395" t="s">
        <v>40</v>
      </c>
      <c r="D395">
        <v>2019</v>
      </c>
      <c r="E395">
        <v>2.355960635013798</v>
      </c>
      <c r="F395">
        <v>1.9422910480512949</v>
      </c>
      <c r="G395">
        <f t="shared" si="6"/>
        <v>-0.41366958696250311</v>
      </c>
      <c r="H395">
        <v>0.8375403037033835</v>
      </c>
      <c r="I395" t="s">
        <v>80</v>
      </c>
    </row>
    <row r="396" spans="1:9" x14ac:dyDescent="0.35">
      <c r="A396" t="s">
        <v>69</v>
      </c>
      <c r="B396" t="s">
        <v>55</v>
      </c>
      <c r="C396" t="s">
        <v>38</v>
      </c>
      <c r="D396">
        <v>2019</v>
      </c>
      <c r="E396">
        <v>1.870053317687548</v>
      </c>
      <c r="F396">
        <v>1.9422910480512949</v>
      </c>
      <c r="G396">
        <f t="shared" si="6"/>
        <v>7.2237730363746921E-2</v>
      </c>
      <c r="H396">
        <v>0.8375403037033835</v>
      </c>
      <c r="I396" t="s">
        <v>80</v>
      </c>
    </row>
    <row r="397" spans="1:9" x14ac:dyDescent="0.35">
      <c r="A397" t="s">
        <v>69</v>
      </c>
      <c r="B397" t="s">
        <v>56</v>
      </c>
      <c r="C397" t="s">
        <v>40</v>
      </c>
      <c r="D397">
        <v>2019</v>
      </c>
      <c r="E397">
        <v>2.0959399874803002</v>
      </c>
      <c r="F397">
        <v>1.9422910480512949</v>
      </c>
      <c r="G397">
        <f t="shared" si="6"/>
        <v>-0.15364893942900526</v>
      </c>
      <c r="H397">
        <v>0.8375403037033835</v>
      </c>
      <c r="I397" t="s">
        <v>80</v>
      </c>
    </row>
    <row r="398" spans="1:9" x14ac:dyDescent="0.35">
      <c r="A398" t="s">
        <v>70</v>
      </c>
      <c r="B398" t="s">
        <v>53</v>
      </c>
      <c r="C398" t="s">
        <v>38</v>
      </c>
      <c r="D398">
        <v>2019</v>
      </c>
      <c r="E398">
        <v>2.1742555460234851</v>
      </c>
      <c r="F398">
        <v>1.3406806953806429</v>
      </c>
      <c r="G398">
        <f t="shared" si="6"/>
        <v>-0.8335748506428422</v>
      </c>
      <c r="H398">
        <v>0.85330044822257167</v>
      </c>
      <c r="I398" t="s">
        <v>80</v>
      </c>
    </row>
    <row r="399" spans="1:9" x14ac:dyDescent="0.35">
      <c r="A399" t="s">
        <v>70</v>
      </c>
      <c r="B399" t="s">
        <v>54</v>
      </c>
      <c r="C399" t="s">
        <v>40</v>
      </c>
      <c r="D399">
        <v>2019</v>
      </c>
      <c r="E399">
        <v>2.2702366672909808</v>
      </c>
      <c r="F399">
        <v>1.3406806953806429</v>
      </c>
      <c r="G399">
        <f t="shared" si="6"/>
        <v>-0.9295559719103379</v>
      </c>
      <c r="H399">
        <v>0.85330044822257167</v>
      </c>
      <c r="I399" t="s">
        <v>80</v>
      </c>
    </row>
    <row r="400" spans="1:9" x14ac:dyDescent="0.35">
      <c r="A400" t="s">
        <v>70</v>
      </c>
      <c r="B400" t="s">
        <v>55</v>
      </c>
      <c r="C400" t="s">
        <v>38</v>
      </c>
      <c r="D400">
        <v>2019</v>
      </c>
      <c r="E400">
        <v>1.354791564440649</v>
      </c>
      <c r="F400">
        <v>1.3406806953806429</v>
      </c>
      <c r="G400">
        <f t="shared" si="6"/>
        <v>-1.4110869060006026E-2</v>
      </c>
      <c r="H400">
        <v>0.85330044822257167</v>
      </c>
      <c r="I400" t="s">
        <v>80</v>
      </c>
    </row>
    <row r="401" spans="1:9" x14ac:dyDescent="0.35">
      <c r="A401" t="s">
        <v>70</v>
      </c>
      <c r="B401" t="s">
        <v>56</v>
      </c>
      <c r="C401" t="s">
        <v>40</v>
      </c>
      <c r="D401">
        <v>2019</v>
      </c>
      <c r="E401">
        <v>1.638521358484613</v>
      </c>
      <c r="F401">
        <v>1.3406806953806429</v>
      </c>
      <c r="G401">
        <f t="shared" si="6"/>
        <v>-0.29784066310397006</v>
      </c>
      <c r="H401">
        <v>0.85330044822257167</v>
      </c>
      <c r="I401" t="s">
        <v>80</v>
      </c>
    </row>
    <row r="402" spans="1:9" x14ac:dyDescent="0.35">
      <c r="A402" t="s">
        <v>73</v>
      </c>
      <c r="B402" t="s">
        <v>53</v>
      </c>
      <c r="C402" t="s">
        <v>38</v>
      </c>
      <c r="D402">
        <v>2019</v>
      </c>
      <c r="E402">
        <v>1.641202261320762</v>
      </c>
      <c r="F402">
        <v>2.0796189403330492</v>
      </c>
      <c r="G402">
        <f t="shared" si="6"/>
        <v>0.4384166790122872</v>
      </c>
      <c r="H402">
        <v>0.89455061740559294</v>
      </c>
      <c r="I402" t="s">
        <v>80</v>
      </c>
    </row>
    <row r="403" spans="1:9" x14ac:dyDescent="0.35">
      <c r="A403" t="s">
        <v>73</v>
      </c>
      <c r="B403" t="s">
        <v>54</v>
      </c>
      <c r="C403" t="s">
        <v>40</v>
      </c>
      <c r="D403">
        <v>2019</v>
      </c>
      <c r="E403">
        <v>1.837933157898797</v>
      </c>
      <c r="F403">
        <v>2.0796189403330492</v>
      </c>
      <c r="G403">
        <f t="shared" si="6"/>
        <v>0.24168578243425221</v>
      </c>
      <c r="H403">
        <v>0.89455061740559294</v>
      </c>
      <c r="I403" t="s">
        <v>80</v>
      </c>
    </row>
    <row r="404" spans="1:9" x14ac:dyDescent="0.35">
      <c r="A404" t="s">
        <v>73</v>
      </c>
      <c r="B404" t="s">
        <v>55</v>
      </c>
      <c r="C404" t="s">
        <v>38</v>
      </c>
      <c r="D404">
        <v>2019</v>
      </c>
      <c r="E404">
        <v>1.2870082454169649</v>
      </c>
      <c r="F404">
        <v>2.0796189403330492</v>
      </c>
      <c r="G404">
        <f t="shared" si="6"/>
        <v>0.79261069491608427</v>
      </c>
      <c r="H404">
        <v>0.89455061740559294</v>
      </c>
      <c r="I404" t="s">
        <v>80</v>
      </c>
    </row>
    <row r="405" spans="1:9" x14ac:dyDescent="0.35">
      <c r="A405" t="s">
        <v>73</v>
      </c>
      <c r="B405" t="s">
        <v>56</v>
      </c>
      <c r="C405" t="s">
        <v>40</v>
      </c>
      <c r="D405">
        <v>2019</v>
      </c>
      <c r="E405">
        <v>1.333589129915191</v>
      </c>
      <c r="F405">
        <v>2.0796189403330492</v>
      </c>
      <c r="G405">
        <f t="shared" si="6"/>
        <v>0.74602981041785821</v>
      </c>
      <c r="H405">
        <v>0.89455061740559294</v>
      </c>
      <c r="I405" t="s">
        <v>80</v>
      </c>
    </row>
    <row r="406" spans="1:9" x14ac:dyDescent="0.35">
      <c r="A406" t="s">
        <v>74</v>
      </c>
      <c r="B406" t="s">
        <v>53</v>
      </c>
      <c r="C406" t="s">
        <v>38</v>
      </c>
      <c r="D406">
        <v>2019</v>
      </c>
      <c r="E406">
        <v>4.5299756937161373</v>
      </c>
      <c r="F406">
        <v>4.8237638263446936</v>
      </c>
      <c r="G406">
        <f t="shared" si="6"/>
        <v>0.2937881326285563</v>
      </c>
      <c r="H406">
        <v>0.79719383190250992</v>
      </c>
      <c r="I406" t="s">
        <v>80</v>
      </c>
    </row>
    <row r="407" spans="1:9" x14ac:dyDescent="0.35">
      <c r="A407" t="s">
        <v>74</v>
      </c>
      <c r="B407" t="s">
        <v>54</v>
      </c>
      <c r="C407" t="s">
        <v>40</v>
      </c>
      <c r="D407">
        <v>2019</v>
      </c>
      <c r="E407">
        <v>4.058674421459818</v>
      </c>
      <c r="F407">
        <v>4.8237638263446936</v>
      </c>
      <c r="G407">
        <f t="shared" si="6"/>
        <v>0.76508940488487553</v>
      </c>
      <c r="H407">
        <v>0.79719383190250992</v>
      </c>
      <c r="I407" t="s">
        <v>80</v>
      </c>
    </row>
    <row r="408" spans="1:9" x14ac:dyDescent="0.35">
      <c r="A408" t="s">
        <v>74</v>
      </c>
      <c r="B408" t="s">
        <v>55</v>
      </c>
      <c r="C408" t="s">
        <v>38</v>
      </c>
      <c r="D408">
        <v>2019</v>
      </c>
      <c r="E408">
        <v>5.6355935792373302</v>
      </c>
      <c r="F408">
        <v>4.8237638263446936</v>
      </c>
      <c r="G408">
        <f t="shared" si="6"/>
        <v>-0.81182975289263659</v>
      </c>
      <c r="H408">
        <v>0.79719383190250992</v>
      </c>
      <c r="I408" t="s">
        <v>80</v>
      </c>
    </row>
    <row r="409" spans="1:9" x14ac:dyDescent="0.35">
      <c r="A409" t="s">
        <v>74</v>
      </c>
      <c r="B409" t="s">
        <v>56</v>
      </c>
      <c r="C409" t="s">
        <v>40</v>
      </c>
      <c r="D409">
        <v>2019</v>
      </c>
      <c r="E409">
        <v>3.759569376747196</v>
      </c>
      <c r="F409">
        <v>4.8237638263446936</v>
      </c>
      <c r="G409">
        <f t="shared" si="6"/>
        <v>1.0641944495974975</v>
      </c>
      <c r="H409">
        <v>0.79719383190250992</v>
      </c>
      <c r="I409" t="s">
        <v>80</v>
      </c>
    </row>
    <row r="410" spans="1:9" x14ac:dyDescent="0.35">
      <c r="A410" t="s">
        <v>75</v>
      </c>
      <c r="B410" t="s">
        <v>53</v>
      </c>
      <c r="C410" t="s">
        <v>38</v>
      </c>
      <c r="D410">
        <v>2019</v>
      </c>
      <c r="E410">
        <v>1.1508168253350211</v>
      </c>
      <c r="F410">
        <v>0.41751152968335331</v>
      </c>
      <c r="G410">
        <f t="shared" si="6"/>
        <v>-0.73330529565166769</v>
      </c>
      <c r="H410">
        <v>0.91222891503210513</v>
      </c>
      <c r="I410" t="s">
        <v>80</v>
      </c>
    </row>
    <row r="411" spans="1:9" x14ac:dyDescent="0.35">
      <c r="A411" t="s">
        <v>75</v>
      </c>
      <c r="B411" t="s">
        <v>54</v>
      </c>
      <c r="C411" t="s">
        <v>40</v>
      </c>
      <c r="D411">
        <v>2019</v>
      </c>
      <c r="E411">
        <v>1.208894526316961</v>
      </c>
      <c r="F411">
        <v>0.41751152968335331</v>
      </c>
      <c r="G411">
        <f t="shared" si="6"/>
        <v>-0.79138299663360767</v>
      </c>
      <c r="H411">
        <v>0.91222891503210513</v>
      </c>
      <c r="I411" t="s">
        <v>80</v>
      </c>
    </row>
    <row r="412" spans="1:9" x14ac:dyDescent="0.35">
      <c r="A412" t="s">
        <v>75</v>
      </c>
      <c r="B412" t="s">
        <v>55</v>
      </c>
      <c r="C412" t="s">
        <v>38</v>
      </c>
      <c r="D412">
        <v>2019</v>
      </c>
      <c r="E412">
        <v>0.1046834039854172</v>
      </c>
      <c r="F412">
        <v>0.41751152968335331</v>
      </c>
      <c r="G412">
        <f t="shared" si="6"/>
        <v>0.31282812569793611</v>
      </c>
      <c r="H412">
        <v>0.91222891503210513</v>
      </c>
      <c r="I412" t="s">
        <v>80</v>
      </c>
    </row>
    <row r="413" spans="1:9" x14ac:dyDescent="0.35">
      <c r="A413" t="s">
        <v>75</v>
      </c>
      <c r="B413" t="s">
        <v>56</v>
      </c>
      <c r="C413" t="s">
        <v>40</v>
      </c>
      <c r="D413">
        <v>2019</v>
      </c>
      <c r="E413">
        <v>0.1006276066420453</v>
      </c>
      <c r="F413">
        <v>0.41751152968335331</v>
      </c>
      <c r="G413">
        <f t="shared" si="6"/>
        <v>0.31688392304130802</v>
      </c>
      <c r="H413">
        <v>0.91222891503210513</v>
      </c>
      <c r="I413" t="s">
        <v>80</v>
      </c>
    </row>
    <row r="414" spans="1:9" x14ac:dyDescent="0.35">
      <c r="A414" t="s">
        <v>76</v>
      </c>
      <c r="B414" t="s">
        <v>53</v>
      </c>
      <c r="C414" t="s">
        <v>38</v>
      </c>
      <c r="D414">
        <v>2019</v>
      </c>
      <c r="E414">
        <v>2.3973855170303038</v>
      </c>
      <c r="F414">
        <v>2.2687921571426761</v>
      </c>
      <c r="G414">
        <f t="shared" si="6"/>
        <v>-0.12859335988762766</v>
      </c>
      <c r="H414">
        <v>0.87784580819211311</v>
      </c>
      <c r="I414" t="s">
        <v>80</v>
      </c>
    </row>
    <row r="415" spans="1:9" x14ac:dyDescent="0.35">
      <c r="A415" t="s">
        <v>76</v>
      </c>
      <c r="B415" t="s">
        <v>54</v>
      </c>
      <c r="C415" t="s">
        <v>40</v>
      </c>
      <c r="D415">
        <v>2019</v>
      </c>
      <c r="E415">
        <v>2.5903398154754731</v>
      </c>
      <c r="F415">
        <v>2.2687921571426761</v>
      </c>
      <c r="G415">
        <f t="shared" si="6"/>
        <v>-0.32154765833279697</v>
      </c>
      <c r="H415">
        <v>0.87784580819211311</v>
      </c>
      <c r="I415" t="s">
        <v>80</v>
      </c>
    </row>
    <row r="416" spans="1:9" x14ac:dyDescent="0.35">
      <c r="A416" t="s">
        <v>76</v>
      </c>
      <c r="B416" t="s">
        <v>55</v>
      </c>
      <c r="C416" t="s">
        <v>38</v>
      </c>
      <c r="D416">
        <v>2019</v>
      </c>
      <c r="E416">
        <v>1.699934171052897</v>
      </c>
      <c r="F416">
        <v>2.2687921571426761</v>
      </c>
      <c r="G416">
        <f t="shared" si="6"/>
        <v>0.56885798608977911</v>
      </c>
      <c r="H416">
        <v>0.87784580819211311</v>
      </c>
      <c r="I416" t="s">
        <v>80</v>
      </c>
    </row>
    <row r="417" spans="1:9" x14ac:dyDescent="0.35">
      <c r="A417" t="s">
        <v>76</v>
      </c>
      <c r="B417" t="s">
        <v>56</v>
      </c>
      <c r="C417" t="s">
        <v>40</v>
      </c>
      <c r="D417">
        <v>2019</v>
      </c>
      <c r="E417">
        <v>1.627911133653104</v>
      </c>
      <c r="F417">
        <v>2.2687921571426761</v>
      </c>
      <c r="G417">
        <f t="shared" si="6"/>
        <v>0.6408810234895721</v>
      </c>
      <c r="H417">
        <v>0.87784580819211311</v>
      </c>
      <c r="I417" t="s">
        <v>80</v>
      </c>
    </row>
    <row r="418" spans="1:9" x14ac:dyDescent="0.35">
      <c r="A418" t="s">
        <v>77</v>
      </c>
      <c r="B418" t="s">
        <v>53</v>
      </c>
      <c r="C418" t="s">
        <v>38</v>
      </c>
      <c r="D418">
        <v>2019</v>
      </c>
      <c r="E418">
        <v>1.839454993980616</v>
      </c>
      <c r="F418">
        <v>2.7086922955372188</v>
      </c>
      <c r="G418">
        <f t="shared" si="6"/>
        <v>0.86923730155660284</v>
      </c>
      <c r="H418">
        <v>0.8963180548310522</v>
      </c>
      <c r="I418" t="s">
        <v>80</v>
      </c>
    </row>
    <row r="419" spans="1:9" x14ac:dyDescent="0.35">
      <c r="A419" t="s">
        <v>77</v>
      </c>
      <c r="B419" t="s">
        <v>54</v>
      </c>
      <c r="C419" t="s">
        <v>40</v>
      </c>
      <c r="D419">
        <v>2019</v>
      </c>
      <c r="E419">
        <v>2.0372674050813671</v>
      </c>
      <c r="F419">
        <v>2.7086922955372188</v>
      </c>
      <c r="G419">
        <f t="shared" si="6"/>
        <v>0.67142489045585174</v>
      </c>
      <c r="H419">
        <v>0.8963180548310522</v>
      </c>
      <c r="I419" t="s">
        <v>80</v>
      </c>
    </row>
    <row r="420" spans="1:9" x14ac:dyDescent="0.35">
      <c r="A420" t="s">
        <v>77</v>
      </c>
      <c r="B420" t="s">
        <v>55</v>
      </c>
      <c r="C420" t="s">
        <v>38</v>
      </c>
      <c r="D420">
        <v>2019</v>
      </c>
      <c r="E420">
        <v>1.950475273387009</v>
      </c>
      <c r="F420">
        <v>2.7086922955372188</v>
      </c>
      <c r="G420">
        <f t="shared" si="6"/>
        <v>0.75821702215020981</v>
      </c>
      <c r="H420">
        <v>0.8963180548310522</v>
      </c>
      <c r="I420" t="s">
        <v>80</v>
      </c>
    </row>
    <row r="421" spans="1:9" x14ac:dyDescent="0.35">
      <c r="A421" t="s">
        <v>77</v>
      </c>
      <c r="B421" t="s">
        <v>56</v>
      </c>
      <c r="C421" t="s">
        <v>40</v>
      </c>
      <c r="D421">
        <v>2019</v>
      </c>
      <c r="E421">
        <v>1.672451894689297</v>
      </c>
      <c r="F421">
        <v>2.7086922955372188</v>
      </c>
      <c r="G421">
        <f t="shared" si="6"/>
        <v>1.0362404008479218</v>
      </c>
      <c r="H421">
        <v>0.8963180548310522</v>
      </c>
      <c r="I421" t="s">
        <v>80</v>
      </c>
    </row>
    <row r="422" spans="1:9" x14ac:dyDescent="0.35">
      <c r="A422" t="s">
        <v>36</v>
      </c>
      <c r="B422" t="s">
        <v>55</v>
      </c>
      <c r="C422" t="s">
        <v>38</v>
      </c>
      <c r="D422">
        <v>2020</v>
      </c>
      <c r="E422">
        <v>1.3947816095145389</v>
      </c>
      <c r="F422">
        <v>-6.5900132771165296</v>
      </c>
      <c r="G422">
        <f t="shared" si="6"/>
        <v>-7.9847948866310681</v>
      </c>
      <c r="H422">
        <v>0.91541797612301412</v>
      </c>
      <c r="I422" t="s">
        <v>80</v>
      </c>
    </row>
    <row r="423" spans="1:9" x14ac:dyDescent="0.35">
      <c r="A423" t="s">
        <v>36</v>
      </c>
      <c r="B423" t="s">
        <v>56</v>
      </c>
      <c r="C423" t="s">
        <v>40</v>
      </c>
      <c r="D423">
        <v>2020</v>
      </c>
      <c r="E423">
        <v>1.6306467331163921</v>
      </c>
      <c r="F423">
        <v>-6.5900132771165296</v>
      </c>
      <c r="G423">
        <f t="shared" si="6"/>
        <v>-8.2206600102329226</v>
      </c>
      <c r="H423">
        <v>0.91541797612301412</v>
      </c>
      <c r="I423" t="s">
        <v>80</v>
      </c>
    </row>
    <row r="424" spans="1:9" x14ac:dyDescent="0.35">
      <c r="A424" t="s">
        <v>36</v>
      </c>
      <c r="B424" t="s">
        <v>57</v>
      </c>
      <c r="C424" t="s">
        <v>38</v>
      </c>
      <c r="D424">
        <v>2020</v>
      </c>
      <c r="E424">
        <v>-7.0511951651758391</v>
      </c>
      <c r="F424">
        <v>-6.5900132771165296</v>
      </c>
      <c r="G424">
        <f t="shared" si="6"/>
        <v>0.46118188805930949</v>
      </c>
      <c r="H424">
        <v>0.91541797612301412</v>
      </c>
      <c r="I424" t="s">
        <v>80</v>
      </c>
    </row>
    <row r="425" spans="1:9" x14ac:dyDescent="0.35">
      <c r="A425" t="s">
        <v>36</v>
      </c>
      <c r="B425" t="s">
        <v>58</v>
      </c>
      <c r="C425" t="s">
        <v>40</v>
      </c>
      <c r="D425">
        <v>2020</v>
      </c>
      <c r="E425">
        <v>-5.5131277655310118</v>
      </c>
      <c r="F425">
        <v>-6.5900132771165296</v>
      </c>
      <c r="G425">
        <f t="shared" si="6"/>
        <v>-1.0768855115855178</v>
      </c>
      <c r="H425">
        <v>0.91541797612301412</v>
      </c>
      <c r="I425" t="s">
        <v>80</v>
      </c>
    </row>
    <row r="426" spans="1:9" x14ac:dyDescent="0.35">
      <c r="A426" t="s">
        <v>67</v>
      </c>
      <c r="B426" t="s">
        <v>55</v>
      </c>
      <c r="C426" t="s">
        <v>38</v>
      </c>
      <c r="D426">
        <v>2020</v>
      </c>
      <c r="E426">
        <v>0.96034482213216421</v>
      </c>
      <c r="F426">
        <v>-4.9116764965584894</v>
      </c>
      <c r="G426">
        <f t="shared" si="6"/>
        <v>-5.8720213186906536</v>
      </c>
      <c r="H426">
        <v>0.94497516890248479</v>
      </c>
      <c r="I426" t="s">
        <v>80</v>
      </c>
    </row>
    <row r="427" spans="1:9" x14ac:dyDescent="0.35">
      <c r="A427" t="s">
        <v>67</v>
      </c>
      <c r="B427" t="s">
        <v>56</v>
      </c>
      <c r="C427" t="s">
        <v>40</v>
      </c>
      <c r="D427">
        <v>2020</v>
      </c>
      <c r="E427">
        <v>1.199077085455502</v>
      </c>
      <c r="F427">
        <v>-4.9116764965584894</v>
      </c>
      <c r="G427">
        <f t="shared" si="6"/>
        <v>-6.1107535820139915</v>
      </c>
      <c r="H427">
        <v>0.94497516890248479</v>
      </c>
      <c r="I427" t="s">
        <v>80</v>
      </c>
    </row>
    <row r="428" spans="1:9" x14ac:dyDescent="0.35">
      <c r="A428" t="s">
        <v>67</v>
      </c>
      <c r="B428" t="s">
        <v>57</v>
      </c>
      <c r="C428" t="s">
        <v>38</v>
      </c>
      <c r="D428">
        <v>2020</v>
      </c>
      <c r="E428">
        <v>-8.420158667688538</v>
      </c>
      <c r="F428">
        <v>-4.9116764965584894</v>
      </c>
      <c r="G428">
        <f t="shared" si="6"/>
        <v>3.5084821711300487</v>
      </c>
      <c r="H428">
        <v>0.94497516890248479</v>
      </c>
      <c r="I428" t="s">
        <v>80</v>
      </c>
    </row>
    <row r="429" spans="1:9" x14ac:dyDescent="0.35">
      <c r="A429" t="s">
        <v>67</v>
      </c>
      <c r="B429" t="s">
        <v>58</v>
      </c>
      <c r="C429" t="s">
        <v>40</v>
      </c>
      <c r="D429">
        <v>2020</v>
      </c>
      <c r="E429">
        <v>-7.1575995247655024</v>
      </c>
      <c r="F429">
        <v>-4.9116764965584894</v>
      </c>
      <c r="G429">
        <f t="shared" si="6"/>
        <v>2.2459230282070131</v>
      </c>
      <c r="H429">
        <v>0.94497516890248479</v>
      </c>
      <c r="I429" t="s">
        <v>80</v>
      </c>
    </row>
    <row r="430" spans="1:9" x14ac:dyDescent="0.35">
      <c r="A430" t="s">
        <v>68</v>
      </c>
      <c r="B430" t="s">
        <v>55</v>
      </c>
      <c r="C430" t="s">
        <v>38</v>
      </c>
      <c r="D430">
        <v>2020</v>
      </c>
      <c r="E430">
        <v>1.0098419735112829</v>
      </c>
      <c r="F430">
        <v>-4.5019012679871278</v>
      </c>
      <c r="G430">
        <f t="shared" si="6"/>
        <v>-5.5117432414984107</v>
      </c>
      <c r="H430">
        <v>0.93883988584513833</v>
      </c>
      <c r="I430" t="s">
        <v>80</v>
      </c>
    </row>
    <row r="431" spans="1:9" x14ac:dyDescent="0.35">
      <c r="A431" t="s">
        <v>68</v>
      </c>
      <c r="B431" t="s">
        <v>56</v>
      </c>
      <c r="C431" t="s">
        <v>40</v>
      </c>
      <c r="D431">
        <v>2020</v>
      </c>
      <c r="E431">
        <v>1.5458815393741829</v>
      </c>
      <c r="F431">
        <v>-4.5019012679871278</v>
      </c>
      <c r="G431">
        <f t="shared" si="6"/>
        <v>-6.0477828073613109</v>
      </c>
      <c r="H431">
        <v>0.93883988584513833</v>
      </c>
      <c r="I431" t="s">
        <v>80</v>
      </c>
    </row>
    <row r="432" spans="1:9" x14ac:dyDescent="0.35">
      <c r="A432" t="s">
        <v>68</v>
      </c>
      <c r="B432" t="s">
        <v>57</v>
      </c>
      <c r="C432" t="s">
        <v>38</v>
      </c>
      <c r="D432">
        <v>2020</v>
      </c>
      <c r="E432">
        <v>-5.5682040725027582</v>
      </c>
      <c r="F432">
        <v>-4.5019012679871278</v>
      </c>
      <c r="G432">
        <f t="shared" si="6"/>
        <v>1.0663028045156304</v>
      </c>
      <c r="H432">
        <v>0.93883988584513833</v>
      </c>
      <c r="I432" t="s">
        <v>80</v>
      </c>
    </row>
    <row r="433" spans="1:9" x14ac:dyDescent="0.35">
      <c r="A433" t="s">
        <v>68</v>
      </c>
      <c r="B433" t="s">
        <v>58</v>
      </c>
      <c r="C433" t="s">
        <v>40</v>
      </c>
      <c r="D433">
        <v>2020</v>
      </c>
      <c r="E433">
        <v>-6.4695771848944261</v>
      </c>
      <c r="F433">
        <v>-4.5019012679871278</v>
      </c>
      <c r="G433">
        <f t="shared" si="6"/>
        <v>1.9676759169072984</v>
      </c>
      <c r="H433">
        <v>0.93883988584513833</v>
      </c>
      <c r="I433" t="s">
        <v>80</v>
      </c>
    </row>
    <row r="434" spans="1:9" x14ac:dyDescent="0.35">
      <c r="A434" t="s">
        <v>69</v>
      </c>
      <c r="B434" t="s">
        <v>55</v>
      </c>
      <c r="C434" t="s">
        <v>38</v>
      </c>
      <c r="D434">
        <v>2020</v>
      </c>
      <c r="E434">
        <v>1.490576223487361</v>
      </c>
      <c r="F434">
        <v>-11.58616521695834</v>
      </c>
      <c r="G434">
        <f t="shared" si="6"/>
        <v>-13.076741440445701</v>
      </c>
      <c r="H434">
        <v>0.86710493358213747</v>
      </c>
      <c r="I434" t="s">
        <v>80</v>
      </c>
    </row>
    <row r="435" spans="1:9" x14ac:dyDescent="0.35">
      <c r="A435" t="s">
        <v>69</v>
      </c>
      <c r="B435" t="s">
        <v>56</v>
      </c>
      <c r="C435" t="s">
        <v>40</v>
      </c>
      <c r="D435">
        <v>2020</v>
      </c>
      <c r="E435">
        <v>1.863359760106897</v>
      </c>
      <c r="F435">
        <v>-11.58616521695834</v>
      </c>
      <c r="G435">
        <f t="shared" si="6"/>
        <v>-13.449524977065238</v>
      </c>
      <c r="H435">
        <v>0.86710493358213747</v>
      </c>
      <c r="I435" t="s">
        <v>80</v>
      </c>
    </row>
    <row r="436" spans="1:9" x14ac:dyDescent="0.35">
      <c r="A436" t="s">
        <v>69</v>
      </c>
      <c r="B436" t="s">
        <v>57</v>
      </c>
      <c r="C436" t="s">
        <v>38</v>
      </c>
      <c r="D436">
        <v>2020</v>
      </c>
      <c r="E436">
        <v>-12.410533977614319</v>
      </c>
      <c r="F436">
        <v>-11.58616521695834</v>
      </c>
      <c r="G436">
        <f t="shared" si="6"/>
        <v>0.82436876065597886</v>
      </c>
      <c r="H436">
        <v>0.86710493358213747</v>
      </c>
      <c r="I436" t="s">
        <v>80</v>
      </c>
    </row>
    <row r="437" spans="1:9" x14ac:dyDescent="0.35">
      <c r="A437" t="s">
        <v>69</v>
      </c>
      <c r="B437" t="s">
        <v>58</v>
      </c>
      <c r="C437" t="s">
        <v>40</v>
      </c>
      <c r="D437">
        <v>2020</v>
      </c>
      <c r="E437">
        <v>-9.3843459766278272</v>
      </c>
      <c r="F437">
        <v>-11.58616521695834</v>
      </c>
      <c r="G437">
        <f t="shared" si="6"/>
        <v>-2.2018192403305132</v>
      </c>
      <c r="H437">
        <v>0.86710493358213747</v>
      </c>
      <c r="I437" t="s">
        <v>80</v>
      </c>
    </row>
    <row r="438" spans="1:9" x14ac:dyDescent="0.35">
      <c r="A438" t="s">
        <v>70</v>
      </c>
      <c r="B438" t="s">
        <v>55</v>
      </c>
      <c r="C438" t="s">
        <v>38</v>
      </c>
      <c r="D438">
        <v>2020</v>
      </c>
      <c r="E438">
        <v>1.1013866566023991</v>
      </c>
      <c r="F438">
        <v>-2.5216639551613449</v>
      </c>
      <c r="G438">
        <f t="shared" si="6"/>
        <v>-3.6230506117637438</v>
      </c>
      <c r="H438">
        <v>0.9601184888395623</v>
      </c>
      <c r="I438" t="s">
        <v>80</v>
      </c>
    </row>
    <row r="439" spans="1:9" x14ac:dyDescent="0.35">
      <c r="A439" t="s">
        <v>70</v>
      </c>
      <c r="B439" t="s">
        <v>56</v>
      </c>
      <c r="C439" t="s">
        <v>40</v>
      </c>
      <c r="D439">
        <v>2020</v>
      </c>
      <c r="E439">
        <v>1.1658655715774511</v>
      </c>
      <c r="F439">
        <v>-2.5216639551613449</v>
      </c>
      <c r="G439">
        <f t="shared" si="6"/>
        <v>-3.6875295267387962</v>
      </c>
      <c r="H439">
        <v>0.9601184888395623</v>
      </c>
      <c r="I439" t="s">
        <v>80</v>
      </c>
    </row>
    <row r="440" spans="1:9" x14ac:dyDescent="0.35">
      <c r="A440" t="s">
        <v>70</v>
      </c>
      <c r="B440" t="s">
        <v>57</v>
      </c>
      <c r="C440" t="s">
        <v>38</v>
      </c>
      <c r="D440">
        <v>2020</v>
      </c>
      <c r="E440">
        <v>-4.2712767573150012</v>
      </c>
      <c r="F440">
        <v>-2.5216639551613449</v>
      </c>
      <c r="G440">
        <f t="shared" si="6"/>
        <v>1.7496128021536563</v>
      </c>
      <c r="H440">
        <v>0.9601184888395623</v>
      </c>
      <c r="I440" t="s">
        <v>80</v>
      </c>
    </row>
    <row r="441" spans="1:9" x14ac:dyDescent="0.35">
      <c r="A441" t="s">
        <v>70</v>
      </c>
      <c r="B441" t="s">
        <v>58</v>
      </c>
      <c r="C441" t="s">
        <v>40</v>
      </c>
      <c r="D441">
        <v>2020</v>
      </c>
      <c r="E441">
        <v>-6.3340086382144829</v>
      </c>
      <c r="F441">
        <v>-2.5216639551613449</v>
      </c>
      <c r="G441">
        <f t="shared" si="6"/>
        <v>3.812344683053138</v>
      </c>
      <c r="H441">
        <v>0.9601184888395623</v>
      </c>
      <c r="I441" t="s">
        <v>80</v>
      </c>
    </row>
    <row r="442" spans="1:9" x14ac:dyDescent="0.35">
      <c r="A442" t="s">
        <v>73</v>
      </c>
      <c r="B442" t="s">
        <v>55</v>
      </c>
      <c r="C442" t="s">
        <v>38</v>
      </c>
      <c r="D442">
        <v>2020</v>
      </c>
      <c r="E442">
        <v>1.285387661815784</v>
      </c>
      <c r="F442">
        <v>-7.9120138942178206</v>
      </c>
      <c r="G442">
        <f t="shared" si="6"/>
        <v>-9.1974015560336042</v>
      </c>
      <c r="H442">
        <v>0.92712779855354743</v>
      </c>
      <c r="I442" t="s">
        <v>80</v>
      </c>
    </row>
    <row r="443" spans="1:9" x14ac:dyDescent="0.35">
      <c r="A443" t="s">
        <v>73</v>
      </c>
      <c r="B443" t="s">
        <v>56</v>
      </c>
      <c r="C443" t="s">
        <v>40</v>
      </c>
      <c r="D443">
        <v>2020</v>
      </c>
      <c r="E443">
        <v>1.503749975943047</v>
      </c>
      <c r="F443">
        <v>-7.9120138942178206</v>
      </c>
      <c r="G443">
        <f t="shared" si="6"/>
        <v>-9.4157638701608679</v>
      </c>
      <c r="H443">
        <v>0.92712779855354743</v>
      </c>
      <c r="I443" t="s">
        <v>80</v>
      </c>
    </row>
    <row r="444" spans="1:9" x14ac:dyDescent="0.35">
      <c r="A444" t="s">
        <v>73</v>
      </c>
      <c r="B444" t="s">
        <v>57</v>
      </c>
      <c r="C444" t="s">
        <v>38</v>
      </c>
      <c r="D444">
        <v>2020</v>
      </c>
      <c r="E444">
        <v>-9.3511426009976422</v>
      </c>
      <c r="F444">
        <v>-7.9120138942178206</v>
      </c>
      <c r="G444">
        <f t="shared" si="6"/>
        <v>1.4391287067798215</v>
      </c>
      <c r="H444">
        <v>0.92712779855354743</v>
      </c>
      <c r="I444" t="s">
        <v>80</v>
      </c>
    </row>
    <row r="445" spans="1:9" x14ac:dyDescent="0.35">
      <c r="A445" t="s">
        <v>73</v>
      </c>
      <c r="B445" t="s">
        <v>58</v>
      </c>
      <c r="C445" t="s">
        <v>40</v>
      </c>
      <c r="D445">
        <v>2020</v>
      </c>
      <c r="E445">
        <v>-8.2482980854368328</v>
      </c>
      <c r="F445">
        <v>-7.9120138942178206</v>
      </c>
      <c r="G445">
        <f t="shared" si="6"/>
        <v>0.33628419121901221</v>
      </c>
      <c r="H445">
        <v>0.92712779855354743</v>
      </c>
      <c r="I445" t="s">
        <v>80</v>
      </c>
    </row>
    <row r="446" spans="1:9" x14ac:dyDescent="0.35">
      <c r="A446" t="s">
        <v>74</v>
      </c>
      <c r="B446" t="s">
        <v>55</v>
      </c>
      <c r="C446" t="s">
        <v>38</v>
      </c>
      <c r="D446">
        <v>2020</v>
      </c>
      <c r="E446">
        <v>3.528571869780794</v>
      </c>
      <c r="F446">
        <v>6.9863814303713827</v>
      </c>
      <c r="G446">
        <f t="shared" si="6"/>
        <v>3.4578095605905887</v>
      </c>
      <c r="H446">
        <v>0.95435812659996266</v>
      </c>
      <c r="I446" t="s">
        <v>80</v>
      </c>
    </row>
    <row r="447" spans="1:9" x14ac:dyDescent="0.35">
      <c r="A447" t="s">
        <v>74</v>
      </c>
      <c r="B447" t="s">
        <v>56</v>
      </c>
      <c r="C447" t="s">
        <v>40</v>
      </c>
      <c r="D447">
        <v>2020</v>
      </c>
      <c r="E447">
        <v>3.3676156234285992</v>
      </c>
      <c r="F447">
        <v>6.9863814303713827</v>
      </c>
      <c r="G447">
        <f t="shared" si="6"/>
        <v>3.6187658069427835</v>
      </c>
      <c r="H447">
        <v>0.95435812659996266</v>
      </c>
      <c r="I447" t="s">
        <v>80</v>
      </c>
    </row>
    <row r="448" spans="1:9" x14ac:dyDescent="0.35">
      <c r="A448" t="s">
        <v>74</v>
      </c>
      <c r="B448" t="s">
        <v>57</v>
      </c>
      <c r="C448" t="s">
        <v>38</v>
      </c>
      <c r="D448">
        <v>2020</v>
      </c>
      <c r="E448">
        <v>-2.3373996171914708</v>
      </c>
      <c r="F448">
        <v>6.9863814303713827</v>
      </c>
      <c r="G448">
        <f t="shared" si="6"/>
        <v>9.3237810475628535</v>
      </c>
      <c r="H448">
        <v>0.95435812659996266</v>
      </c>
      <c r="I448" t="s">
        <v>80</v>
      </c>
    </row>
    <row r="449" spans="1:9" x14ac:dyDescent="0.35">
      <c r="A449" t="s">
        <v>74</v>
      </c>
      <c r="B449" t="s">
        <v>58</v>
      </c>
      <c r="C449" t="s">
        <v>40</v>
      </c>
      <c r="D449">
        <v>2020</v>
      </c>
      <c r="E449">
        <v>-7.9470480138547073</v>
      </c>
      <c r="F449">
        <v>6.9863814303713827</v>
      </c>
      <c r="G449">
        <f t="shared" si="6"/>
        <v>14.933429444226089</v>
      </c>
      <c r="H449">
        <v>0.95435812659996266</v>
      </c>
      <c r="I449" t="s">
        <v>80</v>
      </c>
    </row>
    <row r="450" spans="1:9" x14ac:dyDescent="0.35">
      <c r="A450" t="s">
        <v>75</v>
      </c>
      <c r="B450" t="s">
        <v>55</v>
      </c>
      <c r="C450" t="s">
        <v>38</v>
      </c>
      <c r="D450">
        <v>2020</v>
      </c>
      <c r="E450">
        <v>0.43236292909316631</v>
      </c>
      <c r="F450">
        <v>-9.3783767522421471</v>
      </c>
      <c r="G450">
        <f t="shared" ref="G450:G513" si="7">IF(OR(F450="",E450=""),"",F450-E450)</f>
        <v>-9.8107396813353134</v>
      </c>
      <c r="H450">
        <v>0.93164971955174003</v>
      </c>
      <c r="I450" t="s">
        <v>80</v>
      </c>
    </row>
    <row r="451" spans="1:9" x14ac:dyDescent="0.35">
      <c r="A451" t="s">
        <v>75</v>
      </c>
      <c r="B451" t="s">
        <v>56</v>
      </c>
      <c r="C451" t="s">
        <v>40</v>
      </c>
      <c r="D451">
        <v>2020</v>
      </c>
      <c r="E451">
        <v>0.71178912334750599</v>
      </c>
      <c r="F451">
        <v>-9.3783767522421471</v>
      </c>
      <c r="G451">
        <f t="shared" si="7"/>
        <v>-10.090165875589653</v>
      </c>
      <c r="H451">
        <v>0.93164971955174003</v>
      </c>
      <c r="I451" t="s">
        <v>80</v>
      </c>
    </row>
    <row r="452" spans="1:9" x14ac:dyDescent="0.35">
      <c r="A452" t="s">
        <v>75</v>
      </c>
      <c r="B452" t="s">
        <v>57</v>
      </c>
      <c r="C452" t="s">
        <v>38</v>
      </c>
      <c r="D452">
        <v>2020</v>
      </c>
      <c r="E452">
        <v>-9.8515454699187543</v>
      </c>
      <c r="F452">
        <v>-9.3783767522421471</v>
      </c>
      <c r="G452">
        <f t="shared" si="7"/>
        <v>0.47316871767660729</v>
      </c>
      <c r="H452">
        <v>0.93164971955174003</v>
      </c>
      <c r="I452" t="s">
        <v>80</v>
      </c>
    </row>
    <row r="453" spans="1:9" x14ac:dyDescent="0.35">
      <c r="A453" t="s">
        <v>75</v>
      </c>
      <c r="B453" t="s">
        <v>58</v>
      </c>
      <c r="C453" t="s">
        <v>40</v>
      </c>
      <c r="D453">
        <v>2020</v>
      </c>
      <c r="E453">
        <v>-9.517990850094149</v>
      </c>
      <c r="F453">
        <v>-9.3783767522421471</v>
      </c>
      <c r="G453">
        <f t="shared" si="7"/>
        <v>0.13961409785200196</v>
      </c>
      <c r="H453">
        <v>0.93164971955174003</v>
      </c>
      <c r="I453" t="s">
        <v>80</v>
      </c>
    </row>
    <row r="454" spans="1:9" x14ac:dyDescent="0.35">
      <c r="A454" t="s">
        <v>76</v>
      </c>
      <c r="B454" t="s">
        <v>55</v>
      </c>
      <c r="C454" t="s">
        <v>38</v>
      </c>
      <c r="D454">
        <v>2020</v>
      </c>
      <c r="E454">
        <v>1.2831214058191649</v>
      </c>
      <c r="F454">
        <v>-3.9039509434828492</v>
      </c>
      <c r="G454">
        <f t="shared" si="7"/>
        <v>-5.1870723493020137</v>
      </c>
      <c r="H454">
        <v>0.94574295007118003</v>
      </c>
      <c r="I454" t="s">
        <v>80</v>
      </c>
    </row>
    <row r="455" spans="1:9" x14ac:dyDescent="0.35">
      <c r="A455" t="s">
        <v>76</v>
      </c>
      <c r="B455" t="s">
        <v>56</v>
      </c>
      <c r="C455" t="s">
        <v>40</v>
      </c>
      <c r="D455">
        <v>2020</v>
      </c>
      <c r="E455">
        <v>1.619436814413677</v>
      </c>
      <c r="F455">
        <v>-3.9039509434828492</v>
      </c>
      <c r="G455">
        <f t="shared" si="7"/>
        <v>-5.5233877578965265</v>
      </c>
      <c r="H455">
        <v>0.94574295007118003</v>
      </c>
      <c r="I455" t="s">
        <v>80</v>
      </c>
    </row>
    <row r="456" spans="1:9" x14ac:dyDescent="0.35">
      <c r="A456" t="s">
        <v>76</v>
      </c>
      <c r="B456" t="s">
        <v>57</v>
      </c>
      <c r="C456" t="s">
        <v>38</v>
      </c>
      <c r="D456">
        <v>2020</v>
      </c>
      <c r="E456">
        <v>-5.3222217587985954</v>
      </c>
      <c r="F456">
        <v>-3.9039509434828492</v>
      </c>
      <c r="G456">
        <f t="shared" si="7"/>
        <v>1.4182708153157462</v>
      </c>
      <c r="H456">
        <v>0.94574295007118003</v>
      </c>
      <c r="I456" t="s">
        <v>80</v>
      </c>
    </row>
    <row r="457" spans="1:9" x14ac:dyDescent="0.35">
      <c r="A457" t="s">
        <v>76</v>
      </c>
      <c r="B457" t="s">
        <v>58</v>
      </c>
      <c r="C457" t="s">
        <v>40</v>
      </c>
      <c r="D457">
        <v>2020</v>
      </c>
      <c r="E457">
        <v>-6.8478963820636896</v>
      </c>
      <c r="F457">
        <v>-3.9039509434828492</v>
      </c>
      <c r="G457">
        <f t="shared" si="7"/>
        <v>2.9439454385808403</v>
      </c>
      <c r="H457">
        <v>0.94574295007118003</v>
      </c>
      <c r="I457" t="s">
        <v>80</v>
      </c>
    </row>
    <row r="458" spans="1:9" x14ac:dyDescent="0.35">
      <c r="A458" t="s">
        <v>77</v>
      </c>
      <c r="B458" t="s">
        <v>55</v>
      </c>
      <c r="C458" t="s">
        <v>38</v>
      </c>
      <c r="D458">
        <v>2020</v>
      </c>
      <c r="E458">
        <v>1.699885517193356</v>
      </c>
      <c r="F458">
        <v>-8.5609032033360464</v>
      </c>
      <c r="G458">
        <f t="shared" si="7"/>
        <v>-10.260788720529403</v>
      </c>
      <c r="H458">
        <v>0.91994322807589268</v>
      </c>
      <c r="I458" t="s">
        <v>80</v>
      </c>
    </row>
    <row r="459" spans="1:9" x14ac:dyDescent="0.35">
      <c r="A459" t="s">
        <v>77</v>
      </c>
      <c r="B459" t="s">
        <v>56</v>
      </c>
      <c r="C459" t="s">
        <v>40</v>
      </c>
      <c r="D459">
        <v>2020</v>
      </c>
      <c r="E459">
        <v>1.7153996309464681</v>
      </c>
      <c r="F459">
        <v>-8.5609032033360464</v>
      </c>
      <c r="G459">
        <f t="shared" si="7"/>
        <v>-10.276302834282514</v>
      </c>
      <c r="H459">
        <v>0.91994322807589268</v>
      </c>
      <c r="I459" t="s">
        <v>80</v>
      </c>
    </row>
    <row r="460" spans="1:9" x14ac:dyDescent="0.35">
      <c r="A460" t="s">
        <v>77</v>
      </c>
      <c r="B460" t="s">
        <v>57</v>
      </c>
      <c r="C460" t="s">
        <v>38</v>
      </c>
      <c r="D460">
        <v>2020</v>
      </c>
      <c r="E460">
        <v>-9.2905567939445373</v>
      </c>
      <c r="F460">
        <v>-8.5609032033360464</v>
      </c>
      <c r="G460">
        <f t="shared" si="7"/>
        <v>0.72965359060849089</v>
      </c>
      <c r="H460">
        <v>0.91994322807589268</v>
      </c>
      <c r="I460" t="s">
        <v>80</v>
      </c>
    </row>
    <row r="461" spans="1:9" x14ac:dyDescent="0.35">
      <c r="A461" t="s">
        <v>77</v>
      </c>
      <c r="B461" t="s">
        <v>58</v>
      </c>
      <c r="C461" t="s">
        <v>40</v>
      </c>
      <c r="D461">
        <v>2020</v>
      </c>
      <c r="E461">
        <v>-6.7651809613411107</v>
      </c>
      <c r="F461">
        <v>-8.5609032033360464</v>
      </c>
      <c r="G461">
        <f t="shared" si="7"/>
        <v>-1.7957222419949357</v>
      </c>
      <c r="H461">
        <v>0.91994322807589268</v>
      </c>
      <c r="I461" t="s">
        <v>80</v>
      </c>
    </row>
    <row r="462" spans="1:9" x14ac:dyDescent="0.35">
      <c r="A462" t="s">
        <v>36</v>
      </c>
      <c r="B462" t="s">
        <v>57</v>
      </c>
      <c r="C462" t="s">
        <v>38</v>
      </c>
      <c r="D462">
        <v>2021</v>
      </c>
      <c r="E462">
        <v>4.1159384107752661</v>
      </c>
      <c r="F462">
        <v>4.8848712783015431</v>
      </c>
      <c r="G462">
        <f t="shared" si="7"/>
        <v>0.76893286752627699</v>
      </c>
      <c r="H462">
        <v>0.85423512668441748</v>
      </c>
      <c r="I462" t="s">
        <v>80</v>
      </c>
    </row>
    <row r="463" spans="1:9" x14ac:dyDescent="0.35">
      <c r="A463" t="s">
        <v>36</v>
      </c>
      <c r="B463" t="s">
        <v>58</v>
      </c>
      <c r="C463" t="s">
        <v>40</v>
      </c>
      <c r="D463">
        <v>2021</v>
      </c>
      <c r="E463">
        <v>5.0052790018873416</v>
      </c>
      <c r="F463">
        <v>4.8848712783015431</v>
      </c>
      <c r="G463">
        <f t="shared" si="7"/>
        <v>-0.12040772358579854</v>
      </c>
      <c r="H463">
        <v>0.85423512668441748</v>
      </c>
      <c r="I463" t="s">
        <v>80</v>
      </c>
    </row>
    <row r="464" spans="1:9" x14ac:dyDescent="0.35">
      <c r="A464" t="s">
        <v>36</v>
      </c>
      <c r="B464" t="s">
        <v>59</v>
      </c>
      <c r="C464" t="s">
        <v>38</v>
      </c>
      <c r="D464">
        <v>2021</v>
      </c>
      <c r="E464">
        <v>4.4031542878007812</v>
      </c>
      <c r="F464">
        <v>4.8848712783015431</v>
      </c>
      <c r="G464">
        <f t="shared" si="7"/>
        <v>0.48171699050076189</v>
      </c>
      <c r="H464">
        <v>0.85423512668441748</v>
      </c>
      <c r="I464" t="s">
        <v>80</v>
      </c>
    </row>
    <row r="465" spans="1:9" x14ac:dyDescent="0.35">
      <c r="A465" t="s">
        <v>36</v>
      </c>
      <c r="B465" t="s">
        <v>60</v>
      </c>
      <c r="C465" t="s">
        <v>40</v>
      </c>
      <c r="D465">
        <v>2021</v>
      </c>
      <c r="E465">
        <v>3.407915196652112</v>
      </c>
      <c r="F465">
        <v>4.8848712783015431</v>
      </c>
      <c r="G465">
        <f t="shared" si="7"/>
        <v>1.4769560816494312</v>
      </c>
      <c r="H465">
        <v>0.85423512668441748</v>
      </c>
      <c r="I465" t="s">
        <v>80</v>
      </c>
    </row>
    <row r="466" spans="1:9" x14ac:dyDescent="0.35">
      <c r="A466" t="s">
        <v>67</v>
      </c>
      <c r="B466" t="s">
        <v>57</v>
      </c>
      <c r="C466" t="s">
        <v>38</v>
      </c>
      <c r="D466">
        <v>2021</v>
      </c>
      <c r="E466">
        <v>4.1239049795648741</v>
      </c>
      <c r="F466">
        <v>6.0667175798443678</v>
      </c>
      <c r="G466">
        <f t="shared" si="7"/>
        <v>1.9428126002794937</v>
      </c>
      <c r="H466">
        <v>0.91741299389035302</v>
      </c>
      <c r="I466" t="s">
        <v>80</v>
      </c>
    </row>
    <row r="467" spans="1:9" x14ac:dyDescent="0.35">
      <c r="A467" t="s">
        <v>67</v>
      </c>
      <c r="B467" t="s">
        <v>58</v>
      </c>
      <c r="C467" t="s">
        <v>40</v>
      </c>
      <c r="D467">
        <v>2021</v>
      </c>
      <c r="E467">
        <v>6.6899129841448302</v>
      </c>
      <c r="F467">
        <v>6.0667175798443678</v>
      </c>
      <c r="G467">
        <f t="shared" si="7"/>
        <v>-0.62319540430046239</v>
      </c>
      <c r="H467">
        <v>0.91741299389035302</v>
      </c>
      <c r="I467" t="s">
        <v>80</v>
      </c>
    </row>
    <row r="468" spans="1:9" x14ac:dyDescent="0.35">
      <c r="A468" t="s">
        <v>67</v>
      </c>
      <c r="B468" t="s">
        <v>59</v>
      </c>
      <c r="C468" t="s">
        <v>38</v>
      </c>
      <c r="D468">
        <v>2021</v>
      </c>
      <c r="E468">
        <v>5.9836029339416452</v>
      </c>
      <c r="F468">
        <v>6.0667175798443678</v>
      </c>
      <c r="G468">
        <f t="shared" si="7"/>
        <v>8.311464590272255E-2</v>
      </c>
      <c r="H468">
        <v>0.91741299389035302</v>
      </c>
      <c r="I468" t="s">
        <v>80</v>
      </c>
    </row>
    <row r="469" spans="1:9" x14ac:dyDescent="0.35">
      <c r="A469" t="s">
        <v>67</v>
      </c>
      <c r="B469" t="s">
        <v>60</v>
      </c>
      <c r="C469" t="s">
        <v>40</v>
      </c>
      <c r="D469">
        <v>2021</v>
      </c>
      <c r="E469">
        <v>4.5423071463688514</v>
      </c>
      <c r="F469">
        <v>6.0667175798443678</v>
      </c>
      <c r="G469">
        <f t="shared" si="7"/>
        <v>1.5244104334755164</v>
      </c>
      <c r="H469">
        <v>0.91741299389035302</v>
      </c>
      <c r="I469" t="s">
        <v>80</v>
      </c>
    </row>
    <row r="470" spans="1:9" x14ac:dyDescent="0.35">
      <c r="A470" t="s">
        <v>68</v>
      </c>
      <c r="B470" t="s">
        <v>57</v>
      </c>
      <c r="C470" t="s">
        <v>38</v>
      </c>
      <c r="D470">
        <v>2021</v>
      </c>
      <c r="E470">
        <v>3.5168418141955371</v>
      </c>
      <c r="F470">
        <v>3.8314526417859192</v>
      </c>
      <c r="G470">
        <f t="shared" si="7"/>
        <v>0.31461082759038206</v>
      </c>
      <c r="H470">
        <v>0.94112311293539941</v>
      </c>
      <c r="I470" t="s">
        <v>80</v>
      </c>
    </row>
    <row r="471" spans="1:9" x14ac:dyDescent="0.35">
      <c r="A471" t="s">
        <v>68</v>
      </c>
      <c r="B471" t="s">
        <v>58</v>
      </c>
      <c r="C471" t="s">
        <v>40</v>
      </c>
      <c r="D471">
        <v>2021</v>
      </c>
      <c r="E471">
        <v>5.8723795390502653</v>
      </c>
      <c r="F471">
        <v>3.8314526417859192</v>
      </c>
      <c r="G471">
        <f t="shared" si="7"/>
        <v>-2.0409268972643462</v>
      </c>
      <c r="H471">
        <v>0.94112311293539941</v>
      </c>
      <c r="I471" t="s">
        <v>80</v>
      </c>
    </row>
    <row r="472" spans="1:9" x14ac:dyDescent="0.35">
      <c r="A472" t="s">
        <v>68</v>
      </c>
      <c r="B472" t="s">
        <v>59</v>
      </c>
      <c r="C472" t="s">
        <v>38</v>
      </c>
      <c r="D472">
        <v>2021</v>
      </c>
      <c r="E472">
        <v>2.7343389231728081</v>
      </c>
      <c r="F472">
        <v>3.8314526417859192</v>
      </c>
      <c r="G472">
        <f t="shared" si="7"/>
        <v>1.097113718613111</v>
      </c>
      <c r="H472">
        <v>0.94112311293539941</v>
      </c>
      <c r="I472" t="s">
        <v>80</v>
      </c>
    </row>
    <row r="473" spans="1:9" x14ac:dyDescent="0.35">
      <c r="A473" t="s">
        <v>68</v>
      </c>
      <c r="B473" t="s">
        <v>60</v>
      </c>
      <c r="C473" t="s">
        <v>40</v>
      </c>
      <c r="D473">
        <v>2021</v>
      </c>
      <c r="E473">
        <v>3.405406776981335</v>
      </c>
      <c r="F473">
        <v>3.8314526417859192</v>
      </c>
      <c r="G473">
        <f t="shared" si="7"/>
        <v>0.42604586480458417</v>
      </c>
      <c r="H473">
        <v>0.94112311293539941</v>
      </c>
      <c r="I473" t="s">
        <v>80</v>
      </c>
    </row>
    <row r="474" spans="1:9" x14ac:dyDescent="0.35">
      <c r="A474" t="s">
        <v>69</v>
      </c>
      <c r="B474" t="s">
        <v>57</v>
      </c>
      <c r="C474" t="s">
        <v>38</v>
      </c>
      <c r="D474">
        <v>2021</v>
      </c>
      <c r="E474">
        <v>5.3508536215682634</v>
      </c>
      <c r="F474">
        <v>6.4693143142877041</v>
      </c>
      <c r="G474">
        <f t="shared" si="7"/>
        <v>1.1184606927194407</v>
      </c>
      <c r="H474">
        <v>0.86160021571319789</v>
      </c>
      <c r="I474" t="s">
        <v>80</v>
      </c>
    </row>
    <row r="475" spans="1:9" x14ac:dyDescent="0.35">
      <c r="A475" t="s">
        <v>69</v>
      </c>
      <c r="B475" t="s">
        <v>58</v>
      </c>
      <c r="C475" t="s">
        <v>40</v>
      </c>
      <c r="D475">
        <v>2021</v>
      </c>
      <c r="E475">
        <v>6.9761759541974167</v>
      </c>
      <c r="F475">
        <v>6.4693143142877041</v>
      </c>
      <c r="G475">
        <f t="shared" si="7"/>
        <v>-0.50686163990971256</v>
      </c>
      <c r="H475">
        <v>0.86160021571319789</v>
      </c>
      <c r="I475" t="s">
        <v>80</v>
      </c>
    </row>
    <row r="476" spans="1:9" x14ac:dyDescent="0.35">
      <c r="A476" t="s">
        <v>69</v>
      </c>
      <c r="B476" t="s">
        <v>59</v>
      </c>
      <c r="C476" t="s">
        <v>38</v>
      </c>
      <c r="D476">
        <v>2021</v>
      </c>
      <c r="E476">
        <v>4.6234510847103616</v>
      </c>
      <c r="F476">
        <v>6.4693143142877041</v>
      </c>
      <c r="G476">
        <f t="shared" si="7"/>
        <v>1.8458632295773425</v>
      </c>
      <c r="H476">
        <v>0.86160021571319789</v>
      </c>
      <c r="I476" t="s">
        <v>80</v>
      </c>
    </row>
    <row r="477" spans="1:9" x14ac:dyDescent="0.35">
      <c r="A477" t="s">
        <v>69</v>
      </c>
      <c r="B477" t="s">
        <v>60</v>
      </c>
      <c r="C477" t="s">
        <v>40</v>
      </c>
      <c r="D477">
        <v>2021</v>
      </c>
      <c r="E477">
        <v>5.8812532644924698</v>
      </c>
      <c r="F477">
        <v>6.4693143142877041</v>
      </c>
      <c r="G477">
        <f t="shared" si="7"/>
        <v>0.58806104979523433</v>
      </c>
      <c r="H477">
        <v>0.86160021571319789</v>
      </c>
      <c r="I477" t="s">
        <v>80</v>
      </c>
    </row>
    <row r="478" spans="1:9" x14ac:dyDescent="0.35">
      <c r="A478" t="s">
        <v>70</v>
      </c>
      <c r="B478" t="s">
        <v>57</v>
      </c>
      <c r="C478" t="s">
        <v>38</v>
      </c>
      <c r="D478">
        <v>2021</v>
      </c>
      <c r="E478">
        <v>2.900169440971712</v>
      </c>
      <c r="F478">
        <v>2.6415720090220192</v>
      </c>
      <c r="G478">
        <f t="shared" si="7"/>
        <v>-0.25859743194969287</v>
      </c>
      <c r="H478">
        <v>0.91810496949040077</v>
      </c>
      <c r="I478" t="s">
        <v>80</v>
      </c>
    </row>
    <row r="479" spans="1:9" x14ac:dyDescent="0.35">
      <c r="A479" t="s">
        <v>70</v>
      </c>
      <c r="B479" t="s">
        <v>58</v>
      </c>
      <c r="C479" t="s">
        <v>40</v>
      </c>
      <c r="D479">
        <v>2021</v>
      </c>
      <c r="E479">
        <v>3.6735608188213531</v>
      </c>
      <c r="F479">
        <v>2.6415720090220192</v>
      </c>
      <c r="G479">
        <f t="shared" si="7"/>
        <v>-1.0319888097993339</v>
      </c>
      <c r="H479">
        <v>0.91810496949040077</v>
      </c>
      <c r="I479" t="s">
        <v>80</v>
      </c>
    </row>
    <row r="480" spans="1:9" x14ac:dyDescent="0.35">
      <c r="A480" t="s">
        <v>70</v>
      </c>
      <c r="B480" t="s">
        <v>59</v>
      </c>
      <c r="C480" t="s">
        <v>38</v>
      </c>
      <c r="D480">
        <v>2021</v>
      </c>
      <c r="E480">
        <v>3.4041276267937399</v>
      </c>
      <c r="F480">
        <v>2.6415720090220192</v>
      </c>
      <c r="G480">
        <f t="shared" si="7"/>
        <v>-0.76255561777172076</v>
      </c>
      <c r="H480">
        <v>0.91810496949040077</v>
      </c>
      <c r="I480" t="s">
        <v>80</v>
      </c>
    </row>
    <row r="481" spans="1:9" x14ac:dyDescent="0.35">
      <c r="A481" t="s">
        <v>70</v>
      </c>
      <c r="B481" t="s">
        <v>60</v>
      </c>
      <c r="C481" t="s">
        <v>40</v>
      </c>
      <c r="D481">
        <v>2021</v>
      </c>
      <c r="E481">
        <v>2.739564988065335</v>
      </c>
      <c r="F481">
        <v>2.6415720090220192</v>
      </c>
      <c r="G481">
        <f t="shared" si="7"/>
        <v>-9.7992979043315831E-2</v>
      </c>
      <c r="H481">
        <v>0.91810496949040077</v>
      </c>
      <c r="I481" t="s">
        <v>80</v>
      </c>
    </row>
    <row r="482" spans="1:9" x14ac:dyDescent="0.35">
      <c r="A482" t="s">
        <v>73</v>
      </c>
      <c r="B482" t="s">
        <v>57</v>
      </c>
      <c r="C482" t="s">
        <v>38</v>
      </c>
      <c r="D482">
        <v>2021</v>
      </c>
      <c r="E482">
        <v>5.7952659026178077</v>
      </c>
      <c r="F482">
        <v>6.5701884772546428</v>
      </c>
      <c r="G482">
        <f t="shared" si="7"/>
        <v>0.77492257463683512</v>
      </c>
      <c r="H482">
        <v>0.90405876958573828</v>
      </c>
      <c r="I482" t="s">
        <v>80</v>
      </c>
    </row>
    <row r="483" spans="1:9" x14ac:dyDescent="0.35">
      <c r="A483" t="s">
        <v>73</v>
      </c>
      <c r="B483" t="s">
        <v>58</v>
      </c>
      <c r="C483" t="s">
        <v>40</v>
      </c>
      <c r="D483">
        <v>2021</v>
      </c>
      <c r="E483">
        <v>7.4011344913377686</v>
      </c>
      <c r="F483">
        <v>6.5701884772546428</v>
      </c>
      <c r="G483">
        <f t="shared" si="7"/>
        <v>-0.83094601408312574</v>
      </c>
      <c r="H483">
        <v>0.90405876958573828</v>
      </c>
      <c r="I483" t="s">
        <v>80</v>
      </c>
    </row>
    <row r="484" spans="1:9" x14ac:dyDescent="0.35">
      <c r="A484" t="s">
        <v>73</v>
      </c>
      <c r="B484" t="s">
        <v>59</v>
      </c>
      <c r="C484" t="s">
        <v>38</v>
      </c>
      <c r="D484">
        <v>2021</v>
      </c>
      <c r="E484">
        <v>6.5425794292067074</v>
      </c>
      <c r="F484">
        <v>6.5701884772546428</v>
      </c>
      <c r="G484">
        <f t="shared" si="7"/>
        <v>2.7609048047935403E-2</v>
      </c>
      <c r="H484">
        <v>0.90405876958573828</v>
      </c>
      <c r="I484" t="s">
        <v>80</v>
      </c>
    </row>
    <row r="485" spans="1:9" x14ac:dyDescent="0.35">
      <c r="A485" t="s">
        <v>73</v>
      </c>
      <c r="B485" t="s">
        <v>60</v>
      </c>
      <c r="C485" t="s">
        <v>40</v>
      </c>
      <c r="D485">
        <v>2021</v>
      </c>
      <c r="E485">
        <v>5.7147026734028614</v>
      </c>
      <c r="F485">
        <v>6.5701884772546428</v>
      </c>
      <c r="G485">
        <f t="shared" si="7"/>
        <v>0.85548580385178141</v>
      </c>
      <c r="H485">
        <v>0.90405876958573828</v>
      </c>
      <c r="I485" t="s">
        <v>80</v>
      </c>
    </row>
    <row r="486" spans="1:9" x14ac:dyDescent="0.35">
      <c r="A486" t="s">
        <v>74</v>
      </c>
      <c r="B486" t="s">
        <v>57</v>
      </c>
      <c r="C486" t="s">
        <v>38</v>
      </c>
      <c r="D486">
        <v>2021</v>
      </c>
      <c r="E486">
        <v>2.947813244873676</v>
      </c>
      <c r="F486">
        <v>15.1246997065809</v>
      </c>
      <c r="G486">
        <f t="shared" si="7"/>
        <v>12.176886461707223</v>
      </c>
      <c r="H486">
        <v>0.9340270359183438</v>
      </c>
      <c r="I486" t="s">
        <v>80</v>
      </c>
    </row>
    <row r="487" spans="1:9" x14ac:dyDescent="0.35">
      <c r="A487" t="s">
        <v>74</v>
      </c>
      <c r="B487" t="s">
        <v>58</v>
      </c>
      <c r="C487" t="s">
        <v>40</v>
      </c>
      <c r="D487">
        <v>2021</v>
      </c>
      <c r="E487">
        <v>6.0844415228506374</v>
      </c>
      <c r="F487">
        <v>15.1246997065809</v>
      </c>
      <c r="G487">
        <f t="shared" si="7"/>
        <v>9.0402581837302627</v>
      </c>
      <c r="H487">
        <v>0.9340270359183438</v>
      </c>
      <c r="I487" t="s">
        <v>80</v>
      </c>
    </row>
    <row r="488" spans="1:9" x14ac:dyDescent="0.35">
      <c r="A488" t="s">
        <v>74</v>
      </c>
      <c r="B488" t="s">
        <v>59</v>
      </c>
      <c r="C488" t="s">
        <v>38</v>
      </c>
      <c r="D488">
        <v>2021</v>
      </c>
      <c r="E488">
        <v>14.562981111404421</v>
      </c>
      <c r="F488">
        <v>15.1246997065809</v>
      </c>
      <c r="G488">
        <f t="shared" si="7"/>
        <v>0.5617185951764796</v>
      </c>
      <c r="H488">
        <v>0.9340270359183438</v>
      </c>
      <c r="I488" t="s">
        <v>80</v>
      </c>
    </row>
    <row r="489" spans="1:9" x14ac:dyDescent="0.35">
      <c r="A489" t="s">
        <v>74</v>
      </c>
      <c r="B489" t="s">
        <v>60</v>
      </c>
      <c r="C489" t="s">
        <v>40</v>
      </c>
      <c r="D489">
        <v>2021</v>
      </c>
      <c r="E489">
        <v>4.5993257541988797</v>
      </c>
      <c r="F489">
        <v>15.1246997065809</v>
      </c>
      <c r="G489">
        <f t="shared" si="7"/>
        <v>10.52537395238202</v>
      </c>
      <c r="H489">
        <v>0.9340270359183438</v>
      </c>
      <c r="I489" t="s">
        <v>80</v>
      </c>
    </row>
    <row r="490" spans="1:9" x14ac:dyDescent="0.35">
      <c r="A490" t="s">
        <v>75</v>
      </c>
      <c r="B490" t="s">
        <v>57</v>
      </c>
      <c r="C490" t="s">
        <v>38</v>
      </c>
      <c r="D490">
        <v>2021</v>
      </c>
      <c r="E490">
        <v>4.051033813756133</v>
      </c>
      <c r="F490">
        <v>8.4370671759064813</v>
      </c>
      <c r="G490">
        <f t="shared" si="7"/>
        <v>4.3860333621503482</v>
      </c>
      <c r="H490">
        <v>0.91416680466678835</v>
      </c>
      <c r="I490" t="s">
        <v>80</v>
      </c>
    </row>
    <row r="491" spans="1:9" x14ac:dyDescent="0.35">
      <c r="A491" t="s">
        <v>75</v>
      </c>
      <c r="B491" t="s">
        <v>58</v>
      </c>
      <c r="C491" t="s">
        <v>40</v>
      </c>
      <c r="D491">
        <v>2021</v>
      </c>
      <c r="E491">
        <v>6.5496569028856699</v>
      </c>
      <c r="F491">
        <v>8.4370671759064813</v>
      </c>
      <c r="G491">
        <f t="shared" si="7"/>
        <v>1.8874102730208113</v>
      </c>
      <c r="H491">
        <v>0.91416680466678835</v>
      </c>
      <c r="I491" t="s">
        <v>80</v>
      </c>
    </row>
    <row r="492" spans="1:9" x14ac:dyDescent="0.35">
      <c r="A492" t="s">
        <v>75</v>
      </c>
      <c r="B492" t="s">
        <v>59</v>
      </c>
      <c r="C492" t="s">
        <v>38</v>
      </c>
      <c r="D492">
        <v>2021</v>
      </c>
      <c r="E492">
        <v>6.2292733128945343</v>
      </c>
      <c r="F492">
        <v>8.4370671759064813</v>
      </c>
      <c r="G492">
        <f t="shared" si="7"/>
        <v>2.2077938630119469</v>
      </c>
      <c r="H492">
        <v>0.91416680466678835</v>
      </c>
      <c r="I492" t="s">
        <v>80</v>
      </c>
    </row>
    <row r="493" spans="1:9" x14ac:dyDescent="0.35">
      <c r="A493" t="s">
        <v>75</v>
      </c>
      <c r="B493" t="s">
        <v>60</v>
      </c>
      <c r="C493" t="s">
        <v>40</v>
      </c>
      <c r="D493">
        <v>2021</v>
      </c>
      <c r="E493">
        <v>4.2068723885489323</v>
      </c>
      <c r="F493">
        <v>8.4370671759064813</v>
      </c>
      <c r="G493">
        <f t="shared" si="7"/>
        <v>4.2301947873575489</v>
      </c>
      <c r="H493">
        <v>0.91416680466678835</v>
      </c>
      <c r="I493" t="s">
        <v>80</v>
      </c>
    </row>
    <row r="494" spans="1:9" x14ac:dyDescent="0.35">
      <c r="A494" t="s">
        <v>76</v>
      </c>
      <c r="B494" t="s">
        <v>57</v>
      </c>
      <c r="C494" t="s">
        <v>38</v>
      </c>
      <c r="D494">
        <v>2021</v>
      </c>
      <c r="E494">
        <v>2.161323818880434</v>
      </c>
      <c r="F494">
        <v>6.0197643563294596</v>
      </c>
      <c r="G494">
        <f t="shared" si="7"/>
        <v>3.8584405374490256</v>
      </c>
      <c r="H494">
        <v>0.88432599874750706</v>
      </c>
      <c r="I494" t="s">
        <v>80</v>
      </c>
    </row>
    <row r="495" spans="1:9" x14ac:dyDescent="0.35">
      <c r="A495" t="s">
        <v>76</v>
      </c>
      <c r="B495" t="s">
        <v>58</v>
      </c>
      <c r="C495" t="s">
        <v>40</v>
      </c>
      <c r="D495">
        <v>2021</v>
      </c>
      <c r="E495">
        <v>4.963640025345617</v>
      </c>
      <c r="F495">
        <v>6.0197643563294596</v>
      </c>
      <c r="G495">
        <f t="shared" si="7"/>
        <v>1.0561243309838426</v>
      </c>
      <c r="H495">
        <v>0.88432599874750706</v>
      </c>
      <c r="I495" t="s">
        <v>80</v>
      </c>
    </row>
    <row r="496" spans="1:9" x14ac:dyDescent="0.35">
      <c r="A496" t="s">
        <v>76</v>
      </c>
      <c r="B496" t="s">
        <v>59</v>
      </c>
      <c r="C496" t="s">
        <v>38</v>
      </c>
      <c r="D496">
        <v>2021</v>
      </c>
      <c r="E496">
        <v>3.9728248180522558</v>
      </c>
      <c r="F496">
        <v>6.0197643563294596</v>
      </c>
      <c r="G496">
        <f t="shared" si="7"/>
        <v>2.0469395382772038</v>
      </c>
      <c r="H496">
        <v>0.88432599874750706</v>
      </c>
      <c r="I496" t="s">
        <v>80</v>
      </c>
    </row>
    <row r="497" spans="1:9" x14ac:dyDescent="0.35">
      <c r="A497" t="s">
        <v>76</v>
      </c>
      <c r="B497" t="s">
        <v>60</v>
      </c>
      <c r="C497" t="s">
        <v>40</v>
      </c>
      <c r="D497">
        <v>2021</v>
      </c>
      <c r="E497">
        <v>2.3382369164345769</v>
      </c>
      <c r="F497">
        <v>6.0197643563294596</v>
      </c>
      <c r="G497">
        <f t="shared" si="7"/>
        <v>3.6815274398948827</v>
      </c>
      <c r="H497">
        <v>0.88432599874750706</v>
      </c>
      <c r="I497" t="s">
        <v>80</v>
      </c>
    </row>
    <row r="498" spans="1:9" x14ac:dyDescent="0.35">
      <c r="A498" t="s">
        <v>77</v>
      </c>
      <c r="B498" t="s">
        <v>57</v>
      </c>
      <c r="C498" t="s">
        <v>38</v>
      </c>
      <c r="D498">
        <v>2021</v>
      </c>
      <c r="E498">
        <v>5.3606609364002189</v>
      </c>
      <c r="F498">
        <v>5.4098373027499997</v>
      </c>
      <c r="G498">
        <f t="shared" si="7"/>
        <v>4.9176366349780842E-2</v>
      </c>
      <c r="H498">
        <v>0.8204401437541583</v>
      </c>
      <c r="I498" t="s">
        <v>80</v>
      </c>
    </row>
    <row r="499" spans="1:9" x14ac:dyDescent="0.35">
      <c r="A499" t="s">
        <v>77</v>
      </c>
      <c r="B499" t="s">
        <v>58</v>
      </c>
      <c r="C499" t="s">
        <v>40</v>
      </c>
      <c r="D499">
        <v>2021</v>
      </c>
      <c r="E499">
        <v>5.8179091621113344</v>
      </c>
      <c r="F499">
        <v>5.4098373027499997</v>
      </c>
      <c r="G499">
        <f t="shared" si="7"/>
        <v>-0.40807185936133461</v>
      </c>
      <c r="H499">
        <v>0.8204401437541583</v>
      </c>
      <c r="I499" t="s">
        <v>80</v>
      </c>
    </row>
    <row r="500" spans="1:9" x14ac:dyDescent="0.35">
      <c r="A500" t="s">
        <v>77</v>
      </c>
      <c r="B500" t="s">
        <v>59</v>
      </c>
      <c r="C500" t="s">
        <v>38</v>
      </c>
      <c r="D500">
        <v>2021</v>
      </c>
      <c r="E500">
        <v>4.5428064601391371</v>
      </c>
      <c r="F500">
        <v>5.4098373027499997</v>
      </c>
      <c r="G500">
        <f t="shared" si="7"/>
        <v>0.86703084261086261</v>
      </c>
      <c r="H500">
        <v>0.8204401437541583</v>
      </c>
      <c r="I500" t="s">
        <v>80</v>
      </c>
    </row>
    <row r="501" spans="1:9" x14ac:dyDescent="0.35">
      <c r="A501" t="s">
        <v>77</v>
      </c>
      <c r="B501" t="s">
        <v>60</v>
      </c>
      <c r="C501" t="s">
        <v>40</v>
      </c>
      <c r="D501">
        <v>2021</v>
      </c>
      <c r="E501">
        <v>3.9441078773994498</v>
      </c>
      <c r="F501">
        <v>5.4098373027499997</v>
      </c>
      <c r="G501">
        <f t="shared" si="7"/>
        <v>1.46572942535055</v>
      </c>
      <c r="H501">
        <v>0.8204401437541583</v>
      </c>
      <c r="I501" t="s">
        <v>80</v>
      </c>
    </row>
    <row r="502" spans="1:9" x14ac:dyDescent="0.35">
      <c r="A502" t="s">
        <v>36</v>
      </c>
      <c r="B502" t="s">
        <v>59</v>
      </c>
      <c r="C502" t="s">
        <v>38</v>
      </c>
      <c r="D502">
        <v>2022</v>
      </c>
      <c r="E502">
        <v>4.8883580526853274</v>
      </c>
      <c r="F502">
        <v>5.2899005620960757</v>
      </c>
      <c r="G502">
        <f t="shared" si="7"/>
        <v>0.40154250941074832</v>
      </c>
      <c r="H502">
        <v>0.79318298754570626</v>
      </c>
      <c r="I502" t="s">
        <v>80</v>
      </c>
    </row>
    <row r="503" spans="1:9" x14ac:dyDescent="0.35">
      <c r="A503" t="s">
        <v>36</v>
      </c>
      <c r="B503" t="s">
        <v>60</v>
      </c>
      <c r="C503" t="s">
        <v>40</v>
      </c>
      <c r="D503">
        <v>2022</v>
      </c>
      <c r="E503">
        <v>4.2814646537613577</v>
      </c>
      <c r="F503">
        <v>5.2899005620960757</v>
      </c>
      <c r="G503">
        <f t="shared" si="7"/>
        <v>1.0084359083347181</v>
      </c>
      <c r="H503">
        <v>0.79318298754570626</v>
      </c>
      <c r="I503" t="s">
        <v>80</v>
      </c>
    </row>
    <row r="504" spans="1:9" x14ac:dyDescent="0.35">
      <c r="A504" t="s">
        <v>36</v>
      </c>
      <c r="B504" t="s">
        <v>61</v>
      </c>
      <c r="C504" t="s">
        <v>38</v>
      </c>
      <c r="D504">
        <v>2022</v>
      </c>
      <c r="E504">
        <v>4.6469116666415733</v>
      </c>
      <c r="F504">
        <v>5.2899005620960757</v>
      </c>
      <c r="G504">
        <f t="shared" si="7"/>
        <v>0.64298889545450244</v>
      </c>
      <c r="H504">
        <v>0.79318298754570626</v>
      </c>
      <c r="I504" t="s">
        <v>80</v>
      </c>
    </row>
    <row r="505" spans="1:9" x14ac:dyDescent="0.35">
      <c r="A505" t="s">
        <v>36</v>
      </c>
      <c r="B505" t="s">
        <v>62</v>
      </c>
      <c r="C505" t="s">
        <v>40</v>
      </c>
      <c r="D505">
        <v>2022</v>
      </c>
      <c r="E505">
        <v>3.9196460068068979</v>
      </c>
      <c r="F505">
        <v>5.2899005620960757</v>
      </c>
      <c r="G505">
        <f t="shared" si="7"/>
        <v>1.3702545552891778</v>
      </c>
      <c r="H505">
        <v>0.79318298754570626</v>
      </c>
      <c r="I505" t="s">
        <v>80</v>
      </c>
    </row>
    <row r="506" spans="1:9" x14ac:dyDescent="0.35">
      <c r="A506" t="s">
        <v>67</v>
      </c>
      <c r="B506" t="s">
        <v>59</v>
      </c>
      <c r="C506" t="s">
        <v>38</v>
      </c>
      <c r="D506">
        <v>2022</v>
      </c>
      <c r="E506">
        <v>2.6471364529380592</v>
      </c>
      <c r="F506">
        <v>3.945716681463399</v>
      </c>
      <c r="G506">
        <f t="shared" si="7"/>
        <v>1.2985802285253398</v>
      </c>
      <c r="H506">
        <v>0.8630359765160468</v>
      </c>
      <c r="I506" t="s">
        <v>80</v>
      </c>
    </row>
    <row r="507" spans="1:9" x14ac:dyDescent="0.35">
      <c r="A507" t="s">
        <v>67</v>
      </c>
      <c r="B507" t="s">
        <v>60</v>
      </c>
      <c r="C507" t="s">
        <v>40</v>
      </c>
      <c r="D507">
        <v>2022</v>
      </c>
      <c r="E507">
        <v>3.671117125209777</v>
      </c>
      <c r="F507">
        <v>3.945716681463399</v>
      </c>
      <c r="G507">
        <f t="shared" si="7"/>
        <v>0.27459955625362209</v>
      </c>
      <c r="H507">
        <v>0.8630359765160468</v>
      </c>
      <c r="I507" t="s">
        <v>80</v>
      </c>
    </row>
    <row r="508" spans="1:9" x14ac:dyDescent="0.35">
      <c r="A508" t="s">
        <v>67</v>
      </c>
      <c r="B508" t="s">
        <v>61</v>
      </c>
      <c r="C508" t="s">
        <v>38</v>
      </c>
      <c r="D508">
        <v>2022</v>
      </c>
      <c r="E508">
        <v>2.8171147512312089</v>
      </c>
      <c r="F508">
        <v>3.945716681463399</v>
      </c>
      <c r="G508">
        <f t="shared" si="7"/>
        <v>1.1286019302321901</v>
      </c>
      <c r="H508">
        <v>0.8630359765160468</v>
      </c>
      <c r="I508" t="s">
        <v>80</v>
      </c>
    </row>
    <row r="509" spans="1:9" x14ac:dyDescent="0.35">
      <c r="A509" t="s">
        <v>67</v>
      </c>
      <c r="B509" t="s">
        <v>62</v>
      </c>
      <c r="C509" t="s">
        <v>40</v>
      </c>
      <c r="D509">
        <v>2022</v>
      </c>
      <c r="E509">
        <v>2.0165795618690252</v>
      </c>
      <c r="F509">
        <v>3.945716681463399</v>
      </c>
      <c r="G509">
        <f t="shared" si="7"/>
        <v>1.9291371195943738</v>
      </c>
      <c r="H509">
        <v>0.8630359765160468</v>
      </c>
      <c r="I509" t="s">
        <v>80</v>
      </c>
    </row>
    <row r="510" spans="1:9" x14ac:dyDescent="0.35">
      <c r="A510" t="s">
        <v>68</v>
      </c>
      <c r="B510" t="s">
        <v>59</v>
      </c>
      <c r="C510" t="s">
        <v>38</v>
      </c>
      <c r="D510">
        <v>2022</v>
      </c>
      <c r="E510">
        <v>4.5927784434600882</v>
      </c>
      <c r="F510">
        <v>1.931834126476093</v>
      </c>
      <c r="G510">
        <f t="shared" si="7"/>
        <v>-2.6609443169839953</v>
      </c>
      <c r="H510">
        <v>0.9099167572496889</v>
      </c>
      <c r="I510" t="s">
        <v>80</v>
      </c>
    </row>
    <row r="511" spans="1:9" x14ac:dyDescent="0.35">
      <c r="A511" t="s">
        <v>68</v>
      </c>
      <c r="B511" t="s">
        <v>60</v>
      </c>
      <c r="C511" t="s">
        <v>40</v>
      </c>
      <c r="D511">
        <v>2022</v>
      </c>
      <c r="E511">
        <v>4.0547699734103224</v>
      </c>
      <c r="F511">
        <v>1.931834126476093</v>
      </c>
      <c r="G511">
        <f t="shared" si="7"/>
        <v>-2.1229358469342294</v>
      </c>
      <c r="H511">
        <v>0.9099167572496889</v>
      </c>
      <c r="I511" t="s">
        <v>80</v>
      </c>
    </row>
    <row r="512" spans="1:9" x14ac:dyDescent="0.35">
      <c r="A512" t="s">
        <v>68</v>
      </c>
      <c r="B512" t="s">
        <v>61</v>
      </c>
      <c r="C512" t="s">
        <v>38</v>
      </c>
      <c r="D512">
        <v>2022</v>
      </c>
      <c r="E512">
        <v>1.55845355711639</v>
      </c>
      <c r="F512">
        <v>1.931834126476093</v>
      </c>
      <c r="G512">
        <f t="shared" si="7"/>
        <v>0.37338056935970299</v>
      </c>
      <c r="H512">
        <v>0.9099167572496889</v>
      </c>
      <c r="I512" t="s">
        <v>80</v>
      </c>
    </row>
    <row r="513" spans="1:9" x14ac:dyDescent="0.35">
      <c r="A513" t="s">
        <v>68</v>
      </c>
      <c r="B513" t="s">
        <v>62</v>
      </c>
      <c r="C513" t="s">
        <v>40</v>
      </c>
      <c r="D513">
        <v>2022</v>
      </c>
      <c r="E513">
        <v>1.5579683422439761</v>
      </c>
      <c r="F513">
        <v>1.931834126476093</v>
      </c>
      <c r="G513">
        <f t="shared" si="7"/>
        <v>0.37386578423211692</v>
      </c>
      <c r="H513">
        <v>0.9099167572496889</v>
      </c>
      <c r="I513" t="s">
        <v>80</v>
      </c>
    </row>
    <row r="514" spans="1:9" x14ac:dyDescent="0.35">
      <c r="A514" t="s">
        <v>70</v>
      </c>
      <c r="B514" t="s">
        <v>59</v>
      </c>
      <c r="C514" t="s">
        <v>38</v>
      </c>
      <c r="D514">
        <v>2022</v>
      </c>
      <c r="E514">
        <v>2.8272245866406638</v>
      </c>
      <c r="F514">
        <v>0.76006291556467176</v>
      </c>
      <c r="G514">
        <f t="shared" ref="G514:G573" si="8">IF(OR(F514="",E514=""),"",F514-E514)</f>
        <v>-2.0671616710759921</v>
      </c>
      <c r="H514">
        <v>0.84141991326698506</v>
      </c>
      <c r="I514" t="s">
        <v>80</v>
      </c>
    </row>
    <row r="515" spans="1:9" x14ac:dyDescent="0.35">
      <c r="A515" t="s">
        <v>70</v>
      </c>
      <c r="B515" t="s">
        <v>60</v>
      </c>
      <c r="C515" t="s">
        <v>40</v>
      </c>
      <c r="D515">
        <v>2022</v>
      </c>
      <c r="E515">
        <v>2.7517012411305108</v>
      </c>
      <c r="F515">
        <v>0.76006291556467176</v>
      </c>
      <c r="G515">
        <f t="shared" si="8"/>
        <v>-1.9916383255658392</v>
      </c>
      <c r="H515">
        <v>0.84141991326698506</v>
      </c>
      <c r="I515" t="s">
        <v>80</v>
      </c>
    </row>
    <row r="516" spans="1:9" x14ac:dyDescent="0.35">
      <c r="A516" t="s">
        <v>70</v>
      </c>
      <c r="B516" t="s">
        <v>61</v>
      </c>
      <c r="C516" t="s">
        <v>38</v>
      </c>
      <c r="D516">
        <v>2022</v>
      </c>
      <c r="E516">
        <v>2.327853537647107</v>
      </c>
      <c r="F516">
        <v>0.76006291556467176</v>
      </c>
      <c r="G516">
        <f t="shared" si="8"/>
        <v>-1.5677906220824354</v>
      </c>
      <c r="H516">
        <v>0.84141991326698506</v>
      </c>
      <c r="I516" t="s">
        <v>80</v>
      </c>
    </row>
    <row r="517" spans="1:9" x14ac:dyDescent="0.35">
      <c r="A517" t="s">
        <v>70</v>
      </c>
      <c r="B517" t="s">
        <v>62</v>
      </c>
      <c r="C517" t="s">
        <v>40</v>
      </c>
      <c r="D517">
        <v>2022</v>
      </c>
      <c r="E517">
        <v>1.603112304026943</v>
      </c>
      <c r="F517">
        <v>0.76006291556467176</v>
      </c>
      <c r="G517">
        <f t="shared" si="8"/>
        <v>-0.84304938846227129</v>
      </c>
      <c r="H517">
        <v>0.84141991326698506</v>
      </c>
      <c r="I517" t="s">
        <v>80</v>
      </c>
    </row>
    <row r="518" spans="1:9" x14ac:dyDescent="0.35">
      <c r="A518" t="s">
        <v>73</v>
      </c>
      <c r="B518" t="s">
        <v>59</v>
      </c>
      <c r="C518" t="s">
        <v>38</v>
      </c>
      <c r="D518">
        <v>2022</v>
      </c>
      <c r="E518">
        <v>3.7661475579403141</v>
      </c>
      <c r="F518">
        <v>2.761671160127166</v>
      </c>
      <c r="G518">
        <f t="shared" si="8"/>
        <v>-1.0044763978131481</v>
      </c>
      <c r="H518">
        <v>0.92165748687256943</v>
      </c>
      <c r="I518" t="s">
        <v>80</v>
      </c>
    </row>
    <row r="519" spans="1:9" x14ac:dyDescent="0.35">
      <c r="A519" t="s">
        <v>73</v>
      </c>
      <c r="B519" t="s">
        <v>60</v>
      </c>
      <c r="C519" t="s">
        <v>40</v>
      </c>
      <c r="D519">
        <v>2022</v>
      </c>
      <c r="E519">
        <v>4.2114770737248453</v>
      </c>
      <c r="F519">
        <v>2.761671160127166</v>
      </c>
      <c r="G519">
        <f t="shared" si="8"/>
        <v>-1.4498059135976793</v>
      </c>
      <c r="H519">
        <v>0.92165748687256943</v>
      </c>
      <c r="I519" t="s">
        <v>80</v>
      </c>
    </row>
    <row r="520" spans="1:9" x14ac:dyDescent="0.35">
      <c r="A520" t="s">
        <v>73</v>
      </c>
      <c r="B520" t="s">
        <v>61</v>
      </c>
      <c r="C520" t="s">
        <v>38</v>
      </c>
      <c r="D520">
        <v>2022</v>
      </c>
      <c r="E520">
        <v>2.6294584401195249</v>
      </c>
      <c r="F520">
        <v>2.761671160127166</v>
      </c>
      <c r="G520">
        <f t="shared" si="8"/>
        <v>0.13221272000764106</v>
      </c>
      <c r="H520">
        <v>0.92165748687256943</v>
      </c>
      <c r="I520" t="s">
        <v>80</v>
      </c>
    </row>
    <row r="521" spans="1:9" x14ac:dyDescent="0.35">
      <c r="A521" t="s">
        <v>73</v>
      </c>
      <c r="B521" t="s">
        <v>62</v>
      </c>
      <c r="C521" t="s">
        <v>40</v>
      </c>
      <c r="D521">
        <v>2022</v>
      </c>
      <c r="E521">
        <v>3.0989524183168582</v>
      </c>
      <c r="F521">
        <v>2.761671160127166</v>
      </c>
      <c r="G521">
        <f t="shared" si="8"/>
        <v>-0.33728125818969223</v>
      </c>
      <c r="H521">
        <v>0.92165748687256943</v>
      </c>
      <c r="I521" t="s">
        <v>80</v>
      </c>
    </row>
    <row r="522" spans="1:9" x14ac:dyDescent="0.35">
      <c r="A522" t="s">
        <v>74</v>
      </c>
      <c r="B522" t="s">
        <v>59</v>
      </c>
      <c r="C522" t="s">
        <v>38</v>
      </c>
      <c r="D522">
        <v>2022</v>
      </c>
      <c r="E522">
        <v>5.0918722980731523</v>
      </c>
      <c r="F522">
        <v>7.9894443369245964</v>
      </c>
      <c r="G522">
        <f t="shared" si="8"/>
        <v>2.8975720388514441</v>
      </c>
      <c r="H522">
        <v>0.82302044815068109</v>
      </c>
      <c r="I522" t="s">
        <v>80</v>
      </c>
    </row>
    <row r="523" spans="1:9" x14ac:dyDescent="0.35">
      <c r="A523" t="s">
        <v>74</v>
      </c>
      <c r="B523" t="s">
        <v>60</v>
      </c>
      <c r="C523" t="s">
        <v>40</v>
      </c>
      <c r="D523">
        <v>2022</v>
      </c>
      <c r="E523">
        <v>4.9759868399277041</v>
      </c>
      <c r="F523">
        <v>7.9894443369245964</v>
      </c>
      <c r="G523">
        <f t="shared" si="8"/>
        <v>3.0134574969968924</v>
      </c>
      <c r="H523">
        <v>0.82302044815068109</v>
      </c>
      <c r="I523" t="s">
        <v>80</v>
      </c>
    </row>
    <row r="524" spans="1:9" x14ac:dyDescent="0.35">
      <c r="A524" t="s">
        <v>74</v>
      </c>
      <c r="B524" t="s">
        <v>61</v>
      </c>
      <c r="C524" t="s">
        <v>38</v>
      </c>
      <c r="D524">
        <v>2022</v>
      </c>
      <c r="E524">
        <v>7.8710837662645083</v>
      </c>
      <c r="F524">
        <v>7.9894443369245964</v>
      </c>
      <c r="G524">
        <f t="shared" si="8"/>
        <v>0.11836057066008809</v>
      </c>
      <c r="H524">
        <v>0.82302044815068109</v>
      </c>
      <c r="I524" t="s">
        <v>80</v>
      </c>
    </row>
    <row r="525" spans="1:9" x14ac:dyDescent="0.35">
      <c r="A525" t="s">
        <v>74</v>
      </c>
      <c r="B525" t="s">
        <v>62</v>
      </c>
      <c r="C525" t="s">
        <v>40</v>
      </c>
      <c r="D525">
        <v>2022</v>
      </c>
      <c r="E525">
        <v>5.3816861962496354</v>
      </c>
      <c r="F525">
        <v>7.9894443369245964</v>
      </c>
      <c r="G525">
        <f t="shared" si="8"/>
        <v>2.607758140674961</v>
      </c>
      <c r="H525">
        <v>0.82302044815068109</v>
      </c>
      <c r="I525" t="s">
        <v>80</v>
      </c>
    </row>
    <row r="526" spans="1:9" x14ac:dyDescent="0.35">
      <c r="A526" t="s">
        <v>75</v>
      </c>
      <c r="B526" t="s">
        <v>59</v>
      </c>
      <c r="C526" t="s">
        <v>38</v>
      </c>
      <c r="D526">
        <v>2022</v>
      </c>
      <c r="E526">
        <v>4.2689191687874661</v>
      </c>
      <c r="F526">
        <v>4.8546134866977511</v>
      </c>
      <c r="G526">
        <f t="shared" si="8"/>
        <v>0.58569431791028492</v>
      </c>
      <c r="H526">
        <v>0.90204063425666803</v>
      </c>
      <c r="I526" t="s">
        <v>80</v>
      </c>
    </row>
    <row r="527" spans="1:9" x14ac:dyDescent="0.35">
      <c r="A527" t="s">
        <v>75</v>
      </c>
      <c r="B527" t="s">
        <v>60</v>
      </c>
      <c r="C527" t="s">
        <v>40</v>
      </c>
      <c r="D527">
        <v>2022</v>
      </c>
      <c r="E527">
        <v>4.3934586282645904</v>
      </c>
      <c r="F527">
        <v>4.8546134866977511</v>
      </c>
      <c r="G527">
        <f t="shared" si="8"/>
        <v>0.46115485843316062</v>
      </c>
      <c r="H527">
        <v>0.90204063425666803</v>
      </c>
      <c r="I527" t="s">
        <v>80</v>
      </c>
    </row>
    <row r="528" spans="1:9" x14ac:dyDescent="0.35">
      <c r="A528" t="s">
        <v>75</v>
      </c>
      <c r="B528" t="s">
        <v>61</v>
      </c>
      <c r="C528" t="s">
        <v>38</v>
      </c>
      <c r="D528">
        <v>2022</v>
      </c>
      <c r="E528">
        <v>3.8268920279536989</v>
      </c>
      <c r="F528">
        <v>4.8546134866977511</v>
      </c>
      <c r="G528">
        <f t="shared" si="8"/>
        <v>1.0277214587440522</v>
      </c>
      <c r="H528">
        <v>0.90204063425666803</v>
      </c>
      <c r="I528" t="s">
        <v>80</v>
      </c>
    </row>
    <row r="529" spans="1:9" x14ac:dyDescent="0.35">
      <c r="A529" t="s">
        <v>75</v>
      </c>
      <c r="B529" t="s">
        <v>62</v>
      </c>
      <c r="C529" t="s">
        <v>40</v>
      </c>
      <c r="D529">
        <v>2022</v>
      </c>
      <c r="E529">
        <v>2.4256542804822261</v>
      </c>
      <c r="F529">
        <v>4.8546134866977511</v>
      </c>
      <c r="G529">
        <f t="shared" si="8"/>
        <v>2.428959206215525</v>
      </c>
      <c r="H529">
        <v>0.90204063425666803</v>
      </c>
      <c r="I529" t="s">
        <v>80</v>
      </c>
    </row>
    <row r="530" spans="1:9" x14ac:dyDescent="0.35">
      <c r="A530" t="s">
        <v>76</v>
      </c>
      <c r="B530" t="s">
        <v>59</v>
      </c>
      <c r="C530" t="s">
        <v>38</v>
      </c>
      <c r="D530">
        <v>2022</v>
      </c>
      <c r="E530">
        <v>3.3489770835561039</v>
      </c>
      <c r="F530">
        <v>4.8892912104023152</v>
      </c>
      <c r="G530">
        <f t="shared" si="8"/>
        <v>1.5403141268462113</v>
      </c>
      <c r="H530">
        <v>0.81381208879363764</v>
      </c>
      <c r="I530" t="s">
        <v>80</v>
      </c>
    </row>
    <row r="531" spans="1:9" x14ac:dyDescent="0.35">
      <c r="A531" t="s">
        <v>76</v>
      </c>
      <c r="B531" t="s">
        <v>60</v>
      </c>
      <c r="C531" t="s">
        <v>40</v>
      </c>
      <c r="D531">
        <v>2022</v>
      </c>
      <c r="E531">
        <v>3.5790486712876879</v>
      </c>
      <c r="F531">
        <v>4.8892912104023152</v>
      </c>
      <c r="G531">
        <f t="shared" si="8"/>
        <v>1.3102425391146273</v>
      </c>
      <c r="H531">
        <v>0.81381208879363764</v>
      </c>
      <c r="I531" t="s">
        <v>80</v>
      </c>
    </row>
    <row r="532" spans="1:9" x14ac:dyDescent="0.35">
      <c r="A532" t="s">
        <v>76</v>
      </c>
      <c r="B532" t="s">
        <v>61</v>
      </c>
      <c r="C532" t="s">
        <v>38</v>
      </c>
      <c r="D532">
        <v>2022</v>
      </c>
      <c r="E532">
        <v>4.6490196630740721</v>
      </c>
      <c r="F532">
        <v>4.8892912104023152</v>
      </c>
      <c r="G532">
        <f t="shared" si="8"/>
        <v>0.24027154732824307</v>
      </c>
      <c r="H532">
        <v>0.81381208879363764</v>
      </c>
      <c r="I532" t="s">
        <v>80</v>
      </c>
    </row>
    <row r="533" spans="1:9" x14ac:dyDescent="0.35">
      <c r="A533" t="s">
        <v>76</v>
      </c>
      <c r="B533" t="s">
        <v>62</v>
      </c>
      <c r="C533" t="s">
        <v>40</v>
      </c>
      <c r="D533">
        <v>2022</v>
      </c>
      <c r="E533">
        <v>3.271330674458595</v>
      </c>
      <c r="F533">
        <v>4.8892912104023152</v>
      </c>
      <c r="G533">
        <f t="shared" si="8"/>
        <v>1.6179605359437201</v>
      </c>
      <c r="H533">
        <v>0.81381208879363764</v>
      </c>
      <c r="I533" t="s">
        <v>80</v>
      </c>
    </row>
    <row r="534" spans="1:9" x14ac:dyDescent="0.35">
      <c r="A534" t="s">
        <v>36</v>
      </c>
      <c r="B534" t="s">
        <v>61</v>
      </c>
      <c r="C534" t="s">
        <v>38</v>
      </c>
      <c r="D534">
        <v>2023</v>
      </c>
      <c r="E534">
        <v>0.30335623159960518</v>
      </c>
      <c r="F534">
        <v>-0.6768389272940647</v>
      </c>
      <c r="G534">
        <f t="shared" si="8"/>
        <v>-0.98019515889366993</v>
      </c>
      <c r="H534">
        <v>0.74324805484371159</v>
      </c>
      <c r="I534" t="s">
        <v>80</v>
      </c>
    </row>
    <row r="535" spans="1:9" x14ac:dyDescent="0.35">
      <c r="A535" t="s">
        <v>36</v>
      </c>
      <c r="B535" t="s">
        <v>62</v>
      </c>
      <c r="C535" t="s">
        <v>40</v>
      </c>
      <c r="D535">
        <v>2023</v>
      </c>
      <c r="E535">
        <v>1.874018674886258</v>
      </c>
      <c r="F535">
        <v>-0.6768389272940647</v>
      </c>
      <c r="G535">
        <f t="shared" si="8"/>
        <v>-2.5508576021803226</v>
      </c>
      <c r="H535">
        <v>0.74324805484371159</v>
      </c>
      <c r="I535" t="s">
        <v>80</v>
      </c>
    </row>
    <row r="536" spans="1:9" x14ac:dyDescent="0.35">
      <c r="A536" t="s">
        <v>36</v>
      </c>
      <c r="B536" t="s">
        <v>63</v>
      </c>
      <c r="C536" t="s">
        <v>38</v>
      </c>
      <c r="D536">
        <v>2023</v>
      </c>
      <c r="E536">
        <v>-0.54656439605949014</v>
      </c>
      <c r="F536">
        <v>-0.6768389272940647</v>
      </c>
      <c r="G536">
        <f t="shared" si="8"/>
        <v>-0.13027453123457455</v>
      </c>
      <c r="H536">
        <v>0.74324805484371159</v>
      </c>
      <c r="I536" t="s">
        <v>80</v>
      </c>
    </row>
    <row r="537" spans="1:9" x14ac:dyDescent="0.35">
      <c r="A537" t="s">
        <v>36</v>
      </c>
      <c r="B537" t="s">
        <v>64</v>
      </c>
      <c r="C537" t="s">
        <v>40</v>
      </c>
      <c r="D537">
        <v>2023</v>
      </c>
      <c r="E537">
        <v>0.39339786418057798</v>
      </c>
      <c r="F537">
        <v>-0.6768389272940647</v>
      </c>
      <c r="G537">
        <f t="shared" si="8"/>
        <v>-1.0702367914746427</v>
      </c>
      <c r="H537">
        <v>0.74324805484371159</v>
      </c>
      <c r="I537" t="s">
        <v>80</v>
      </c>
    </row>
    <row r="538" spans="1:9" x14ac:dyDescent="0.35">
      <c r="A538" t="s">
        <v>67</v>
      </c>
      <c r="B538" t="s">
        <v>61</v>
      </c>
      <c r="C538" t="s">
        <v>38</v>
      </c>
      <c r="D538">
        <v>2023</v>
      </c>
      <c r="E538">
        <v>0.1608186912456899</v>
      </c>
      <c r="F538">
        <v>1.5491827810755261</v>
      </c>
      <c r="G538">
        <f t="shared" si="8"/>
        <v>1.3883640898298362</v>
      </c>
      <c r="H538">
        <v>0.71743568306368155</v>
      </c>
      <c r="I538" t="s">
        <v>80</v>
      </c>
    </row>
    <row r="539" spans="1:9" x14ac:dyDescent="0.35">
      <c r="A539" t="s">
        <v>67</v>
      </c>
      <c r="B539" t="s">
        <v>62</v>
      </c>
      <c r="C539" t="s">
        <v>40</v>
      </c>
      <c r="D539">
        <v>2023</v>
      </c>
      <c r="E539">
        <v>1.7766240808305469</v>
      </c>
      <c r="F539">
        <v>1.5491827810755261</v>
      </c>
      <c r="G539">
        <f t="shared" si="8"/>
        <v>-0.22744129975502081</v>
      </c>
      <c r="H539">
        <v>0.71743568306368155</v>
      </c>
      <c r="I539" t="s">
        <v>80</v>
      </c>
    </row>
    <row r="540" spans="1:9" x14ac:dyDescent="0.35">
      <c r="A540" t="s">
        <v>67</v>
      </c>
      <c r="B540" t="s">
        <v>63</v>
      </c>
      <c r="C540" t="s">
        <v>38</v>
      </c>
      <c r="D540">
        <v>2023</v>
      </c>
      <c r="E540">
        <v>1.44096095579862</v>
      </c>
      <c r="F540">
        <v>1.5491827810755261</v>
      </c>
      <c r="G540">
        <f t="shared" si="8"/>
        <v>0.10822182527690605</v>
      </c>
      <c r="H540">
        <v>0.71743568306368155</v>
      </c>
      <c r="I540" t="s">
        <v>80</v>
      </c>
    </row>
    <row r="541" spans="1:9" x14ac:dyDescent="0.35">
      <c r="A541" t="s">
        <v>67</v>
      </c>
      <c r="B541" t="s">
        <v>64</v>
      </c>
      <c r="C541" t="s">
        <v>40</v>
      </c>
      <c r="D541">
        <v>2023</v>
      </c>
      <c r="E541">
        <v>1.2330728065618859</v>
      </c>
      <c r="F541">
        <v>1.5491827810755261</v>
      </c>
      <c r="G541">
        <f t="shared" si="8"/>
        <v>0.3161099745136402</v>
      </c>
      <c r="H541">
        <v>0.71743568306368155</v>
      </c>
      <c r="I541" t="s">
        <v>80</v>
      </c>
    </row>
    <row r="542" spans="1:9" x14ac:dyDescent="0.35">
      <c r="A542" t="s">
        <v>68</v>
      </c>
      <c r="B542" t="s">
        <v>61</v>
      </c>
      <c r="C542" t="s">
        <v>38</v>
      </c>
      <c r="D542">
        <v>2023</v>
      </c>
      <c r="E542">
        <v>-0.62595524483003429</v>
      </c>
      <c r="F542">
        <v>-0.81689108427086243</v>
      </c>
      <c r="G542">
        <f t="shared" si="8"/>
        <v>-0.19093583944082815</v>
      </c>
      <c r="H542">
        <v>0.89392793670946469</v>
      </c>
      <c r="I542" t="s">
        <v>80</v>
      </c>
    </row>
    <row r="543" spans="1:9" x14ac:dyDescent="0.35">
      <c r="A543" t="s">
        <v>68</v>
      </c>
      <c r="B543" t="s">
        <v>62</v>
      </c>
      <c r="C543" t="s">
        <v>40</v>
      </c>
      <c r="D543">
        <v>2023</v>
      </c>
      <c r="E543">
        <v>2.4090316591396821</v>
      </c>
      <c r="F543">
        <v>-0.81689108427086243</v>
      </c>
      <c r="G543">
        <f t="shared" si="8"/>
        <v>-3.2259227434105444</v>
      </c>
      <c r="H543">
        <v>0.89392793670946469</v>
      </c>
      <c r="I543" t="s">
        <v>80</v>
      </c>
    </row>
    <row r="544" spans="1:9" x14ac:dyDescent="0.35">
      <c r="A544" t="s">
        <v>68</v>
      </c>
      <c r="B544" t="s">
        <v>63</v>
      </c>
      <c r="C544" t="s">
        <v>38</v>
      </c>
      <c r="D544">
        <v>2023</v>
      </c>
      <c r="E544">
        <v>-0.27334918709761569</v>
      </c>
      <c r="F544">
        <v>-0.81689108427086243</v>
      </c>
      <c r="G544">
        <f t="shared" si="8"/>
        <v>-0.54354189717324675</v>
      </c>
      <c r="H544">
        <v>0.89392793670946469</v>
      </c>
      <c r="I544" t="s">
        <v>80</v>
      </c>
    </row>
    <row r="545" spans="1:9" x14ac:dyDescent="0.35">
      <c r="A545" t="s">
        <v>68</v>
      </c>
      <c r="B545" t="s">
        <v>64</v>
      </c>
      <c r="C545" t="s">
        <v>40</v>
      </c>
      <c r="D545">
        <v>2023</v>
      </c>
      <c r="E545">
        <v>0.18957305278237691</v>
      </c>
      <c r="F545">
        <v>-0.81689108427086243</v>
      </c>
      <c r="G545">
        <f t="shared" si="8"/>
        <v>-1.0064641370532392</v>
      </c>
      <c r="H545">
        <v>0.89392793670946469</v>
      </c>
      <c r="I545" t="s">
        <v>80</v>
      </c>
    </row>
    <row r="546" spans="1:9" x14ac:dyDescent="0.35">
      <c r="A546" t="s">
        <v>69</v>
      </c>
      <c r="B546" t="s">
        <v>61</v>
      </c>
      <c r="C546" t="s">
        <v>38</v>
      </c>
      <c r="D546">
        <v>2023</v>
      </c>
      <c r="E546">
        <v>0.95503996038659444</v>
      </c>
      <c r="F546">
        <v>2.4309784639696339</v>
      </c>
      <c r="G546">
        <f t="shared" si="8"/>
        <v>1.4759385035830395</v>
      </c>
      <c r="H546">
        <v>0.73851245753325334</v>
      </c>
      <c r="I546" t="s">
        <v>80</v>
      </c>
    </row>
    <row r="547" spans="1:9" x14ac:dyDescent="0.35">
      <c r="A547" t="s">
        <v>69</v>
      </c>
      <c r="B547" t="s">
        <v>62</v>
      </c>
      <c r="C547" t="s">
        <v>40</v>
      </c>
      <c r="D547">
        <v>2023</v>
      </c>
      <c r="E547">
        <v>3.3729684974310499</v>
      </c>
      <c r="F547">
        <v>2.4309784639696339</v>
      </c>
      <c r="G547">
        <f t="shared" si="8"/>
        <v>-0.94199003346141597</v>
      </c>
      <c r="H547">
        <v>0.73851245753325334</v>
      </c>
      <c r="I547" t="s">
        <v>80</v>
      </c>
    </row>
    <row r="548" spans="1:9" x14ac:dyDescent="0.35">
      <c r="A548" t="s">
        <v>69</v>
      </c>
      <c r="B548" t="s">
        <v>63</v>
      </c>
      <c r="C548" t="s">
        <v>38</v>
      </c>
      <c r="D548">
        <v>2023</v>
      </c>
      <c r="E548">
        <v>2.3654844972287088</v>
      </c>
      <c r="F548">
        <v>2.4309784639696339</v>
      </c>
      <c r="G548">
        <f t="shared" si="8"/>
        <v>6.5493966740925114E-2</v>
      </c>
      <c r="H548">
        <v>0.73851245753325334</v>
      </c>
      <c r="I548" t="s">
        <v>80</v>
      </c>
    </row>
    <row r="549" spans="1:9" x14ac:dyDescent="0.35">
      <c r="A549" t="s">
        <v>69</v>
      </c>
      <c r="B549" t="s">
        <v>64</v>
      </c>
      <c r="C549" t="s">
        <v>40</v>
      </c>
      <c r="D549">
        <v>2023</v>
      </c>
      <c r="E549">
        <v>1.9366811763456671</v>
      </c>
      <c r="F549">
        <v>2.4309784639696339</v>
      </c>
      <c r="G549">
        <f t="shared" si="8"/>
        <v>0.49429728762396685</v>
      </c>
      <c r="H549">
        <v>0.73851245753325334</v>
      </c>
      <c r="I549" t="s">
        <v>80</v>
      </c>
    </row>
    <row r="550" spans="1:9" x14ac:dyDescent="0.35">
      <c r="A550" t="s">
        <v>73</v>
      </c>
      <c r="B550" t="s">
        <v>61</v>
      </c>
      <c r="C550" t="s">
        <v>38</v>
      </c>
      <c r="D550">
        <v>2023</v>
      </c>
      <c r="E550">
        <v>0.43950651458626311</v>
      </c>
      <c r="F550">
        <v>1.8022470831755071</v>
      </c>
      <c r="G550">
        <f t="shared" si="8"/>
        <v>1.362740568589244</v>
      </c>
      <c r="H550">
        <v>0.93042435960578862</v>
      </c>
      <c r="I550" t="s">
        <v>80</v>
      </c>
    </row>
    <row r="551" spans="1:9" x14ac:dyDescent="0.35">
      <c r="A551" t="s">
        <v>73</v>
      </c>
      <c r="B551" t="s">
        <v>62</v>
      </c>
      <c r="C551" t="s">
        <v>40</v>
      </c>
      <c r="D551">
        <v>2023</v>
      </c>
      <c r="E551">
        <v>1.7691091240616961</v>
      </c>
      <c r="F551">
        <v>1.8022470831755071</v>
      </c>
      <c r="G551">
        <f t="shared" si="8"/>
        <v>3.3137959113811011E-2</v>
      </c>
      <c r="H551">
        <v>0.93042435960578862</v>
      </c>
      <c r="I551" t="s">
        <v>80</v>
      </c>
    </row>
    <row r="552" spans="1:9" x14ac:dyDescent="0.35">
      <c r="A552" t="s">
        <v>73</v>
      </c>
      <c r="B552" t="s">
        <v>63</v>
      </c>
      <c r="C552" t="s">
        <v>38</v>
      </c>
      <c r="D552">
        <v>2023</v>
      </c>
      <c r="E552">
        <v>1.0022762950343991</v>
      </c>
      <c r="F552">
        <v>1.8022470831755071</v>
      </c>
      <c r="G552">
        <f t="shared" si="8"/>
        <v>0.799970788141108</v>
      </c>
      <c r="H552">
        <v>0.93042435960578862</v>
      </c>
      <c r="I552" t="s">
        <v>80</v>
      </c>
    </row>
    <row r="553" spans="1:9" x14ac:dyDescent="0.35">
      <c r="A553" t="s">
        <v>73</v>
      </c>
      <c r="B553" t="s">
        <v>64</v>
      </c>
      <c r="C553" t="s">
        <v>40</v>
      </c>
      <c r="D553">
        <v>2023</v>
      </c>
      <c r="E553">
        <v>0.72426026364131868</v>
      </c>
      <c r="F553">
        <v>1.8022470831755071</v>
      </c>
      <c r="G553">
        <f t="shared" si="8"/>
        <v>1.0779868195341884</v>
      </c>
      <c r="H553">
        <v>0.93042435960578862</v>
      </c>
      <c r="I553" t="s">
        <v>80</v>
      </c>
    </row>
    <row r="554" spans="1:9" x14ac:dyDescent="0.35">
      <c r="A554" t="s">
        <v>74</v>
      </c>
      <c r="B554" t="s">
        <v>61</v>
      </c>
      <c r="C554" t="s">
        <v>38</v>
      </c>
      <c r="D554">
        <v>2023</v>
      </c>
      <c r="E554">
        <v>3.172255506856847</v>
      </c>
      <c r="F554">
        <v>-3.5205103013764418</v>
      </c>
      <c r="G554">
        <f t="shared" si="8"/>
        <v>-6.6927658082332888</v>
      </c>
      <c r="H554">
        <v>0.83256444009002695</v>
      </c>
      <c r="I554" t="s">
        <v>80</v>
      </c>
    </row>
    <row r="555" spans="1:9" x14ac:dyDescent="0.35">
      <c r="A555" t="s">
        <v>74</v>
      </c>
      <c r="B555" t="s">
        <v>62</v>
      </c>
      <c r="C555" t="s">
        <v>40</v>
      </c>
      <c r="D555">
        <v>2023</v>
      </c>
      <c r="E555">
        <v>4.4348314017168322</v>
      </c>
      <c r="F555">
        <v>-3.5205103013764418</v>
      </c>
      <c r="G555">
        <f t="shared" si="8"/>
        <v>-7.955341703093274</v>
      </c>
      <c r="H555">
        <v>0.83256444009002695</v>
      </c>
      <c r="I555" t="s">
        <v>80</v>
      </c>
    </row>
    <row r="556" spans="1:9" x14ac:dyDescent="0.35">
      <c r="A556" t="s">
        <v>74</v>
      </c>
      <c r="B556" t="s">
        <v>63</v>
      </c>
      <c r="C556" t="s">
        <v>38</v>
      </c>
      <c r="D556">
        <v>2023</v>
      </c>
      <c r="E556">
        <v>-0.93495600507882415</v>
      </c>
      <c r="F556">
        <v>-3.5205103013764418</v>
      </c>
      <c r="G556">
        <f t="shared" si="8"/>
        <v>-2.5855542962976177</v>
      </c>
      <c r="H556">
        <v>0.83256444009002695</v>
      </c>
      <c r="I556" t="s">
        <v>80</v>
      </c>
    </row>
    <row r="557" spans="1:9" x14ac:dyDescent="0.35">
      <c r="A557" t="s">
        <v>74</v>
      </c>
      <c r="B557" t="s">
        <v>64</v>
      </c>
      <c r="C557" t="s">
        <v>40</v>
      </c>
      <c r="D557">
        <v>2023</v>
      </c>
      <c r="E557">
        <v>5.5170730455133654</v>
      </c>
      <c r="F557">
        <v>-3.5205103013764418</v>
      </c>
      <c r="G557">
        <f t="shared" si="8"/>
        <v>-9.0375833468898072</v>
      </c>
      <c r="H557">
        <v>0.83256444009002695</v>
      </c>
      <c r="I557" t="s">
        <v>80</v>
      </c>
    </row>
    <row r="558" spans="1:9" x14ac:dyDescent="0.35">
      <c r="A558" t="s">
        <v>75</v>
      </c>
      <c r="B558" t="s">
        <v>61</v>
      </c>
      <c r="C558" t="s">
        <v>38</v>
      </c>
      <c r="D558">
        <v>2023</v>
      </c>
      <c r="E558">
        <v>0.31473715860916851</v>
      </c>
      <c r="F558">
        <v>1.014274087639002</v>
      </c>
      <c r="G558">
        <f t="shared" si="8"/>
        <v>0.69953692902983344</v>
      </c>
      <c r="H558">
        <v>0.92248033597353918</v>
      </c>
      <c r="I558" t="s">
        <v>80</v>
      </c>
    </row>
    <row r="559" spans="1:9" x14ac:dyDescent="0.35">
      <c r="A559" t="s">
        <v>75</v>
      </c>
      <c r="B559" t="s">
        <v>62</v>
      </c>
      <c r="C559" t="s">
        <v>40</v>
      </c>
      <c r="D559">
        <v>2023</v>
      </c>
      <c r="E559">
        <v>1.851291422718337</v>
      </c>
      <c r="F559">
        <v>1.014274087639002</v>
      </c>
      <c r="G559">
        <f t="shared" si="8"/>
        <v>-0.83701733507933507</v>
      </c>
      <c r="H559">
        <v>0.92248033597353918</v>
      </c>
      <c r="I559" t="s">
        <v>80</v>
      </c>
    </row>
    <row r="560" spans="1:9" x14ac:dyDescent="0.35">
      <c r="A560" t="s">
        <v>75</v>
      </c>
      <c r="B560" t="s">
        <v>63</v>
      </c>
      <c r="C560" t="s">
        <v>38</v>
      </c>
      <c r="D560">
        <v>2023</v>
      </c>
      <c r="E560">
        <v>0.69157318051265015</v>
      </c>
      <c r="F560">
        <v>1.014274087639002</v>
      </c>
      <c r="G560">
        <f t="shared" si="8"/>
        <v>0.3227009071263518</v>
      </c>
      <c r="H560">
        <v>0.92248033597353918</v>
      </c>
      <c r="I560" t="s">
        <v>80</v>
      </c>
    </row>
    <row r="561" spans="1:9" x14ac:dyDescent="0.35">
      <c r="A561" t="s">
        <v>75</v>
      </c>
      <c r="B561" t="s">
        <v>64</v>
      </c>
      <c r="C561" t="s">
        <v>40</v>
      </c>
      <c r="D561">
        <v>2023</v>
      </c>
      <c r="E561">
        <v>1.206598132351089</v>
      </c>
      <c r="F561">
        <v>1.014274087639002</v>
      </c>
      <c r="G561">
        <f t="shared" si="8"/>
        <v>-0.19232404471208708</v>
      </c>
      <c r="H561">
        <v>0.92248033597353918</v>
      </c>
      <c r="I561" t="s">
        <v>80</v>
      </c>
    </row>
    <row r="562" spans="1:9" x14ac:dyDescent="0.35">
      <c r="A562" t="s">
        <v>76</v>
      </c>
      <c r="B562" t="s">
        <v>61</v>
      </c>
      <c r="C562" t="s">
        <v>38</v>
      </c>
      <c r="D562">
        <v>2023</v>
      </c>
      <c r="E562">
        <v>0.64857323528075828</v>
      </c>
      <c r="F562">
        <v>-0.58469355622177965</v>
      </c>
      <c r="G562">
        <f t="shared" si="8"/>
        <v>-1.2332667915025379</v>
      </c>
      <c r="H562">
        <v>0.89381893378563049</v>
      </c>
      <c r="I562" t="s">
        <v>80</v>
      </c>
    </row>
    <row r="563" spans="1:9" x14ac:dyDescent="0.35">
      <c r="A563" t="s">
        <v>76</v>
      </c>
      <c r="B563" t="s">
        <v>62</v>
      </c>
      <c r="C563" t="s">
        <v>40</v>
      </c>
      <c r="D563">
        <v>2023</v>
      </c>
      <c r="E563">
        <v>1.5682500170195011</v>
      </c>
      <c r="F563">
        <v>-0.58469355622177965</v>
      </c>
      <c r="G563">
        <f t="shared" si="8"/>
        <v>-2.1529435732412807</v>
      </c>
      <c r="H563">
        <v>0.89381893378563049</v>
      </c>
      <c r="I563" t="s">
        <v>80</v>
      </c>
    </row>
    <row r="564" spans="1:9" x14ac:dyDescent="0.35">
      <c r="A564" t="s">
        <v>76</v>
      </c>
      <c r="B564" t="s">
        <v>63</v>
      </c>
      <c r="C564" t="s">
        <v>38</v>
      </c>
      <c r="D564">
        <v>2023</v>
      </c>
      <c r="E564">
        <v>0.5799247285826814</v>
      </c>
      <c r="F564">
        <v>-0.58469355622177965</v>
      </c>
      <c r="G564">
        <f t="shared" si="8"/>
        <v>-1.1646182848044611</v>
      </c>
      <c r="H564">
        <v>0.89381893378563049</v>
      </c>
      <c r="I564" t="s">
        <v>80</v>
      </c>
    </row>
    <row r="565" spans="1:9" x14ac:dyDescent="0.35">
      <c r="A565" t="s">
        <v>76</v>
      </c>
      <c r="B565" t="s">
        <v>64</v>
      </c>
      <c r="C565" t="s">
        <v>40</v>
      </c>
      <c r="D565">
        <v>2023</v>
      </c>
      <c r="E565">
        <v>1.8009941751683021</v>
      </c>
      <c r="F565">
        <v>-0.58469355622177965</v>
      </c>
      <c r="G565">
        <f t="shared" si="8"/>
        <v>-2.3856877313900817</v>
      </c>
      <c r="H565">
        <v>0.89381893378563049</v>
      </c>
      <c r="I565" t="s">
        <v>80</v>
      </c>
    </row>
    <row r="566" spans="1:9" x14ac:dyDescent="0.35">
      <c r="A566" t="s">
        <v>68</v>
      </c>
      <c r="B566" t="s">
        <v>63</v>
      </c>
      <c r="C566" t="s">
        <v>38</v>
      </c>
      <c r="D566">
        <v>2024</v>
      </c>
      <c r="E566">
        <v>0.80450584510622924</v>
      </c>
      <c r="F566">
        <v>4.0523394564314849E-2</v>
      </c>
      <c r="G566">
        <f t="shared" si="8"/>
        <v>-0.76398245054191438</v>
      </c>
      <c r="H566">
        <v>0.73774439700085059</v>
      </c>
      <c r="I566" t="s">
        <v>80</v>
      </c>
    </row>
    <row r="567" spans="1:9" x14ac:dyDescent="0.35">
      <c r="A567" t="s">
        <v>68</v>
      </c>
      <c r="B567" t="s">
        <v>64</v>
      </c>
      <c r="C567" t="s">
        <v>40</v>
      </c>
      <c r="D567">
        <v>2024</v>
      </c>
      <c r="E567">
        <v>1.358688832068133</v>
      </c>
      <c r="F567">
        <v>4.0523394564314849E-2</v>
      </c>
      <c r="G567">
        <f t="shared" si="8"/>
        <v>-1.3181654375038181</v>
      </c>
      <c r="H567">
        <v>0.73774439700085059</v>
      </c>
      <c r="I567" t="s">
        <v>80</v>
      </c>
    </row>
    <row r="568" spans="1:9" x14ac:dyDescent="0.35">
      <c r="A568" t="s">
        <v>68</v>
      </c>
      <c r="B568" t="s">
        <v>65</v>
      </c>
      <c r="C568" t="s">
        <v>38</v>
      </c>
      <c r="D568">
        <v>2024</v>
      </c>
      <c r="E568">
        <v>-0.1114510968873272</v>
      </c>
      <c r="F568">
        <v>4.0523394564314849E-2</v>
      </c>
      <c r="G568">
        <f t="shared" si="8"/>
        <v>0.15197449145164205</v>
      </c>
      <c r="H568">
        <v>0.73774439700085059</v>
      </c>
      <c r="I568" t="s">
        <v>80</v>
      </c>
    </row>
    <row r="569" spans="1:9" x14ac:dyDescent="0.35">
      <c r="A569" t="s">
        <v>68</v>
      </c>
      <c r="B569" t="s">
        <v>66</v>
      </c>
      <c r="C569" t="s">
        <v>40</v>
      </c>
      <c r="D569">
        <v>2024</v>
      </c>
      <c r="E569">
        <v>0.12753656568900151</v>
      </c>
      <c r="F569">
        <v>4.0523394564314849E-2</v>
      </c>
      <c r="G569">
        <f t="shared" si="8"/>
        <v>-8.7013171124686664E-2</v>
      </c>
      <c r="H569">
        <v>0.73774439700085059</v>
      </c>
      <c r="I569" t="s">
        <v>80</v>
      </c>
    </row>
    <row r="570" spans="1:9" x14ac:dyDescent="0.35">
      <c r="A570" t="s">
        <v>76</v>
      </c>
      <c r="B570" t="s">
        <v>63</v>
      </c>
      <c r="C570" t="s">
        <v>38</v>
      </c>
      <c r="D570">
        <v>2024</v>
      </c>
      <c r="E570">
        <v>1.090974188365412</v>
      </c>
      <c r="F570">
        <v>1.058640812818894</v>
      </c>
      <c r="G570">
        <f t="shared" si="8"/>
        <v>-3.2333375546518051E-2</v>
      </c>
      <c r="H570">
        <v>0.90524855781111691</v>
      </c>
      <c r="I570" t="s">
        <v>80</v>
      </c>
    </row>
    <row r="571" spans="1:9" x14ac:dyDescent="0.35">
      <c r="A571" t="s">
        <v>76</v>
      </c>
      <c r="B571" t="s">
        <v>64</v>
      </c>
      <c r="C571" t="s">
        <v>40</v>
      </c>
      <c r="D571">
        <v>2024</v>
      </c>
      <c r="E571">
        <v>1.181076174566176</v>
      </c>
      <c r="F571">
        <v>1.058640812818894</v>
      </c>
      <c r="G571">
        <f t="shared" si="8"/>
        <v>-0.12243536174728198</v>
      </c>
      <c r="H571">
        <v>0.90524855781111691</v>
      </c>
      <c r="I571" t="s">
        <v>80</v>
      </c>
    </row>
    <row r="572" spans="1:9" x14ac:dyDescent="0.35">
      <c r="A572" t="s">
        <v>76</v>
      </c>
      <c r="B572" t="s">
        <v>65</v>
      </c>
      <c r="C572" t="s">
        <v>38</v>
      </c>
      <c r="D572">
        <v>2024</v>
      </c>
      <c r="E572">
        <v>0.84134331866276835</v>
      </c>
      <c r="F572">
        <v>1.058640812818894</v>
      </c>
      <c r="G572">
        <f t="shared" si="8"/>
        <v>0.21729749415612565</v>
      </c>
      <c r="H572">
        <v>0.90524855781111691</v>
      </c>
      <c r="I572" t="s">
        <v>80</v>
      </c>
    </row>
    <row r="573" spans="1:9" x14ac:dyDescent="0.35">
      <c r="A573" t="s">
        <v>76</v>
      </c>
      <c r="B573" t="s">
        <v>66</v>
      </c>
      <c r="C573" t="s">
        <v>40</v>
      </c>
      <c r="D573">
        <v>2024</v>
      </c>
      <c r="E573">
        <v>0.76042118074215459</v>
      </c>
      <c r="F573">
        <v>1.058640812818894</v>
      </c>
      <c r="G573">
        <f t="shared" si="8"/>
        <v>0.2982196320767394</v>
      </c>
      <c r="H573">
        <v>0.90524855781111691</v>
      </c>
      <c r="I573" t="s">
        <v>80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27</v>
      </c>
      <c r="I1" s="2" t="s">
        <v>78</v>
      </c>
      <c r="J1" s="2" t="s">
        <v>81</v>
      </c>
    </row>
    <row r="2" spans="1:10" x14ac:dyDescent="0.35">
      <c r="A2" t="s">
        <v>36</v>
      </c>
      <c r="B2" t="s">
        <v>61</v>
      </c>
      <c r="C2" t="s">
        <v>38</v>
      </c>
      <c r="D2">
        <v>2022</v>
      </c>
      <c r="E2">
        <v>4.6469116666415733</v>
      </c>
      <c r="F2">
        <v>5.2899005620960757</v>
      </c>
      <c r="G2">
        <f t="shared" ref="G2:G33" si="0">IF(OR(F2="",E2=""),"",F2-E2)</f>
        <v>0.64298889545450244</v>
      </c>
      <c r="H2">
        <v>0.79318298754570626</v>
      </c>
      <c r="I2" t="s">
        <v>79</v>
      </c>
      <c r="J2">
        <v>2022</v>
      </c>
    </row>
    <row r="3" spans="1:10" x14ac:dyDescent="0.35">
      <c r="A3" t="s">
        <v>36</v>
      </c>
      <c r="B3" t="s">
        <v>62</v>
      </c>
      <c r="C3" t="s">
        <v>40</v>
      </c>
      <c r="D3">
        <v>2022</v>
      </c>
      <c r="E3">
        <v>3.9196460068068979</v>
      </c>
      <c r="F3">
        <v>5.2899005620960757</v>
      </c>
      <c r="G3">
        <f t="shared" si="0"/>
        <v>1.3702545552891778</v>
      </c>
      <c r="H3">
        <v>0.79318298754570626</v>
      </c>
      <c r="I3" t="s">
        <v>79</v>
      </c>
      <c r="J3">
        <v>2022</v>
      </c>
    </row>
    <row r="4" spans="1:10" x14ac:dyDescent="0.35">
      <c r="A4" t="s">
        <v>69</v>
      </c>
      <c r="B4" t="s">
        <v>61</v>
      </c>
      <c r="C4" t="s">
        <v>38</v>
      </c>
      <c r="D4">
        <v>2022</v>
      </c>
      <c r="E4">
        <v>4.547669246739372</v>
      </c>
      <c r="F4">
        <v>6.1757125573772758</v>
      </c>
      <c r="G4">
        <f t="shared" si="0"/>
        <v>1.6280433106379038</v>
      </c>
      <c r="H4">
        <v>0.59190560042782348</v>
      </c>
      <c r="I4" t="s">
        <v>79</v>
      </c>
      <c r="J4">
        <v>2022</v>
      </c>
    </row>
    <row r="5" spans="1:10" x14ac:dyDescent="0.35">
      <c r="A5" t="s">
        <v>69</v>
      </c>
      <c r="B5" t="s">
        <v>62</v>
      </c>
      <c r="C5" t="s">
        <v>40</v>
      </c>
      <c r="D5">
        <v>2022</v>
      </c>
      <c r="E5">
        <v>4.0260894815609127</v>
      </c>
      <c r="F5">
        <v>6.1757125573772758</v>
      </c>
      <c r="G5">
        <f t="shared" si="0"/>
        <v>2.149623075816363</v>
      </c>
      <c r="H5">
        <v>0.59190560042782348</v>
      </c>
      <c r="I5" t="s">
        <v>79</v>
      </c>
      <c r="J5">
        <v>2022</v>
      </c>
    </row>
    <row r="6" spans="1:10" x14ac:dyDescent="0.35">
      <c r="A6" t="s">
        <v>74</v>
      </c>
      <c r="B6" t="s">
        <v>61</v>
      </c>
      <c r="C6" t="s">
        <v>38</v>
      </c>
      <c r="D6">
        <v>2022</v>
      </c>
      <c r="E6">
        <v>7.8710837662645083</v>
      </c>
      <c r="F6">
        <v>7.9894443369245964</v>
      </c>
      <c r="G6">
        <f t="shared" si="0"/>
        <v>0.11836057066008809</v>
      </c>
      <c r="H6">
        <v>0.82302044815068109</v>
      </c>
      <c r="I6" t="s">
        <v>79</v>
      </c>
      <c r="J6">
        <v>2022</v>
      </c>
    </row>
    <row r="7" spans="1:10" x14ac:dyDescent="0.35">
      <c r="A7" t="s">
        <v>74</v>
      </c>
      <c r="B7" t="s">
        <v>62</v>
      </c>
      <c r="C7" t="s">
        <v>40</v>
      </c>
      <c r="D7">
        <v>2022</v>
      </c>
      <c r="E7">
        <v>5.3816861962496354</v>
      </c>
      <c r="F7">
        <v>7.9894443369245964</v>
      </c>
      <c r="G7">
        <f t="shared" si="0"/>
        <v>2.607758140674961</v>
      </c>
      <c r="H7">
        <v>0.82302044815068109</v>
      </c>
      <c r="I7" t="s">
        <v>79</v>
      </c>
      <c r="J7">
        <v>2022</v>
      </c>
    </row>
    <row r="8" spans="1:10" x14ac:dyDescent="0.35">
      <c r="A8" t="s">
        <v>76</v>
      </c>
      <c r="B8" t="s">
        <v>61</v>
      </c>
      <c r="C8" t="s">
        <v>38</v>
      </c>
      <c r="D8">
        <v>2022</v>
      </c>
      <c r="E8">
        <v>4.6490196630740721</v>
      </c>
      <c r="F8">
        <v>4.8892912104023152</v>
      </c>
      <c r="G8">
        <f t="shared" si="0"/>
        <v>0.24027154732824307</v>
      </c>
      <c r="H8">
        <v>0.81381208879363764</v>
      </c>
      <c r="I8" t="s">
        <v>79</v>
      </c>
      <c r="J8">
        <v>2022</v>
      </c>
    </row>
    <row r="9" spans="1:10" x14ac:dyDescent="0.35">
      <c r="A9" t="s">
        <v>76</v>
      </c>
      <c r="B9" t="s">
        <v>62</v>
      </c>
      <c r="C9" t="s">
        <v>40</v>
      </c>
      <c r="D9">
        <v>2022</v>
      </c>
      <c r="E9">
        <v>3.271330674458595</v>
      </c>
      <c r="F9">
        <v>4.8892912104023152</v>
      </c>
      <c r="G9">
        <f t="shared" si="0"/>
        <v>1.6179605359437201</v>
      </c>
      <c r="H9">
        <v>0.81381208879363764</v>
      </c>
      <c r="I9" t="s">
        <v>79</v>
      </c>
      <c r="J9">
        <v>2022</v>
      </c>
    </row>
    <row r="10" spans="1:10" x14ac:dyDescent="0.35">
      <c r="A10" t="s">
        <v>77</v>
      </c>
      <c r="B10" t="s">
        <v>61</v>
      </c>
      <c r="C10" t="s">
        <v>38</v>
      </c>
      <c r="D10">
        <v>2022</v>
      </c>
      <c r="E10">
        <v>6.5861251608809734</v>
      </c>
      <c r="F10">
        <v>6.7526124502433778</v>
      </c>
      <c r="G10">
        <f t="shared" si="0"/>
        <v>0.16648728936240431</v>
      </c>
      <c r="H10">
        <v>0.20372319717267059</v>
      </c>
      <c r="I10" t="s">
        <v>79</v>
      </c>
      <c r="J10">
        <v>2022</v>
      </c>
    </row>
    <row r="11" spans="1:10" x14ac:dyDescent="0.35">
      <c r="A11" t="s">
        <v>77</v>
      </c>
      <c r="B11" t="s">
        <v>62</v>
      </c>
      <c r="C11" t="s">
        <v>40</v>
      </c>
      <c r="D11">
        <v>2022</v>
      </c>
      <c r="E11">
        <v>5.8054687081874778</v>
      </c>
      <c r="F11">
        <v>6.7526124502433778</v>
      </c>
      <c r="G11">
        <f t="shared" si="0"/>
        <v>0.94714374205589991</v>
      </c>
      <c r="H11">
        <v>0.20372319717267059</v>
      </c>
      <c r="I11" t="s">
        <v>79</v>
      </c>
      <c r="J11">
        <v>2022</v>
      </c>
    </row>
    <row r="12" spans="1:10" x14ac:dyDescent="0.35">
      <c r="A12" t="s">
        <v>36</v>
      </c>
      <c r="B12" t="s">
        <v>71</v>
      </c>
      <c r="C12" t="s">
        <v>38</v>
      </c>
      <c r="D12">
        <v>2025</v>
      </c>
      <c r="E12">
        <v>0.31436230025780892</v>
      </c>
      <c r="F12">
        <v>0.95241300208403867</v>
      </c>
      <c r="G12">
        <f t="shared" si="0"/>
        <v>0.6380507018262298</v>
      </c>
      <c r="H12">
        <v>6.562263636895671E-2</v>
      </c>
      <c r="I12" t="s">
        <v>79</v>
      </c>
      <c r="J12">
        <v>2025</v>
      </c>
    </row>
    <row r="13" spans="1:10" x14ac:dyDescent="0.35">
      <c r="A13" t="s">
        <v>36</v>
      </c>
      <c r="B13" t="s">
        <v>72</v>
      </c>
      <c r="C13" t="s">
        <v>40</v>
      </c>
      <c r="D13">
        <v>2025</v>
      </c>
      <c r="E13">
        <v>-0.28270783018636841</v>
      </c>
      <c r="F13">
        <v>0.95241300208403867</v>
      </c>
      <c r="G13">
        <f t="shared" si="0"/>
        <v>1.235120832270407</v>
      </c>
      <c r="H13">
        <v>6.562263636895671E-2</v>
      </c>
      <c r="I13" t="s">
        <v>79</v>
      </c>
      <c r="J13">
        <v>2025</v>
      </c>
    </row>
    <row r="14" spans="1:10" x14ac:dyDescent="0.35">
      <c r="A14" t="s">
        <v>67</v>
      </c>
      <c r="B14" t="s">
        <v>71</v>
      </c>
      <c r="C14" t="s">
        <v>38</v>
      </c>
      <c r="D14">
        <v>2025</v>
      </c>
      <c r="E14">
        <v>0.99784735760106713</v>
      </c>
      <c r="F14">
        <v>0.97833513074895262</v>
      </c>
      <c r="G14">
        <f t="shared" si="0"/>
        <v>-1.9512226852114511E-2</v>
      </c>
      <c r="H14">
        <v>2.7062806004489109E-2</v>
      </c>
      <c r="I14" t="s">
        <v>79</v>
      </c>
      <c r="J14">
        <v>2025</v>
      </c>
    </row>
    <row r="15" spans="1:10" x14ac:dyDescent="0.35">
      <c r="A15" t="s">
        <v>67</v>
      </c>
      <c r="B15" t="s">
        <v>72</v>
      </c>
      <c r="C15" t="s">
        <v>40</v>
      </c>
      <c r="D15">
        <v>2025</v>
      </c>
      <c r="E15">
        <v>0.76893815941332377</v>
      </c>
      <c r="F15">
        <v>0.97833513074895262</v>
      </c>
      <c r="G15">
        <f t="shared" si="0"/>
        <v>0.20939697133562885</v>
      </c>
      <c r="H15">
        <v>2.7062806004489109E-2</v>
      </c>
      <c r="I15" t="s">
        <v>79</v>
      </c>
      <c r="J15">
        <v>2025</v>
      </c>
    </row>
    <row r="16" spans="1:10" x14ac:dyDescent="0.35">
      <c r="A16" t="s">
        <v>68</v>
      </c>
      <c r="B16" t="s">
        <v>71</v>
      </c>
      <c r="C16" t="s">
        <v>38</v>
      </c>
      <c r="D16">
        <v>2025</v>
      </c>
      <c r="E16">
        <v>0.17068748819852869</v>
      </c>
      <c r="F16">
        <v>0.34025588112837718</v>
      </c>
      <c r="G16">
        <f t="shared" si="0"/>
        <v>0.16956839292984849</v>
      </c>
      <c r="H16">
        <v>6.1567950988359252E-3</v>
      </c>
      <c r="I16" t="s">
        <v>79</v>
      </c>
      <c r="J16">
        <v>2025</v>
      </c>
    </row>
    <row r="17" spans="1:10" x14ac:dyDescent="0.35">
      <c r="A17" t="s">
        <v>68</v>
      </c>
      <c r="B17" t="s">
        <v>72</v>
      </c>
      <c r="C17" t="s">
        <v>40</v>
      </c>
      <c r="D17">
        <v>2025</v>
      </c>
      <c r="E17">
        <v>-2.9831521216272531E-2</v>
      </c>
      <c r="F17">
        <v>0.34025588112837718</v>
      </c>
      <c r="G17">
        <f t="shared" si="0"/>
        <v>0.37008740234464971</v>
      </c>
      <c r="H17">
        <v>6.1567950988359252E-3</v>
      </c>
      <c r="I17" t="s">
        <v>79</v>
      </c>
      <c r="J17">
        <v>2025</v>
      </c>
    </row>
    <row r="18" spans="1:10" x14ac:dyDescent="0.35">
      <c r="A18" t="s">
        <v>69</v>
      </c>
      <c r="B18" t="s">
        <v>71</v>
      </c>
      <c r="C18" t="s">
        <v>38</v>
      </c>
      <c r="D18">
        <v>2025</v>
      </c>
      <c r="E18">
        <v>2.8680409593299978</v>
      </c>
      <c r="F18">
        <v>2.7857852243734129</v>
      </c>
      <c r="G18">
        <f t="shared" si="0"/>
        <v>-8.2255734956584892E-2</v>
      </c>
      <c r="H18">
        <v>-2.9567303162600381E-2</v>
      </c>
      <c r="I18" t="s">
        <v>79</v>
      </c>
      <c r="J18">
        <v>2025</v>
      </c>
    </row>
    <row r="19" spans="1:10" x14ac:dyDescent="0.35">
      <c r="A19" t="s">
        <v>69</v>
      </c>
      <c r="B19" t="s">
        <v>72</v>
      </c>
      <c r="C19" t="s">
        <v>40</v>
      </c>
      <c r="D19">
        <v>2025</v>
      </c>
      <c r="E19">
        <v>2.5510068501240162</v>
      </c>
      <c r="F19">
        <v>2.7857852243734129</v>
      </c>
      <c r="G19">
        <f t="shared" si="0"/>
        <v>0.23477837424939674</v>
      </c>
      <c r="H19">
        <v>-2.9567303162600381E-2</v>
      </c>
      <c r="I19" t="s">
        <v>79</v>
      </c>
      <c r="J19">
        <v>2025</v>
      </c>
    </row>
    <row r="20" spans="1:10" x14ac:dyDescent="0.35">
      <c r="A20" t="s">
        <v>70</v>
      </c>
      <c r="B20" t="s">
        <v>71</v>
      </c>
      <c r="C20" t="s">
        <v>38</v>
      </c>
      <c r="D20">
        <v>2025</v>
      </c>
      <c r="E20">
        <v>7.5720238361931536E-2</v>
      </c>
      <c r="F20">
        <v>0.79990149121373022</v>
      </c>
      <c r="G20">
        <f t="shared" si="0"/>
        <v>0.72418125285179868</v>
      </c>
      <c r="H20">
        <v>0.1653796609584316</v>
      </c>
      <c r="I20" t="s">
        <v>79</v>
      </c>
      <c r="J20">
        <v>2025</v>
      </c>
    </row>
    <row r="21" spans="1:10" x14ac:dyDescent="0.35">
      <c r="A21" t="s">
        <v>70</v>
      </c>
      <c r="B21" t="s">
        <v>72</v>
      </c>
      <c r="C21" t="s">
        <v>40</v>
      </c>
      <c r="D21">
        <v>2025</v>
      </c>
      <c r="E21">
        <v>0.97596362509042578</v>
      </c>
      <c r="F21">
        <v>0.79990149121373022</v>
      </c>
      <c r="G21">
        <f t="shared" si="0"/>
        <v>-0.17606213387669556</v>
      </c>
      <c r="H21">
        <v>0.1653796609584316</v>
      </c>
      <c r="I21" t="s">
        <v>79</v>
      </c>
      <c r="J21">
        <v>2025</v>
      </c>
    </row>
    <row r="22" spans="1:10" x14ac:dyDescent="0.35">
      <c r="A22" t="s">
        <v>73</v>
      </c>
      <c r="B22" t="s">
        <v>71</v>
      </c>
      <c r="C22" t="s">
        <v>38</v>
      </c>
      <c r="D22">
        <v>2025</v>
      </c>
      <c r="E22">
        <v>0.69714532745484004</v>
      </c>
      <c r="F22">
        <v>0.88561946045636819</v>
      </c>
      <c r="G22">
        <f t="shared" si="0"/>
        <v>0.18847413300152815</v>
      </c>
      <c r="H22">
        <v>7.4630748449780043E-3</v>
      </c>
      <c r="I22" t="s">
        <v>79</v>
      </c>
      <c r="J22">
        <v>2025</v>
      </c>
    </row>
    <row r="23" spans="1:10" x14ac:dyDescent="0.35">
      <c r="A23" t="s">
        <v>73</v>
      </c>
      <c r="B23" t="s">
        <v>72</v>
      </c>
      <c r="C23" t="s">
        <v>40</v>
      </c>
      <c r="D23">
        <v>2025</v>
      </c>
      <c r="E23">
        <v>0.57266269658549085</v>
      </c>
      <c r="F23">
        <v>0.88561946045636819</v>
      </c>
      <c r="G23">
        <f t="shared" si="0"/>
        <v>0.31295676387087734</v>
      </c>
      <c r="H23">
        <v>7.4630748449780043E-3</v>
      </c>
      <c r="I23" t="s">
        <v>79</v>
      </c>
      <c r="J23">
        <v>2025</v>
      </c>
    </row>
    <row r="24" spans="1:10" x14ac:dyDescent="0.35">
      <c r="A24" t="s">
        <v>74</v>
      </c>
      <c r="B24" t="s">
        <v>71</v>
      </c>
      <c r="C24" t="s">
        <v>38</v>
      </c>
      <c r="D24">
        <v>2025</v>
      </c>
      <c r="E24">
        <v>10.65081995793598</v>
      </c>
      <c r="F24">
        <v>7.7791754385506806</v>
      </c>
      <c r="G24">
        <f t="shared" si="0"/>
        <v>-2.8716445193852991</v>
      </c>
      <c r="H24">
        <v>0.32092170257034919</v>
      </c>
      <c r="I24" t="s">
        <v>79</v>
      </c>
      <c r="J24">
        <v>2025</v>
      </c>
    </row>
    <row r="25" spans="1:10" x14ac:dyDescent="0.35">
      <c r="A25" t="s">
        <v>74</v>
      </c>
      <c r="B25" t="s">
        <v>72</v>
      </c>
      <c r="C25" t="s">
        <v>40</v>
      </c>
      <c r="D25">
        <v>2025</v>
      </c>
      <c r="E25">
        <v>3.377198218825495</v>
      </c>
      <c r="F25">
        <v>7.7791754385506806</v>
      </c>
      <c r="G25">
        <f t="shared" si="0"/>
        <v>4.4019772197251861</v>
      </c>
      <c r="H25">
        <v>0.32092170257034919</v>
      </c>
      <c r="I25" t="s">
        <v>79</v>
      </c>
      <c r="J25">
        <v>2025</v>
      </c>
    </row>
    <row r="26" spans="1:10" x14ac:dyDescent="0.35">
      <c r="A26" t="s">
        <v>75</v>
      </c>
      <c r="B26" t="s">
        <v>71</v>
      </c>
      <c r="C26" t="s">
        <v>38</v>
      </c>
      <c r="D26">
        <v>2025</v>
      </c>
      <c r="E26">
        <v>0.35981622121454843</v>
      </c>
      <c r="F26">
        <v>0.66135842759176278</v>
      </c>
      <c r="G26">
        <f t="shared" si="0"/>
        <v>0.30154220637721435</v>
      </c>
      <c r="H26">
        <v>6.0061203852044547E-2</v>
      </c>
      <c r="I26" t="s">
        <v>79</v>
      </c>
      <c r="J26">
        <v>2025</v>
      </c>
    </row>
    <row r="27" spans="1:10" x14ac:dyDescent="0.35">
      <c r="A27" t="s">
        <v>75</v>
      </c>
      <c r="B27" t="s">
        <v>72</v>
      </c>
      <c r="C27" t="s">
        <v>40</v>
      </c>
      <c r="D27">
        <v>2025</v>
      </c>
      <c r="E27">
        <v>0.66447930597219873</v>
      </c>
      <c r="F27">
        <v>0.66135842759176278</v>
      </c>
      <c r="G27">
        <f t="shared" si="0"/>
        <v>-3.1208783804359541E-3</v>
      </c>
      <c r="H27">
        <v>6.0061203852044547E-2</v>
      </c>
      <c r="I27" t="s">
        <v>79</v>
      </c>
      <c r="J27">
        <v>2025</v>
      </c>
    </row>
    <row r="28" spans="1:10" x14ac:dyDescent="0.35">
      <c r="A28" t="s">
        <v>76</v>
      </c>
      <c r="B28" t="s">
        <v>71</v>
      </c>
      <c r="C28" t="s">
        <v>38</v>
      </c>
      <c r="D28">
        <v>2025</v>
      </c>
      <c r="E28">
        <v>1.6966708374271939</v>
      </c>
      <c r="F28">
        <v>1.5629801711020599</v>
      </c>
      <c r="G28">
        <f t="shared" si="0"/>
        <v>-0.13369066632513404</v>
      </c>
      <c r="H28">
        <v>0.58193671258721102</v>
      </c>
      <c r="I28" t="s">
        <v>79</v>
      </c>
      <c r="J28">
        <v>2025</v>
      </c>
    </row>
    <row r="29" spans="1:10" x14ac:dyDescent="0.35">
      <c r="A29" t="s">
        <v>76</v>
      </c>
      <c r="B29" t="s">
        <v>72</v>
      </c>
      <c r="C29" t="s">
        <v>40</v>
      </c>
      <c r="D29">
        <v>2025</v>
      </c>
      <c r="E29">
        <v>1.282511180567347</v>
      </c>
      <c r="F29">
        <v>1.5629801711020599</v>
      </c>
      <c r="G29">
        <f t="shared" si="0"/>
        <v>0.28046899053471286</v>
      </c>
      <c r="H29">
        <v>0.58193671258721102</v>
      </c>
      <c r="I29" t="s">
        <v>79</v>
      </c>
      <c r="J29">
        <v>2025</v>
      </c>
    </row>
    <row r="30" spans="1:10" x14ac:dyDescent="0.35">
      <c r="A30" t="s">
        <v>77</v>
      </c>
      <c r="B30" t="s">
        <v>71</v>
      </c>
      <c r="C30" t="s">
        <v>38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4.3141098767000223E-2</v>
      </c>
      <c r="I30" t="s">
        <v>79</v>
      </c>
      <c r="J30">
        <v>2025</v>
      </c>
    </row>
    <row r="31" spans="1:10" x14ac:dyDescent="0.35">
      <c r="A31" t="s">
        <v>77</v>
      </c>
      <c r="B31" t="s">
        <v>72</v>
      </c>
      <c r="C31" t="s">
        <v>40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4.3141098767000223E-2</v>
      </c>
      <c r="I31" t="s">
        <v>79</v>
      </c>
      <c r="J31">
        <v>2025</v>
      </c>
    </row>
    <row r="32" spans="1:10" x14ac:dyDescent="0.35">
      <c r="A32" t="s">
        <v>36</v>
      </c>
      <c r="B32" t="s">
        <v>57</v>
      </c>
      <c r="C32" t="s">
        <v>38</v>
      </c>
      <c r="D32">
        <v>2020</v>
      </c>
      <c r="E32">
        <v>-7.0511951651758391</v>
      </c>
      <c r="F32">
        <v>-6.5900132771165296</v>
      </c>
      <c r="G32">
        <f t="shared" si="0"/>
        <v>0.46118188805930949</v>
      </c>
      <c r="H32">
        <v>0.91541797612301412</v>
      </c>
      <c r="I32" t="s">
        <v>80</v>
      </c>
      <c r="J32">
        <v>2020</v>
      </c>
    </row>
    <row r="33" spans="1:10" x14ac:dyDescent="0.35">
      <c r="A33" t="s">
        <v>36</v>
      </c>
      <c r="B33" t="s">
        <v>58</v>
      </c>
      <c r="C33" t="s">
        <v>40</v>
      </c>
      <c r="D33">
        <v>2020</v>
      </c>
      <c r="E33">
        <v>-5.5131277655310118</v>
      </c>
      <c r="F33">
        <v>-6.5900132771165296</v>
      </c>
      <c r="G33">
        <f t="shared" si="0"/>
        <v>-1.0768855115855178</v>
      </c>
      <c r="H33">
        <v>0.91541797612301412</v>
      </c>
      <c r="I33" t="s">
        <v>80</v>
      </c>
      <c r="J33">
        <v>2020</v>
      </c>
    </row>
    <row r="34" spans="1:10" x14ac:dyDescent="0.35">
      <c r="A34" t="s">
        <v>67</v>
      </c>
      <c r="B34" t="s">
        <v>57</v>
      </c>
      <c r="C34" t="s">
        <v>38</v>
      </c>
      <c r="D34">
        <v>2020</v>
      </c>
      <c r="E34">
        <v>-8.420158667688538</v>
      </c>
      <c r="F34">
        <v>-4.9116764965584894</v>
      </c>
      <c r="G34">
        <f t="shared" ref="G34:G61" si="1">IF(OR(F34="",E34=""),"",F34-E34)</f>
        <v>3.5084821711300487</v>
      </c>
      <c r="H34">
        <v>0.94497516890248479</v>
      </c>
      <c r="I34" t="s">
        <v>80</v>
      </c>
      <c r="J34">
        <v>2020</v>
      </c>
    </row>
    <row r="35" spans="1:10" x14ac:dyDescent="0.35">
      <c r="A35" t="s">
        <v>67</v>
      </c>
      <c r="B35" t="s">
        <v>58</v>
      </c>
      <c r="C35" t="s">
        <v>40</v>
      </c>
      <c r="D35">
        <v>2020</v>
      </c>
      <c r="E35">
        <v>-7.1575995247655024</v>
      </c>
      <c r="F35">
        <v>-4.9116764965584894</v>
      </c>
      <c r="G35">
        <f t="shared" si="1"/>
        <v>2.2459230282070131</v>
      </c>
      <c r="H35">
        <v>0.94497516890248479</v>
      </c>
      <c r="I35" t="s">
        <v>80</v>
      </c>
      <c r="J35">
        <v>2020</v>
      </c>
    </row>
    <row r="36" spans="1:10" x14ac:dyDescent="0.35">
      <c r="A36" t="s">
        <v>68</v>
      </c>
      <c r="B36" t="s">
        <v>57</v>
      </c>
      <c r="C36" t="s">
        <v>38</v>
      </c>
      <c r="D36">
        <v>2020</v>
      </c>
      <c r="E36">
        <v>-5.5682040725027582</v>
      </c>
      <c r="F36">
        <v>-4.5019012679871278</v>
      </c>
      <c r="G36">
        <f t="shared" si="1"/>
        <v>1.0663028045156304</v>
      </c>
      <c r="H36">
        <v>0.93883988584513833</v>
      </c>
      <c r="I36" t="s">
        <v>80</v>
      </c>
      <c r="J36">
        <v>2020</v>
      </c>
    </row>
    <row r="37" spans="1:10" x14ac:dyDescent="0.35">
      <c r="A37" t="s">
        <v>68</v>
      </c>
      <c r="B37" t="s">
        <v>58</v>
      </c>
      <c r="C37" t="s">
        <v>40</v>
      </c>
      <c r="D37">
        <v>2020</v>
      </c>
      <c r="E37">
        <v>-6.4695771848944261</v>
      </c>
      <c r="F37">
        <v>-4.5019012679871278</v>
      </c>
      <c r="G37">
        <f t="shared" si="1"/>
        <v>1.9676759169072984</v>
      </c>
      <c r="H37">
        <v>0.93883988584513833</v>
      </c>
      <c r="I37" t="s">
        <v>80</v>
      </c>
      <c r="J37">
        <v>2020</v>
      </c>
    </row>
    <row r="38" spans="1:10" x14ac:dyDescent="0.35">
      <c r="A38" t="s">
        <v>69</v>
      </c>
      <c r="B38" t="s">
        <v>57</v>
      </c>
      <c r="C38" t="s">
        <v>38</v>
      </c>
      <c r="D38">
        <v>2020</v>
      </c>
      <c r="E38">
        <v>-12.410533977614319</v>
      </c>
      <c r="F38">
        <v>-11.58616521695834</v>
      </c>
      <c r="G38">
        <f t="shared" si="1"/>
        <v>0.82436876065597886</v>
      </c>
      <c r="H38">
        <v>0.86710493358213747</v>
      </c>
      <c r="I38" t="s">
        <v>80</v>
      </c>
      <c r="J38">
        <v>2020</v>
      </c>
    </row>
    <row r="39" spans="1:10" x14ac:dyDescent="0.35">
      <c r="A39" t="s">
        <v>69</v>
      </c>
      <c r="B39" t="s">
        <v>58</v>
      </c>
      <c r="C39" t="s">
        <v>40</v>
      </c>
      <c r="D39">
        <v>2020</v>
      </c>
      <c r="E39">
        <v>-9.3843459766278272</v>
      </c>
      <c r="F39">
        <v>-11.58616521695834</v>
      </c>
      <c r="G39">
        <f t="shared" si="1"/>
        <v>-2.2018192403305132</v>
      </c>
      <c r="H39">
        <v>0.86710493358213747</v>
      </c>
      <c r="I39" t="s">
        <v>80</v>
      </c>
      <c r="J39">
        <v>2020</v>
      </c>
    </row>
    <row r="40" spans="1:10" x14ac:dyDescent="0.35">
      <c r="A40" t="s">
        <v>70</v>
      </c>
      <c r="B40" t="s">
        <v>57</v>
      </c>
      <c r="C40" t="s">
        <v>38</v>
      </c>
      <c r="D40">
        <v>2020</v>
      </c>
      <c r="E40">
        <v>-4.2712767573150012</v>
      </c>
      <c r="F40">
        <v>-2.5216639551613449</v>
      </c>
      <c r="G40">
        <f t="shared" si="1"/>
        <v>1.7496128021536563</v>
      </c>
      <c r="H40">
        <v>0.9601184888395623</v>
      </c>
      <c r="I40" t="s">
        <v>80</v>
      </c>
      <c r="J40">
        <v>2020</v>
      </c>
    </row>
    <row r="41" spans="1:10" x14ac:dyDescent="0.35">
      <c r="A41" t="s">
        <v>70</v>
      </c>
      <c r="B41" t="s">
        <v>58</v>
      </c>
      <c r="C41" t="s">
        <v>40</v>
      </c>
      <c r="D41">
        <v>2020</v>
      </c>
      <c r="E41">
        <v>-6.3340086382144829</v>
      </c>
      <c r="F41">
        <v>-2.5216639551613449</v>
      </c>
      <c r="G41">
        <f t="shared" si="1"/>
        <v>3.812344683053138</v>
      </c>
      <c r="H41">
        <v>0.9601184888395623</v>
      </c>
      <c r="I41" t="s">
        <v>80</v>
      </c>
      <c r="J41">
        <v>2020</v>
      </c>
    </row>
    <row r="42" spans="1:10" x14ac:dyDescent="0.35">
      <c r="A42" t="s">
        <v>73</v>
      </c>
      <c r="B42" t="s">
        <v>57</v>
      </c>
      <c r="C42" t="s">
        <v>38</v>
      </c>
      <c r="D42">
        <v>2020</v>
      </c>
      <c r="E42">
        <v>-9.3511426009976422</v>
      </c>
      <c r="F42">
        <v>-7.9120138942178206</v>
      </c>
      <c r="G42">
        <f t="shared" si="1"/>
        <v>1.4391287067798215</v>
      </c>
      <c r="H42">
        <v>0.92712779855354743</v>
      </c>
      <c r="I42" t="s">
        <v>80</v>
      </c>
      <c r="J42">
        <v>2020</v>
      </c>
    </row>
    <row r="43" spans="1:10" x14ac:dyDescent="0.35">
      <c r="A43" t="s">
        <v>73</v>
      </c>
      <c r="B43" t="s">
        <v>58</v>
      </c>
      <c r="C43" t="s">
        <v>40</v>
      </c>
      <c r="D43">
        <v>2020</v>
      </c>
      <c r="E43">
        <v>-8.2482980854368328</v>
      </c>
      <c r="F43">
        <v>-7.9120138942178206</v>
      </c>
      <c r="G43">
        <f t="shared" si="1"/>
        <v>0.33628419121901221</v>
      </c>
      <c r="H43">
        <v>0.92712779855354743</v>
      </c>
      <c r="I43" t="s">
        <v>80</v>
      </c>
      <c r="J43">
        <v>2020</v>
      </c>
    </row>
    <row r="44" spans="1:10" x14ac:dyDescent="0.35">
      <c r="A44" t="s">
        <v>74</v>
      </c>
      <c r="B44" t="s">
        <v>57</v>
      </c>
      <c r="C44" t="s">
        <v>38</v>
      </c>
      <c r="D44">
        <v>2020</v>
      </c>
      <c r="E44">
        <v>-2.3373996171914708</v>
      </c>
      <c r="F44">
        <v>6.9863814303713827</v>
      </c>
      <c r="G44">
        <f t="shared" si="1"/>
        <v>9.3237810475628535</v>
      </c>
      <c r="H44">
        <v>0.95435812659996266</v>
      </c>
      <c r="I44" t="s">
        <v>80</v>
      </c>
      <c r="J44">
        <v>2020</v>
      </c>
    </row>
    <row r="45" spans="1:10" x14ac:dyDescent="0.35">
      <c r="A45" t="s">
        <v>74</v>
      </c>
      <c r="B45" t="s">
        <v>58</v>
      </c>
      <c r="C45" t="s">
        <v>40</v>
      </c>
      <c r="D45">
        <v>2020</v>
      </c>
      <c r="E45">
        <v>-7.9470480138547073</v>
      </c>
      <c r="F45">
        <v>6.9863814303713827</v>
      </c>
      <c r="G45">
        <f t="shared" si="1"/>
        <v>14.933429444226089</v>
      </c>
      <c r="H45">
        <v>0.95435812659996266</v>
      </c>
      <c r="I45" t="s">
        <v>80</v>
      </c>
      <c r="J45">
        <v>2020</v>
      </c>
    </row>
    <row r="46" spans="1:10" x14ac:dyDescent="0.35">
      <c r="A46" t="s">
        <v>75</v>
      </c>
      <c r="B46" t="s">
        <v>57</v>
      </c>
      <c r="C46" t="s">
        <v>38</v>
      </c>
      <c r="D46">
        <v>2020</v>
      </c>
      <c r="E46">
        <v>-9.8515454699187543</v>
      </c>
      <c r="F46">
        <v>-9.3783767522421471</v>
      </c>
      <c r="G46">
        <f t="shared" si="1"/>
        <v>0.47316871767660729</v>
      </c>
      <c r="H46">
        <v>0.93164971955174003</v>
      </c>
      <c r="I46" t="s">
        <v>80</v>
      </c>
      <c r="J46">
        <v>2020</v>
      </c>
    </row>
    <row r="47" spans="1:10" x14ac:dyDescent="0.35">
      <c r="A47" t="s">
        <v>75</v>
      </c>
      <c r="B47" t="s">
        <v>58</v>
      </c>
      <c r="C47" t="s">
        <v>40</v>
      </c>
      <c r="D47">
        <v>2020</v>
      </c>
      <c r="E47">
        <v>-9.517990850094149</v>
      </c>
      <c r="F47">
        <v>-9.3783767522421471</v>
      </c>
      <c r="G47">
        <f t="shared" si="1"/>
        <v>0.13961409785200196</v>
      </c>
      <c r="H47">
        <v>0.93164971955174003</v>
      </c>
      <c r="I47" t="s">
        <v>80</v>
      </c>
      <c r="J47">
        <v>2020</v>
      </c>
    </row>
    <row r="48" spans="1:10" x14ac:dyDescent="0.35">
      <c r="A48" t="s">
        <v>76</v>
      </c>
      <c r="B48" t="s">
        <v>57</v>
      </c>
      <c r="C48" t="s">
        <v>38</v>
      </c>
      <c r="D48">
        <v>2020</v>
      </c>
      <c r="E48">
        <v>-5.3222217587985954</v>
      </c>
      <c r="F48">
        <v>-3.9039509434828492</v>
      </c>
      <c r="G48">
        <f t="shared" si="1"/>
        <v>1.4182708153157462</v>
      </c>
      <c r="H48">
        <v>0.94574295007118003</v>
      </c>
      <c r="I48" t="s">
        <v>80</v>
      </c>
      <c r="J48">
        <v>2020</v>
      </c>
    </row>
    <row r="49" spans="1:10" x14ac:dyDescent="0.35">
      <c r="A49" t="s">
        <v>76</v>
      </c>
      <c r="B49" t="s">
        <v>58</v>
      </c>
      <c r="C49" t="s">
        <v>40</v>
      </c>
      <c r="D49">
        <v>2020</v>
      </c>
      <c r="E49">
        <v>-6.8478963820636896</v>
      </c>
      <c r="F49">
        <v>-3.9039509434828492</v>
      </c>
      <c r="G49">
        <f t="shared" si="1"/>
        <v>2.9439454385808403</v>
      </c>
      <c r="H49">
        <v>0.94574295007118003</v>
      </c>
      <c r="I49" t="s">
        <v>80</v>
      </c>
      <c r="J49">
        <v>2020</v>
      </c>
    </row>
    <row r="50" spans="1:10" x14ac:dyDescent="0.35">
      <c r="A50" t="s">
        <v>77</v>
      </c>
      <c r="B50" t="s">
        <v>57</v>
      </c>
      <c r="C50" t="s">
        <v>38</v>
      </c>
      <c r="D50">
        <v>2020</v>
      </c>
      <c r="E50">
        <v>-9.2905567939445373</v>
      </c>
      <c r="F50">
        <v>-8.5609032033360464</v>
      </c>
      <c r="G50">
        <f t="shared" si="1"/>
        <v>0.72965359060849089</v>
      </c>
      <c r="H50">
        <v>0.91994322807589268</v>
      </c>
      <c r="I50" t="s">
        <v>80</v>
      </c>
      <c r="J50">
        <v>2020</v>
      </c>
    </row>
    <row r="51" spans="1:10" x14ac:dyDescent="0.35">
      <c r="A51" t="s">
        <v>77</v>
      </c>
      <c r="B51" t="s">
        <v>58</v>
      </c>
      <c r="C51" t="s">
        <v>40</v>
      </c>
      <c r="D51">
        <v>2020</v>
      </c>
      <c r="E51">
        <v>-6.7651809613411107</v>
      </c>
      <c r="F51">
        <v>-8.5609032033360464</v>
      </c>
      <c r="G51">
        <f t="shared" si="1"/>
        <v>-1.7957222419949357</v>
      </c>
      <c r="H51">
        <v>0.91994322807589268</v>
      </c>
      <c r="I51" t="s">
        <v>80</v>
      </c>
      <c r="J51">
        <v>2020</v>
      </c>
    </row>
    <row r="52" spans="1:10" x14ac:dyDescent="0.35">
      <c r="A52" t="s">
        <v>67</v>
      </c>
      <c r="B52" t="s">
        <v>61</v>
      </c>
      <c r="C52" t="s">
        <v>38</v>
      </c>
      <c r="D52">
        <v>2022</v>
      </c>
      <c r="E52">
        <v>2.8171147512312089</v>
      </c>
      <c r="F52">
        <v>3.945716681463399</v>
      </c>
      <c r="G52">
        <f t="shared" si="1"/>
        <v>1.1286019302321901</v>
      </c>
      <c r="H52">
        <v>0.8630359765160468</v>
      </c>
      <c r="I52" t="s">
        <v>80</v>
      </c>
      <c r="J52">
        <v>2022</v>
      </c>
    </row>
    <row r="53" spans="1:10" x14ac:dyDescent="0.35">
      <c r="A53" t="s">
        <v>67</v>
      </c>
      <c r="B53" t="s">
        <v>62</v>
      </c>
      <c r="C53" t="s">
        <v>40</v>
      </c>
      <c r="D53">
        <v>2022</v>
      </c>
      <c r="E53">
        <v>2.0165795618690252</v>
      </c>
      <c r="F53">
        <v>3.945716681463399</v>
      </c>
      <c r="G53">
        <f t="shared" si="1"/>
        <v>1.9291371195943738</v>
      </c>
      <c r="H53">
        <v>0.8630359765160468</v>
      </c>
      <c r="I53" t="s">
        <v>80</v>
      </c>
      <c r="J53">
        <v>2022</v>
      </c>
    </row>
    <row r="54" spans="1:10" x14ac:dyDescent="0.35">
      <c r="A54" t="s">
        <v>68</v>
      </c>
      <c r="B54" t="s">
        <v>61</v>
      </c>
      <c r="C54" t="s">
        <v>38</v>
      </c>
      <c r="D54">
        <v>2022</v>
      </c>
      <c r="E54">
        <v>1.55845355711639</v>
      </c>
      <c r="F54">
        <v>1.931834126476093</v>
      </c>
      <c r="G54">
        <f t="shared" si="1"/>
        <v>0.37338056935970299</v>
      </c>
      <c r="H54">
        <v>0.9099167572496889</v>
      </c>
      <c r="I54" t="s">
        <v>80</v>
      </c>
      <c r="J54">
        <v>2022</v>
      </c>
    </row>
    <row r="55" spans="1:10" x14ac:dyDescent="0.35">
      <c r="A55" t="s">
        <v>68</v>
      </c>
      <c r="B55" t="s">
        <v>62</v>
      </c>
      <c r="C55" t="s">
        <v>40</v>
      </c>
      <c r="D55">
        <v>2022</v>
      </c>
      <c r="E55">
        <v>1.5579683422439761</v>
      </c>
      <c r="F55">
        <v>1.931834126476093</v>
      </c>
      <c r="G55">
        <f t="shared" si="1"/>
        <v>0.37386578423211692</v>
      </c>
      <c r="H55">
        <v>0.9099167572496889</v>
      </c>
      <c r="I55" t="s">
        <v>80</v>
      </c>
      <c r="J55">
        <v>2022</v>
      </c>
    </row>
    <row r="56" spans="1:10" x14ac:dyDescent="0.35">
      <c r="A56" t="s">
        <v>70</v>
      </c>
      <c r="B56" t="s">
        <v>61</v>
      </c>
      <c r="C56" t="s">
        <v>38</v>
      </c>
      <c r="D56">
        <v>2022</v>
      </c>
      <c r="E56">
        <v>2.327853537647107</v>
      </c>
      <c r="F56">
        <v>0.76006291556467176</v>
      </c>
      <c r="G56">
        <f t="shared" si="1"/>
        <v>-1.5677906220824354</v>
      </c>
      <c r="H56">
        <v>0.84141991326698506</v>
      </c>
      <c r="I56" t="s">
        <v>80</v>
      </c>
      <c r="J56">
        <v>2022</v>
      </c>
    </row>
    <row r="57" spans="1:10" x14ac:dyDescent="0.35">
      <c r="A57" t="s">
        <v>70</v>
      </c>
      <c r="B57" t="s">
        <v>62</v>
      </c>
      <c r="C57" t="s">
        <v>40</v>
      </c>
      <c r="D57">
        <v>2022</v>
      </c>
      <c r="E57">
        <v>1.603112304026943</v>
      </c>
      <c r="F57">
        <v>0.76006291556467176</v>
      </c>
      <c r="G57">
        <f t="shared" si="1"/>
        <v>-0.84304938846227129</v>
      </c>
      <c r="H57">
        <v>0.84141991326698506</v>
      </c>
      <c r="I57" t="s">
        <v>80</v>
      </c>
      <c r="J57">
        <v>2022</v>
      </c>
    </row>
    <row r="58" spans="1:10" x14ac:dyDescent="0.35">
      <c r="A58" t="s">
        <v>73</v>
      </c>
      <c r="B58" t="s">
        <v>61</v>
      </c>
      <c r="C58" t="s">
        <v>38</v>
      </c>
      <c r="D58">
        <v>2022</v>
      </c>
      <c r="E58">
        <v>2.6294584401195249</v>
      </c>
      <c r="F58">
        <v>2.761671160127166</v>
      </c>
      <c r="G58">
        <f t="shared" si="1"/>
        <v>0.13221272000764106</v>
      </c>
      <c r="H58">
        <v>0.92165748687256943</v>
      </c>
      <c r="I58" t="s">
        <v>80</v>
      </c>
      <c r="J58">
        <v>2022</v>
      </c>
    </row>
    <row r="59" spans="1:10" x14ac:dyDescent="0.35">
      <c r="A59" t="s">
        <v>73</v>
      </c>
      <c r="B59" t="s">
        <v>62</v>
      </c>
      <c r="C59" t="s">
        <v>40</v>
      </c>
      <c r="D59">
        <v>2022</v>
      </c>
      <c r="E59">
        <v>3.0989524183168582</v>
      </c>
      <c r="F59">
        <v>2.761671160127166</v>
      </c>
      <c r="G59">
        <f t="shared" si="1"/>
        <v>-0.33728125818969223</v>
      </c>
      <c r="H59">
        <v>0.92165748687256943</v>
      </c>
      <c r="I59" t="s">
        <v>80</v>
      </c>
      <c r="J59">
        <v>2022</v>
      </c>
    </row>
    <row r="60" spans="1:10" x14ac:dyDescent="0.35">
      <c r="A60" t="s">
        <v>75</v>
      </c>
      <c r="B60" t="s">
        <v>61</v>
      </c>
      <c r="C60" t="s">
        <v>38</v>
      </c>
      <c r="D60">
        <v>2022</v>
      </c>
      <c r="E60">
        <v>3.8268920279536989</v>
      </c>
      <c r="F60">
        <v>4.8546134866977511</v>
      </c>
      <c r="G60">
        <f t="shared" si="1"/>
        <v>1.0277214587440522</v>
      </c>
      <c r="H60">
        <v>0.90204063425666803</v>
      </c>
      <c r="I60" t="s">
        <v>80</v>
      </c>
      <c r="J60">
        <v>2022</v>
      </c>
    </row>
    <row r="61" spans="1:10" x14ac:dyDescent="0.35">
      <c r="A61" t="s">
        <v>75</v>
      </c>
      <c r="B61" t="s">
        <v>62</v>
      </c>
      <c r="C61" t="s">
        <v>40</v>
      </c>
      <c r="D61">
        <v>2022</v>
      </c>
      <c r="E61">
        <v>2.4256542804822261</v>
      </c>
      <c r="F61">
        <v>4.8546134866977511</v>
      </c>
      <c r="G61">
        <f t="shared" si="1"/>
        <v>2.428959206215525</v>
      </c>
      <c r="H61">
        <v>0.90204063425666803</v>
      </c>
      <c r="I61" t="s">
        <v>80</v>
      </c>
      <c r="J61">
        <v>2022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I441"/>
  <sheetViews>
    <sheetView workbookViewId="0"/>
  </sheetViews>
  <sheetFormatPr defaultRowHeight="14.5" x14ac:dyDescent="0.35"/>
  <cols>
    <col min="1" max="9" width="18" customWidth="1"/>
  </cols>
  <sheetData>
    <row r="1" spans="1:9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8</v>
      </c>
      <c r="I1" s="2" t="s">
        <v>78</v>
      </c>
    </row>
    <row r="2" spans="1:9" x14ac:dyDescent="0.35">
      <c r="A2" t="s">
        <v>36</v>
      </c>
      <c r="B2" t="s">
        <v>45</v>
      </c>
      <c r="C2" t="s">
        <v>38</v>
      </c>
      <c r="D2">
        <v>2015</v>
      </c>
      <c r="E2">
        <v>1.23399360343428</v>
      </c>
      <c r="F2">
        <v>1.2553290281528069</v>
      </c>
      <c r="G2">
        <f t="shared" ref="G2:G65" si="0">IF(OR(F2="",E2=""),"",F2-E2)</f>
        <v>2.1335424718526896E-2</v>
      </c>
      <c r="H2">
        <v>7.6773113441487876E-3</v>
      </c>
      <c r="I2" t="s">
        <v>79</v>
      </c>
    </row>
    <row r="3" spans="1:9" x14ac:dyDescent="0.35">
      <c r="A3" t="s">
        <v>36</v>
      </c>
      <c r="B3" t="s">
        <v>46</v>
      </c>
      <c r="C3" t="s">
        <v>40</v>
      </c>
      <c r="D3">
        <v>2015</v>
      </c>
      <c r="E3">
        <v>1.8494694742448909</v>
      </c>
      <c r="F3">
        <v>1.2553290281528069</v>
      </c>
      <c r="G3">
        <f t="shared" si="0"/>
        <v>-0.59414044609208405</v>
      </c>
      <c r="H3">
        <v>7.6773113441487876E-3</v>
      </c>
      <c r="I3" t="s">
        <v>79</v>
      </c>
    </row>
    <row r="4" spans="1:9" x14ac:dyDescent="0.35">
      <c r="A4" t="s">
        <v>36</v>
      </c>
      <c r="B4" t="s">
        <v>47</v>
      </c>
      <c r="C4" t="s">
        <v>38</v>
      </c>
      <c r="D4">
        <v>2015</v>
      </c>
      <c r="E4">
        <v>0.59754498836805947</v>
      </c>
      <c r="F4">
        <v>1.2553290281528069</v>
      </c>
      <c r="G4">
        <f t="shared" si="0"/>
        <v>0.65778403978474742</v>
      </c>
      <c r="H4">
        <v>7.6773113441487876E-3</v>
      </c>
      <c r="I4" t="s">
        <v>79</v>
      </c>
    </row>
    <row r="5" spans="1:9" x14ac:dyDescent="0.35">
      <c r="A5" t="s">
        <v>36</v>
      </c>
      <c r="B5" t="s">
        <v>48</v>
      </c>
      <c r="C5" t="s">
        <v>40</v>
      </c>
      <c r="D5">
        <v>2015</v>
      </c>
      <c r="E5">
        <v>0.79966080907698522</v>
      </c>
      <c r="F5">
        <v>1.2553290281528069</v>
      </c>
      <c r="G5">
        <f t="shared" si="0"/>
        <v>0.45566821907582167</v>
      </c>
      <c r="H5">
        <v>7.6773113441487876E-3</v>
      </c>
      <c r="I5" t="s">
        <v>79</v>
      </c>
    </row>
    <row r="6" spans="1:9" x14ac:dyDescent="0.35">
      <c r="A6" t="s">
        <v>67</v>
      </c>
      <c r="B6" t="s">
        <v>45</v>
      </c>
      <c r="C6" t="s">
        <v>38</v>
      </c>
      <c r="D6">
        <v>2015</v>
      </c>
      <c r="E6">
        <v>0.86159735965183337</v>
      </c>
      <c r="F6">
        <v>1.4634410714791239</v>
      </c>
      <c r="G6">
        <f t="shared" si="0"/>
        <v>0.60184371182729057</v>
      </c>
      <c r="H6">
        <v>0.48977750567916351</v>
      </c>
      <c r="I6" t="s">
        <v>79</v>
      </c>
    </row>
    <row r="7" spans="1:9" x14ac:dyDescent="0.35">
      <c r="A7" t="s">
        <v>67</v>
      </c>
      <c r="B7" t="s">
        <v>46</v>
      </c>
      <c r="C7" t="s">
        <v>40</v>
      </c>
      <c r="D7">
        <v>2015</v>
      </c>
      <c r="E7">
        <v>1.5593135161243941</v>
      </c>
      <c r="F7">
        <v>1.4634410714791239</v>
      </c>
      <c r="G7">
        <f t="shared" si="0"/>
        <v>-9.5872444645270116E-2</v>
      </c>
      <c r="H7">
        <v>0.48977750567916351</v>
      </c>
      <c r="I7" t="s">
        <v>79</v>
      </c>
    </row>
    <row r="8" spans="1:9" x14ac:dyDescent="0.35">
      <c r="A8" t="s">
        <v>67</v>
      </c>
      <c r="B8" t="s">
        <v>47</v>
      </c>
      <c r="C8" t="s">
        <v>38</v>
      </c>
      <c r="D8">
        <v>2015</v>
      </c>
      <c r="E8">
        <v>1.262482967982592</v>
      </c>
      <c r="F8">
        <v>1.4634410714791239</v>
      </c>
      <c r="G8">
        <f t="shared" si="0"/>
        <v>0.20095810349653198</v>
      </c>
      <c r="H8">
        <v>0.48977750567916351</v>
      </c>
      <c r="I8" t="s">
        <v>79</v>
      </c>
    </row>
    <row r="9" spans="1:9" x14ac:dyDescent="0.35">
      <c r="A9" t="s">
        <v>67</v>
      </c>
      <c r="B9" t="s">
        <v>48</v>
      </c>
      <c r="C9" t="s">
        <v>40</v>
      </c>
      <c r="D9">
        <v>2015</v>
      </c>
      <c r="E9">
        <v>1.08741840250608</v>
      </c>
      <c r="F9">
        <v>1.4634410714791239</v>
      </c>
      <c r="G9">
        <f t="shared" si="0"/>
        <v>0.37602266897304393</v>
      </c>
      <c r="H9">
        <v>0.48977750567916351</v>
      </c>
      <c r="I9" t="s">
        <v>79</v>
      </c>
    </row>
    <row r="10" spans="1:9" x14ac:dyDescent="0.35">
      <c r="A10" t="s">
        <v>69</v>
      </c>
      <c r="B10" t="s">
        <v>45</v>
      </c>
      <c r="C10" t="s">
        <v>38</v>
      </c>
      <c r="D10">
        <v>2015</v>
      </c>
      <c r="E10">
        <v>1.7298208953237191</v>
      </c>
      <c r="F10">
        <v>3.980574024380553</v>
      </c>
      <c r="G10">
        <f t="shared" si="0"/>
        <v>2.2507531290568341</v>
      </c>
      <c r="H10">
        <v>0.2475573113650236</v>
      </c>
      <c r="I10" t="s">
        <v>79</v>
      </c>
    </row>
    <row r="11" spans="1:9" x14ac:dyDescent="0.35">
      <c r="A11" t="s">
        <v>69</v>
      </c>
      <c r="B11" t="s">
        <v>46</v>
      </c>
      <c r="C11" t="s">
        <v>40</v>
      </c>
      <c r="D11">
        <v>2015</v>
      </c>
      <c r="E11">
        <v>2.0578550096999941</v>
      </c>
      <c r="F11">
        <v>3.980574024380553</v>
      </c>
      <c r="G11">
        <f t="shared" si="0"/>
        <v>1.9227190146805588</v>
      </c>
      <c r="H11">
        <v>0.2475573113650236</v>
      </c>
      <c r="I11" t="s">
        <v>79</v>
      </c>
    </row>
    <row r="12" spans="1:9" x14ac:dyDescent="0.35">
      <c r="A12" t="s">
        <v>69</v>
      </c>
      <c r="B12" t="s">
        <v>47</v>
      </c>
      <c r="C12" t="s">
        <v>38</v>
      </c>
      <c r="D12">
        <v>2015</v>
      </c>
      <c r="E12">
        <v>3.1330217546616361</v>
      </c>
      <c r="F12">
        <v>3.980574024380553</v>
      </c>
      <c r="G12">
        <f t="shared" si="0"/>
        <v>0.84755226971891684</v>
      </c>
      <c r="H12">
        <v>0.2475573113650236</v>
      </c>
      <c r="I12" t="s">
        <v>79</v>
      </c>
    </row>
    <row r="13" spans="1:9" x14ac:dyDescent="0.35">
      <c r="A13" t="s">
        <v>69</v>
      </c>
      <c r="B13" t="s">
        <v>48</v>
      </c>
      <c r="C13" t="s">
        <v>40</v>
      </c>
      <c r="D13">
        <v>2015</v>
      </c>
      <c r="E13">
        <v>2.8163023499567119</v>
      </c>
      <c r="F13">
        <v>3.980574024380553</v>
      </c>
      <c r="G13">
        <f t="shared" si="0"/>
        <v>1.1642716744238411</v>
      </c>
      <c r="H13">
        <v>0.2475573113650236</v>
      </c>
      <c r="I13" t="s">
        <v>79</v>
      </c>
    </row>
    <row r="14" spans="1:9" x14ac:dyDescent="0.35">
      <c r="A14" t="s">
        <v>74</v>
      </c>
      <c r="B14" t="s">
        <v>45</v>
      </c>
      <c r="C14" t="s">
        <v>38</v>
      </c>
      <c r="D14">
        <v>2015</v>
      </c>
      <c r="E14">
        <v>3.6221665910883831</v>
      </c>
      <c r="F14">
        <v>21.950744654507421</v>
      </c>
      <c r="G14">
        <f t="shared" si="0"/>
        <v>18.328578063419037</v>
      </c>
      <c r="H14">
        <v>4.0724219866131062E-2</v>
      </c>
      <c r="I14" t="s">
        <v>79</v>
      </c>
    </row>
    <row r="15" spans="1:9" x14ac:dyDescent="0.35">
      <c r="A15" t="s">
        <v>74</v>
      </c>
      <c r="B15" t="s">
        <v>46</v>
      </c>
      <c r="C15" t="s">
        <v>40</v>
      </c>
      <c r="D15">
        <v>2015</v>
      </c>
      <c r="E15">
        <v>2.99572233370986</v>
      </c>
      <c r="F15">
        <v>21.950744654507421</v>
      </c>
      <c r="G15">
        <f t="shared" si="0"/>
        <v>18.955022320797561</v>
      </c>
      <c r="H15">
        <v>4.0724219866131062E-2</v>
      </c>
      <c r="I15" t="s">
        <v>79</v>
      </c>
    </row>
    <row r="16" spans="1:9" x14ac:dyDescent="0.35">
      <c r="A16" t="s">
        <v>74</v>
      </c>
      <c r="B16" t="s">
        <v>47</v>
      </c>
      <c r="C16" t="s">
        <v>38</v>
      </c>
      <c r="D16">
        <v>2015</v>
      </c>
      <c r="E16">
        <v>6.0449344943167782</v>
      </c>
      <c r="F16">
        <v>21.950744654507421</v>
      </c>
      <c r="G16">
        <f t="shared" si="0"/>
        <v>15.905810160190644</v>
      </c>
      <c r="H16">
        <v>4.0724219866131062E-2</v>
      </c>
      <c r="I16" t="s">
        <v>79</v>
      </c>
    </row>
    <row r="17" spans="1:9" x14ac:dyDescent="0.35">
      <c r="A17" t="s">
        <v>74</v>
      </c>
      <c r="B17" t="s">
        <v>48</v>
      </c>
      <c r="C17" t="s">
        <v>40</v>
      </c>
      <c r="D17">
        <v>2015</v>
      </c>
      <c r="E17">
        <v>3.6070418929936339</v>
      </c>
      <c r="F17">
        <v>21.950744654507421</v>
      </c>
      <c r="G17">
        <f t="shared" si="0"/>
        <v>18.343702761513786</v>
      </c>
      <c r="H17">
        <v>4.0724219866131062E-2</v>
      </c>
      <c r="I17" t="s">
        <v>79</v>
      </c>
    </row>
    <row r="18" spans="1:9" x14ac:dyDescent="0.35">
      <c r="A18" t="s">
        <v>75</v>
      </c>
      <c r="B18" t="s">
        <v>45</v>
      </c>
      <c r="C18" t="s">
        <v>38</v>
      </c>
      <c r="D18">
        <v>2015</v>
      </c>
      <c r="E18">
        <v>0.62872973894907425</v>
      </c>
      <c r="F18">
        <v>0.74285153390220071</v>
      </c>
      <c r="G18">
        <f t="shared" si="0"/>
        <v>0.11412179495312647</v>
      </c>
      <c r="H18">
        <v>6.4495721704754719E-2</v>
      </c>
      <c r="I18" t="s">
        <v>79</v>
      </c>
    </row>
    <row r="19" spans="1:9" x14ac:dyDescent="0.35">
      <c r="A19" t="s">
        <v>75</v>
      </c>
      <c r="B19" t="s">
        <v>46</v>
      </c>
      <c r="C19" t="s">
        <v>40</v>
      </c>
      <c r="D19">
        <v>2015</v>
      </c>
      <c r="E19">
        <v>1.229987574853153</v>
      </c>
      <c r="F19">
        <v>0.74285153390220071</v>
      </c>
      <c r="G19">
        <f t="shared" si="0"/>
        <v>-0.48713604095095231</v>
      </c>
      <c r="H19">
        <v>6.4495721704754719E-2</v>
      </c>
      <c r="I19" t="s">
        <v>79</v>
      </c>
    </row>
    <row r="20" spans="1:9" x14ac:dyDescent="0.35">
      <c r="A20" t="s">
        <v>75</v>
      </c>
      <c r="B20" t="s">
        <v>47</v>
      </c>
      <c r="C20" t="s">
        <v>38</v>
      </c>
      <c r="D20">
        <v>2015</v>
      </c>
      <c r="E20">
        <v>0.86665350989461043</v>
      </c>
      <c r="F20">
        <v>0.74285153390220071</v>
      </c>
      <c r="G20">
        <f t="shared" si="0"/>
        <v>-0.12380197599240972</v>
      </c>
      <c r="H20">
        <v>6.4495721704754719E-2</v>
      </c>
      <c r="I20" t="s">
        <v>79</v>
      </c>
    </row>
    <row r="21" spans="1:9" x14ac:dyDescent="0.35">
      <c r="A21" t="s">
        <v>75</v>
      </c>
      <c r="B21" t="s">
        <v>48</v>
      </c>
      <c r="C21" t="s">
        <v>40</v>
      </c>
      <c r="D21">
        <v>2015</v>
      </c>
      <c r="E21">
        <v>0.6068597463795955</v>
      </c>
      <c r="F21">
        <v>0.74285153390220071</v>
      </c>
      <c r="G21">
        <f t="shared" si="0"/>
        <v>0.13599178752260521</v>
      </c>
      <c r="H21">
        <v>6.4495721704754719E-2</v>
      </c>
      <c r="I21" t="s">
        <v>79</v>
      </c>
    </row>
    <row r="22" spans="1:9" x14ac:dyDescent="0.35">
      <c r="A22" t="s">
        <v>77</v>
      </c>
      <c r="B22" t="s">
        <v>45</v>
      </c>
      <c r="C22" t="s">
        <v>38</v>
      </c>
      <c r="D22">
        <v>2015</v>
      </c>
      <c r="E22">
        <v>1.29819266835165</v>
      </c>
      <c r="F22">
        <v>1.5772755552952269</v>
      </c>
      <c r="G22">
        <f t="shared" si="0"/>
        <v>0.27908288694357686</v>
      </c>
      <c r="H22">
        <v>0.13691232060579539</v>
      </c>
      <c r="I22" t="s">
        <v>79</v>
      </c>
    </row>
    <row r="23" spans="1:9" x14ac:dyDescent="0.35">
      <c r="A23" t="s">
        <v>77</v>
      </c>
      <c r="B23" t="s">
        <v>46</v>
      </c>
      <c r="C23" t="s">
        <v>40</v>
      </c>
      <c r="D23">
        <v>2015</v>
      </c>
      <c r="E23">
        <v>1.4931874273763861</v>
      </c>
      <c r="F23">
        <v>1.5772755552952269</v>
      </c>
      <c r="G23">
        <f t="shared" si="0"/>
        <v>8.4088127918840794E-2</v>
      </c>
      <c r="H23">
        <v>0.13691232060579539</v>
      </c>
      <c r="I23" t="s">
        <v>79</v>
      </c>
    </row>
    <row r="24" spans="1:9" x14ac:dyDescent="0.35">
      <c r="A24" t="s">
        <v>77</v>
      </c>
      <c r="B24" t="s">
        <v>47</v>
      </c>
      <c r="C24" t="s">
        <v>38</v>
      </c>
      <c r="D24">
        <v>2015</v>
      </c>
      <c r="E24">
        <v>1.741329419958926</v>
      </c>
      <c r="F24">
        <v>1.5772755552952269</v>
      </c>
      <c r="G24">
        <f t="shared" si="0"/>
        <v>-0.16405386466369909</v>
      </c>
      <c r="H24">
        <v>0.13691232060579539</v>
      </c>
      <c r="I24" t="s">
        <v>79</v>
      </c>
    </row>
    <row r="25" spans="1:9" x14ac:dyDescent="0.35">
      <c r="A25" t="s">
        <v>77</v>
      </c>
      <c r="B25" t="s">
        <v>48</v>
      </c>
      <c r="C25" t="s">
        <v>40</v>
      </c>
      <c r="D25">
        <v>2015</v>
      </c>
      <c r="E25">
        <v>1.6418853965775471</v>
      </c>
      <c r="F25">
        <v>1.5772755552952269</v>
      </c>
      <c r="G25">
        <f t="shared" si="0"/>
        <v>-6.4609841282320168E-2</v>
      </c>
      <c r="H25">
        <v>0.13691232060579539</v>
      </c>
      <c r="I25" t="s">
        <v>79</v>
      </c>
    </row>
    <row r="26" spans="1:9" x14ac:dyDescent="0.35">
      <c r="A26" t="s">
        <v>36</v>
      </c>
      <c r="B26" t="s">
        <v>47</v>
      </c>
      <c r="C26" t="s">
        <v>38</v>
      </c>
      <c r="D26">
        <v>2016</v>
      </c>
      <c r="E26">
        <v>1.4571009650163671</v>
      </c>
      <c r="F26">
        <v>2.1495386728737769</v>
      </c>
      <c r="G26">
        <f t="shared" si="0"/>
        <v>0.69243770785740977</v>
      </c>
      <c r="H26">
        <v>5.3022968855759911E-2</v>
      </c>
      <c r="I26" t="s">
        <v>79</v>
      </c>
    </row>
    <row r="27" spans="1:9" x14ac:dyDescent="0.35">
      <c r="A27" t="s">
        <v>36</v>
      </c>
      <c r="B27" t="s">
        <v>48</v>
      </c>
      <c r="C27" t="s">
        <v>40</v>
      </c>
      <c r="D27">
        <v>2016</v>
      </c>
      <c r="E27">
        <v>1.4528661212303451</v>
      </c>
      <c r="F27">
        <v>2.1495386728737769</v>
      </c>
      <c r="G27">
        <f t="shared" si="0"/>
        <v>0.69667255164343178</v>
      </c>
      <c r="H27">
        <v>5.3022968855759911E-2</v>
      </c>
      <c r="I27" t="s">
        <v>79</v>
      </c>
    </row>
    <row r="28" spans="1:9" x14ac:dyDescent="0.35">
      <c r="A28" t="s">
        <v>36</v>
      </c>
      <c r="B28" t="s">
        <v>49</v>
      </c>
      <c r="C28" t="s">
        <v>38</v>
      </c>
      <c r="D28">
        <v>2016</v>
      </c>
      <c r="E28">
        <v>1.493056987075114</v>
      </c>
      <c r="F28">
        <v>2.1495386728737769</v>
      </c>
      <c r="G28">
        <f t="shared" si="0"/>
        <v>0.65648168579866284</v>
      </c>
      <c r="H28">
        <v>5.3022968855759911E-2</v>
      </c>
      <c r="I28" t="s">
        <v>79</v>
      </c>
    </row>
    <row r="29" spans="1:9" x14ac:dyDescent="0.35">
      <c r="A29" t="s">
        <v>36</v>
      </c>
      <c r="B29" t="s">
        <v>50</v>
      </c>
      <c r="C29" t="s">
        <v>40</v>
      </c>
      <c r="D29">
        <v>2016</v>
      </c>
      <c r="E29">
        <v>1.4756673621598939</v>
      </c>
      <c r="F29">
        <v>2.1495386728737769</v>
      </c>
      <c r="G29">
        <f t="shared" si="0"/>
        <v>0.67387131071388295</v>
      </c>
      <c r="H29">
        <v>5.3022968855759911E-2</v>
      </c>
      <c r="I29" t="s">
        <v>79</v>
      </c>
    </row>
    <row r="30" spans="1:9" x14ac:dyDescent="0.35">
      <c r="A30" t="s">
        <v>67</v>
      </c>
      <c r="B30" t="s">
        <v>47</v>
      </c>
      <c r="C30" t="s">
        <v>38</v>
      </c>
      <c r="D30">
        <v>2016</v>
      </c>
      <c r="E30">
        <v>1.305005005659998</v>
      </c>
      <c r="F30">
        <v>1.1863946679844091</v>
      </c>
      <c r="G30">
        <f t="shared" si="0"/>
        <v>-0.11861033767558893</v>
      </c>
      <c r="H30">
        <v>0.1513774400939549</v>
      </c>
      <c r="I30" t="s">
        <v>79</v>
      </c>
    </row>
    <row r="31" spans="1:9" x14ac:dyDescent="0.35">
      <c r="A31" t="s">
        <v>67</v>
      </c>
      <c r="B31" t="s">
        <v>48</v>
      </c>
      <c r="C31" t="s">
        <v>40</v>
      </c>
      <c r="D31">
        <v>2016</v>
      </c>
      <c r="E31">
        <v>1.466822845081617</v>
      </c>
      <c r="F31">
        <v>1.1863946679844091</v>
      </c>
      <c r="G31">
        <f t="shared" si="0"/>
        <v>-0.28042817709720791</v>
      </c>
      <c r="H31">
        <v>0.1513774400939549</v>
      </c>
      <c r="I31" t="s">
        <v>79</v>
      </c>
    </row>
    <row r="32" spans="1:9" x14ac:dyDescent="0.35">
      <c r="A32" t="s">
        <v>67</v>
      </c>
      <c r="B32" t="s">
        <v>49</v>
      </c>
      <c r="C32" t="s">
        <v>38</v>
      </c>
      <c r="D32">
        <v>2016</v>
      </c>
      <c r="E32">
        <v>1.233699257987553</v>
      </c>
      <c r="F32">
        <v>1.1863946679844091</v>
      </c>
      <c r="G32">
        <f t="shared" si="0"/>
        <v>-4.7304590003143909E-2</v>
      </c>
      <c r="H32">
        <v>0.1513774400939549</v>
      </c>
      <c r="I32" t="s">
        <v>79</v>
      </c>
    </row>
    <row r="33" spans="1:9" x14ac:dyDescent="0.35">
      <c r="A33" t="s">
        <v>67</v>
      </c>
      <c r="B33" t="s">
        <v>50</v>
      </c>
      <c r="C33" t="s">
        <v>40</v>
      </c>
      <c r="D33">
        <v>2016</v>
      </c>
      <c r="E33">
        <v>1.197250966203911</v>
      </c>
      <c r="F33">
        <v>1.1863946679844091</v>
      </c>
      <c r="G33">
        <f t="shared" si="0"/>
        <v>-1.0856298219501959E-2</v>
      </c>
      <c r="H33">
        <v>0.1513774400939549</v>
      </c>
      <c r="I33" t="s">
        <v>79</v>
      </c>
    </row>
    <row r="34" spans="1:9" x14ac:dyDescent="0.35">
      <c r="A34" t="s">
        <v>69</v>
      </c>
      <c r="B34" t="s">
        <v>47</v>
      </c>
      <c r="C34" t="s">
        <v>38</v>
      </c>
      <c r="D34">
        <v>2016</v>
      </c>
      <c r="E34">
        <v>2.6664587847684769</v>
      </c>
      <c r="F34">
        <v>2.8733724111720398</v>
      </c>
      <c r="G34">
        <f t="shared" si="0"/>
        <v>0.20691362640356292</v>
      </c>
      <c r="H34">
        <v>0.32671076843180541</v>
      </c>
      <c r="I34" t="s">
        <v>79</v>
      </c>
    </row>
    <row r="35" spans="1:9" x14ac:dyDescent="0.35">
      <c r="A35" t="s">
        <v>69</v>
      </c>
      <c r="B35" t="s">
        <v>48</v>
      </c>
      <c r="C35" t="s">
        <v>40</v>
      </c>
      <c r="D35">
        <v>2016</v>
      </c>
      <c r="E35">
        <v>2.5804277166284968</v>
      </c>
      <c r="F35">
        <v>2.8733724111720398</v>
      </c>
      <c r="G35">
        <f t="shared" si="0"/>
        <v>0.29294469454354299</v>
      </c>
      <c r="H35">
        <v>0.32671076843180541</v>
      </c>
      <c r="I35" t="s">
        <v>79</v>
      </c>
    </row>
    <row r="36" spans="1:9" x14ac:dyDescent="0.35">
      <c r="A36" t="s">
        <v>69</v>
      </c>
      <c r="B36" t="s">
        <v>49</v>
      </c>
      <c r="C36" t="s">
        <v>38</v>
      </c>
      <c r="D36">
        <v>2016</v>
      </c>
      <c r="E36">
        <v>3.1977481622379229</v>
      </c>
      <c r="F36">
        <v>2.8733724111720398</v>
      </c>
      <c r="G36">
        <f t="shared" si="0"/>
        <v>-0.32437575106588312</v>
      </c>
      <c r="H36">
        <v>0.32671076843180541</v>
      </c>
      <c r="I36" t="s">
        <v>79</v>
      </c>
    </row>
    <row r="37" spans="1:9" x14ac:dyDescent="0.35">
      <c r="A37" t="s">
        <v>69</v>
      </c>
      <c r="B37" t="s">
        <v>50</v>
      </c>
      <c r="C37" t="s">
        <v>40</v>
      </c>
      <c r="D37">
        <v>2016</v>
      </c>
      <c r="E37">
        <v>2.5934687983342641</v>
      </c>
      <c r="F37">
        <v>2.8733724111720398</v>
      </c>
      <c r="G37">
        <f t="shared" si="0"/>
        <v>0.27990361283777565</v>
      </c>
      <c r="H37">
        <v>0.32671076843180541</v>
      </c>
      <c r="I37" t="s">
        <v>79</v>
      </c>
    </row>
    <row r="38" spans="1:9" x14ac:dyDescent="0.35">
      <c r="A38" t="s">
        <v>70</v>
      </c>
      <c r="B38" t="s">
        <v>47</v>
      </c>
      <c r="C38" t="s">
        <v>38</v>
      </c>
      <c r="D38">
        <v>2016</v>
      </c>
      <c r="E38">
        <v>0.66078776686688823</v>
      </c>
      <c r="F38">
        <v>2.5394630680659041</v>
      </c>
      <c r="G38">
        <f t="shared" si="0"/>
        <v>1.8786753011990158</v>
      </c>
      <c r="H38">
        <v>0.52473108957558956</v>
      </c>
      <c r="I38" t="s">
        <v>79</v>
      </c>
    </row>
    <row r="39" spans="1:9" x14ac:dyDescent="0.35">
      <c r="A39" t="s">
        <v>70</v>
      </c>
      <c r="B39" t="s">
        <v>48</v>
      </c>
      <c r="C39" t="s">
        <v>40</v>
      </c>
      <c r="D39">
        <v>2016</v>
      </c>
      <c r="E39">
        <v>1.029139259030432</v>
      </c>
      <c r="F39">
        <v>2.5394630680659041</v>
      </c>
      <c r="G39">
        <f t="shared" si="0"/>
        <v>1.510323809035472</v>
      </c>
      <c r="H39">
        <v>0.52473108957558956</v>
      </c>
      <c r="I39" t="s">
        <v>79</v>
      </c>
    </row>
    <row r="40" spans="1:9" x14ac:dyDescent="0.35">
      <c r="A40" t="s">
        <v>70</v>
      </c>
      <c r="B40" t="s">
        <v>49</v>
      </c>
      <c r="C40" t="s">
        <v>38</v>
      </c>
      <c r="D40">
        <v>2016</v>
      </c>
      <c r="E40">
        <v>0.8211412144474739</v>
      </c>
      <c r="F40">
        <v>2.5394630680659041</v>
      </c>
      <c r="G40">
        <f t="shared" si="0"/>
        <v>1.7183218536184302</v>
      </c>
      <c r="H40">
        <v>0.52473108957558956</v>
      </c>
      <c r="I40" t="s">
        <v>79</v>
      </c>
    </row>
    <row r="41" spans="1:9" x14ac:dyDescent="0.35">
      <c r="A41" t="s">
        <v>70</v>
      </c>
      <c r="B41" t="s">
        <v>50</v>
      </c>
      <c r="C41" t="s">
        <v>40</v>
      </c>
      <c r="D41">
        <v>2016</v>
      </c>
      <c r="E41">
        <v>0.68041183214515577</v>
      </c>
      <c r="F41">
        <v>2.5394630680659041</v>
      </c>
      <c r="G41">
        <f t="shared" si="0"/>
        <v>1.8590512359207483</v>
      </c>
      <c r="H41">
        <v>0.52473108957558956</v>
      </c>
      <c r="I41" t="s">
        <v>79</v>
      </c>
    </row>
    <row r="42" spans="1:9" x14ac:dyDescent="0.35">
      <c r="A42" t="s">
        <v>74</v>
      </c>
      <c r="B42" t="s">
        <v>47</v>
      </c>
      <c r="C42" t="s">
        <v>38</v>
      </c>
      <c r="D42">
        <v>2016</v>
      </c>
      <c r="E42">
        <v>4.4841243342324866</v>
      </c>
      <c r="F42">
        <v>1.1725462785856491</v>
      </c>
      <c r="G42">
        <f t="shared" si="0"/>
        <v>-3.3115780556468373</v>
      </c>
      <c r="H42">
        <v>4.946154241423438E-2</v>
      </c>
      <c r="I42" t="s">
        <v>79</v>
      </c>
    </row>
    <row r="43" spans="1:9" x14ac:dyDescent="0.35">
      <c r="A43" t="s">
        <v>74</v>
      </c>
      <c r="B43" t="s">
        <v>48</v>
      </c>
      <c r="C43" t="s">
        <v>40</v>
      </c>
      <c r="D43">
        <v>2016</v>
      </c>
      <c r="E43">
        <v>3.4764574668220138</v>
      </c>
      <c r="F43">
        <v>1.1725462785856491</v>
      </c>
      <c r="G43">
        <f t="shared" si="0"/>
        <v>-2.3039111882363645</v>
      </c>
      <c r="H43">
        <v>4.946154241423438E-2</v>
      </c>
      <c r="I43" t="s">
        <v>79</v>
      </c>
    </row>
    <row r="44" spans="1:9" x14ac:dyDescent="0.35">
      <c r="A44" t="s">
        <v>74</v>
      </c>
      <c r="B44" t="s">
        <v>49</v>
      </c>
      <c r="C44" t="s">
        <v>38</v>
      </c>
      <c r="D44">
        <v>2016</v>
      </c>
      <c r="E44">
        <v>4.0884411162628984</v>
      </c>
      <c r="F44">
        <v>1.1725462785856491</v>
      </c>
      <c r="G44">
        <f t="shared" si="0"/>
        <v>-2.9158948376772491</v>
      </c>
      <c r="H44">
        <v>4.946154241423438E-2</v>
      </c>
      <c r="I44" t="s">
        <v>79</v>
      </c>
    </row>
    <row r="45" spans="1:9" x14ac:dyDescent="0.35">
      <c r="A45" t="s">
        <v>74</v>
      </c>
      <c r="B45" t="s">
        <v>50</v>
      </c>
      <c r="C45" t="s">
        <v>40</v>
      </c>
      <c r="D45">
        <v>2016</v>
      </c>
      <c r="E45">
        <v>4.8687098071762858</v>
      </c>
      <c r="F45">
        <v>1.1725462785856491</v>
      </c>
      <c r="G45">
        <f t="shared" si="0"/>
        <v>-3.6961635285906365</v>
      </c>
      <c r="H45">
        <v>4.946154241423438E-2</v>
      </c>
      <c r="I45" t="s">
        <v>79</v>
      </c>
    </row>
    <row r="46" spans="1:9" x14ac:dyDescent="0.35">
      <c r="A46" t="s">
        <v>75</v>
      </c>
      <c r="B46" t="s">
        <v>47</v>
      </c>
      <c r="C46" t="s">
        <v>38</v>
      </c>
      <c r="D46">
        <v>2016</v>
      </c>
      <c r="E46">
        <v>1.4512761867371271</v>
      </c>
      <c r="F46">
        <v>1.34543552139666</v>
      </c>
      <c r="G46">
        <f t="shared" si="0"/>
        <v>-0.1058406653404671</v>
      </c>
      <c r="H46">
        <v>4.895947464224041E-2</v>
      </c>
      <c r="I46" t="s">
        <v>79</v>
      </c>
    </row>
    <row r="47" spans="1:9" x14ac:dyDescent="0.35">
      <c r="A47" t="s">
        <v>75</v>
      </c>
      <c r="B47" t="s">
        <v>48</v>
      </c>
      <c r="C47" t="s">
        <v>40</v>
      </c>
      <c r="D47">
        <v>2016</v>
      </c>
      <c r="E47">
        <v>1.4109778499366681</v>
      </c>
      <c r="F47">
        <v>1.34543552139666</v>
      </c>
      <c r="G47">
        <f t="shared" si="0"/>
        <v>-6.5542328540008077E-2</v>
      </c>
      <c r="H47">
        <v>4.895947464224041E-2</v>
      </c>
      <c r="I47" t="s">
        <v>79</v>
      </c>
    </row>
    <row r="48" spans="1:9" x14ac:dyDescent="0.35">
      <c r="A48" t="s">
        <v>75</v>
      </c>
      <c r="B48" t="s">
        <v>49</v>
      </c>
      <c r="C48" t="s">
        <v>38</v>
      </c>
      <c r="D48">
        <v>2016</v>
      </c>
      <c r="E48">
        <v>0.70784283945437565</v>
      </c>
      <c r="F48">
        <v>1.34543552139666</v>
      </c>
      <c r="G48">
        <f t="shared" si="0"/>
        <v>0.63759268194228436</v>
      </c>
      <c r="H48">
        <v>4.895947464224041E-2</v>
      </c>
      <c r="I48" t="s">
        <v>79</v>
      </c>
    </row>
    <row r="49" spans="1:9" x14ac:dyDescent="0.35">
      <c r="A49" t="s">
        <v>75</v>
      </c>
      <c r="B49" t="s">
        <v>50</v>
      </c>
      <c r="C49" t="s">
        <v>40</v>
      </c>
      <c r="D49">
        <v>2016</v>
      </c>
      <c r="E49">
        <v>1.090462780977397</v>
      </c>
      <c r="F49">
        <v>1.34543552139666</v>
      </c>
      <c r="G49">
        <f t="shared" si="0"/>
        <v>0.25497274041926299</v>
      </c>
      <c r="H49">
        <v>4.895947464224041E-2</v>
      </c>
      <c r="I49" t="s">
        <v>79</v>
      </c>
    </row>
    <row r="50" spans="1:9" x14ac:dyDescent="0.35">
      <c r="A50" t="s">
        <v>77</v>
      </c>
      <c r="B50" t="s">
        <v>47</v>
      </c>
      <c r="C50" t="s">
        <v>38</v>
      </c>
      <c r="D50">
        <v>2016</v>
      </c>
      <c r="E50">
        <v>1.659048842216615</v>
      </c>
      <c r="F50">
        <v>1.9843922204112789</v>
      </c>
      <c r="G50">
        <f t="shared" si="0"/>
        <v>0.32534337819466397</v>
      </c>
      <c r="H50">
        <v>0.15111381049456349</v>
      </c>
      <c r="I50" t="s">
        <v>79</v>
      </c>
    </row>
    <row r="51" spans="1:9" x14ac:dyDescent="0.35">
      <c r="A51" t="s">
        <v>77</v>
      </c>
      <c r="B51" t="s">
        <v>48</v>
      </c>
      <c r="C51" t="s">
        <v>40</v>
      </c>
      <c r="D51">
        <v>2016</v>
      </c>
      <c r="E51">
        <v>1.838363161189682</v>
      </c>
      <c r="F51">
        <v>1.9843922204112789</v>
      </c>
      <c r="G51">
        <f t="shared" si="0"/>
        <v>0.14602905922159692</v>
      </c>
      <c r="H51">
        <v>0.15111381049456349</v>
      </c>
      <c r="I51" t="s">
        <v>79</v>
      </c>
    </row>
    <row r="52" spans="1:9" x14ac:dyDescent="0.35">
      <c r="A52" t="s">
        <v>77</v>
      </c>
      <c r="B52" t="s">
        <v>49</v>
      </c>
      <c r="C52" t="s">
        <v>38</v>
      </c>
      <c r="D52">
        <v>2016</v>
      </c>
      <c r="E52">
        <v>0.92930181879138374</v>
      </c>
      <c r="F52">
        <v>1.9843922204112789</v>
      </c>
      <c r="G52">
        <f t="shared" si="0"/>
        <v>1.0550904016198952</v>
      </c>
      <c r="H52">
        <v>0.15111381049456349</v>
      </c>
      <c r="I52" t="s">
        <v>79</v>
      </c>
    </row>
    <row r="53" spans="1:9" x14ac:dyDescent="0.35">
      <c r="A53" t="s">
        <v>77</v>
      </c>
      <c r="B53" t="s">
        <v>50</v>
      </c>
      <c r="C53" t="s">
        <v>40</v>
      </c>
      <c r="D53">
        <v>2016</v>
      </c>
      <c r="E53">
        <v>1.458222731677794</v>
      </c>
      <c r="F53">
        <v>1.9843922204112789</v>
      </c>
      <c r="G53">
        <f t="shared" si="0"/>
        <v>0.5261694887334849</v>
      </c>
      <c r="H53">
        <v>0.15111381049456349</v>
      </c>
      <c r="I53" t="s">
        <v>79</v>
      </c>
    </row>
    <row r="54" spans="1:9" x14ac:dyDescent="0.35">
      <c r="A54" t="s">
        <v>36</v>
      </c>
      <c r="B54" t="s">
        <v>49</v>
      </c>
      <c r="C54" t="s">
        <v>38</v>
      </c>
      <c r="D54">
        <v>2017</v>
      </c>
      <c r="E54">
        <v>1.5818491497620271</v>
      </c>
      <c r="F54">
        <v>2.3680132788277781</v>
      </c>
      <c r="G54">
        <f t="shared" si="0"/>
        <v>0.78616412906575106</v>
      </c>
      <c r="H54">
        <v>5.9589469522748573E-2</v>
      </c>
      <c r="I54" t="s">
        <v>79</v>
      </c>
    </row>
    <row r="55" spans="1:9" x14ac:dyDescent="0.35">
      <c r="A55" t="s">
        <v>36</v>
      </c>
      <c r="B55" t="s">
        <v>50</v>
      </c>
      <c r="C55" t="s">
        <v>40</v>
      </c>
      <c r="D55">
        <v>2017</v>
      </c>
      <c r="E55">
        <v>1.626978361111475</v>
      </c>
      <c r="F55">
        <v>2.3680132788277781</v>
      </c>
      <c r="G55">
        <f t="shared" si="0"/>
        <v>0.74103491771630314</v>
      </c>
      <c r="H55">
        <v>5.9589469522748573E-2</v>
      </c>
      <c r="I55" t="s">
        <v>79</v>
      </c>
    </row>
    <row r="56" spans="1:9" x14ac:dyDescent="0.35">
      <c r="A56" t="s">
        <v>36</v>
      </c>
      <c r="B56" t="s">
        <v>51</v>
      </c>
      <c r="C56" t="s">
        <v>38</v>
      </c>
      <c r="D56">
        <v>2017</v>
      </c>
      <c r="E56">
        <v>2.5716586567718469</v>
      </c>
      <c r="F56">
        <v>2.3680132788277781</v>
      </c>
      <c r="G56">
        <f t="shared" si="0"/>
        <v>-0.20364537794406878</v>
      </c>
      <c r="H56">
        <v>5.9589469522748573E-2</v>
      </c>
      <c r="I56" t="s">
        <v>79</v>
      </c>
    </row>
    <row r="57" spans="1:9" x14ac:dyDescent="0.35">
      <c r="A57" t="s">
        <v>36</v>
      </c>
      <c r="B57" t="s">
        <v>52</v>
      </c>
      <c r="C57" t="s">
        <v>40</v>
      </c>
      <c r="D57">
        <v>2017</v>
      </c>
      <c r="E57">
        <v>1.728692467241477</v>
      </c>
      <c r="F57">
        <v>2.3680132788277781</v>
      </c>
      <c r="G57">
        <f t="shared" si="0"/>
        <v>0.63932081158630116</v>
      </c>
      <c r="H57">
        <v>5.9589469522748573E-2</v>
      </c>
      <c r="I57" t="s">
        <v>79</v>
      </c>
    </row>
    <row r="58" spans="1:9" x14ac:dyDescent="0.35">
      <c r="A58" t="s">
        <v>69</v>
      </c>
      <c r="B58" t="s">
        <v>49</v>
      </c>
      <c r="C58" t="s">
        <v>38</v>
      </c>
      <c r="D58">
        <v>2017</v>
      </c>
      <c r="E58">
        <v>2.255443360388365</v>
      </c>
      <c r="F58">
        <v>2.855001546118654</v>
      </c>
      <c r="G58">
        <f t="shared" si="0"/>
        <v>0.59955818573028896</v>
      </c>
      <c r="H58">
        <v>0.31053671124002452</v>
      </c>
      <c r="I58" t="s">
        <v>79</v>
      </c>
    </row>
    <row r="59" spans="1:9" x14ac:dyDescent="0.35">
      <c r="A59" t="s">
        <v>69</v>
      </c>
      <c r="B59" t="s">
        <v>50</v>
      </c>
      <c r="C59" t="s">
        <v>40</v>
      </c>
      <c r="D59">
        <v>2017</v>
      </c>
      <c r="E59">
        <v>2.5049942578537321</v>
      </c>
      <c r="F59">
        <v>2.855001546118654</v>
      </c>
      <c r="G59">
        <f t="shared" si="0"/>
        <v>0.35000728826492189</v>
      </c>
      <c r="H59">
        <v>0.31053671124002452</v>
      </c>
      <c r="I59" t="s">
        <v>79</v>
      </c>
    </row>
    <row r="60" spans="1:9" x14ac:dyDescent="0.35">
      <c r="A60" t="s">
        <v>69</v>
      </c>
      <c r="B60" t="s">
        <v>51</v>
      </c>
      <c r="C60" t="s">
        <v>38</v>
      </c>
      <c r="D60">
        <v>2017</v>
      </c>
      <c r="E60">
        <v>3.068359604619419</v>
      </c>
      <c r="F60">
        <v>2.855001546118654</v>
      </c>
      <c r="G60">
        <f t="shared" si="0"/>
        <v>-0.21335805850076506</v>
      </c>
      <c r="H60">
        <v>0.31053671124002452</v>
      </c>
      <c r="I60" t="s">
        <v>79</v>
      </c>
    </row>
    <row r="61" spans="1:9" x14ac:dyDescent="0.35">
      <c r="A61" t="s">
        <v>69</v>
      </c>
      <c r="B61" t="s">
        <v>52</v>
      </c>
      <c r="C61" t="s">
        <v>40</v>
      </c>
      <c r="D61">
        <v>2017</v>
      </c>
      <c r="E61">
        <v>2.763295099061525</v>
      </c>
      <c r="F61">
        <v>2.855001546118654</v>
      </c>
      <c r="G61">
        <f t="shared" si="0"/>
        <v>9.1706447057128937E-2</v>
      </c>
      <c r="H61">
        <v>0.31053671124002452</v>
      </c>
      <c r="I61" t="s">
        <v>79</v>
      </c>
    </row>
    <row r="62" spans="1:9" x14ac:dyDescent="0.35">
      <c r="A62" t="s">
        <v>74</v>
      </c>
      <c r="B62" t="s">
        <v>49</v>
      </c>
      <c r="C62" t="s">
        <v>38</v>
      </c>
      <c r="D62">
        <v>2017</v>
      </c>
      <c r="E62">
        <v>3.6014209648164601</v>
      </c>
      <c r="F62">
        <v>9.6242949957613337</v>
      </c>
      <c r="G62">
        <f t="shared" si="0"/>
        <v>6.0228740309448732</v>
      </c>
      <c r="H62">
        <v>7.3230975957205416E-2</v>
      </c>
      <c r="I62" t="s">
        <v>79</v>
      </c>
    </row>
    <row r="63" spans="1:9" x14ac:dyDescent="0.35">
      <c r="A63" t="s">
        <v>74</v>
      </c>
      <c r="B63" t="s">
        <v>50</v>
      </c>
      <c r="C63" t="s">
        <v>40</v>
      </c>
      <c r="D63">
        <v>2017</v>
      </c>
      <c r="E63">
        <v>3.6717987560630938</v>
      </c>
      <c r="F63">
        <v>9.6242949957613337</v>
      </c>
      <c r="G63">
        <f t="shared" si="0"/>
        <v>5.9524962396982399</v>
      </c>
      <c r="H63">
        <v>7.3230975957205416E-2</v>
      </c>
      <c r="I63" t="s">
        <v>79</v>
      </c>
    </row>
    <row r="64" spans="1:9" x14ac:dyDescent="0.35">
      <c r="A64" t="s">
        <v>74</v>
      </c>
      <c r="B64" t="s">
        <v>51</v>
      </c>
      <c r="C64" t="s">
        <v>38</v>
      </c>
      <c r="D64">
        <v>2017</v>
      </c>
      <c r="E64">
        <v>4.8263025218790556</v>
      </c>
      <c r="F64">
        <v>9.6242949957613337</v>
      </c>
      <c r="G64">
        <f t="shared" si="0"/>
        <v>4.7979924738822781</v>
      </c>
      <c r="H64">
        <v>7.3230975957205416E-2</v>
      </c>
      <c r="I64" t="s">
        <v>79</v>
      </c>
    </row>
    <row r="65" spans="1:9" x14ac:dyDescent="0.35">
      <c r="A65" t="s">
        <v>74</v>
      </c>
      <c r="B65" t="s">
        <v>52</v>
      </c>
      <c r="C65" t="s">
        <v>40</v>
      </c>
      <c r="D65">
        <v>2017</v>
      </c>
      <c r="E65">
        <v>3.9509452446526701</v>
      </c>
      <c r="F65">
        <v>9.6242949957613337</v>
      </c>
      <c r="G65">
        <f t="shared" si="0"/>
        <v>5.6733497511086632</v>
      </c>
      <c r="H65">
        <v>7.3230975957205416E-2</v>
      </c>
      <c r="I65" t="s">
        <v>79</v>
      </c>
    </row>
    <row r="66" spans="1:9" x14ac:dyDescent="0.35">
      <c r="A66" t="s">
        <v>75</v>
      </c>
      <c r="B66" t="s">
        <v>49</v>
      </c>
      <c r="C66" t="s">
        <v>38</v>
      </c>
      <c r="D66">
        <v>2017</v>
      </c>
      <c r="E66">
        <v>0.90288361690229468</v>
      </c>
      <c r="F66">
        <v>1.6777714333363121</v>
      </c>
      <c r="G66">
        <f t="shared" ref="G66:G129" si="1">IF(OR(F66="",E66=""),"",F66-E66)</f>
        <v>0.77488781643401738</v>
      </c>
      <c r="H66">
        <v>4.7872991480586879E-2</v>
      </c>
      <c r="I66" t="s">
        <v>79</v>
      </c>
    </row>
    <row r="67" spans="1:9" x14ac:dyDescent="0.35">
      <c r="A67" t="s">
        <v>75</v>
      </c>
      <c r="B67" t="s">
        <v>50</v>
      </c>
      <c r="C67" t="s">
        <v>40</v>
      </c>
      <c r="D67">
        <v>2017</v>
      </c>
      <c r="E67">
        <v>1.33546021526687</v>
      </c>
      <c r="F67">
        <v>1.6777714333363121</v>
      </c>
      <c r="G67">
        <f t="shared" si="1"/>
        <v>0.34231121806944209</v>
      </c>
      <c r="H67">
        <v>4.7872991480586879E-2</v>
      </c>
      <c r="I67" t="s">
        <v>79</v>
      </c>
    </row>
    <row r="68" spans="1:9" x14ac:dyDescent="0.35">
      <c r="A68" t="s">
        <v>75</v>
      </c>
      <c r="B68" t="s">
        <v>51</v>
      </c>
      <c r="C68" t="s">
        <v>38</v>
      </c>
      <c r="D68">
        <v>2017</v>
      </c>
      <c r="E68">
        <v>1.454734323287576</v>
      </c>
      <c r="F68">
        <v>1.6777714333363121</v>
      </c>
      <c r="G68">
        <f t="shared" si="1"/>
        <v>0.22303711004873605</v>
      </c>
      <c r="H68">
        <v>4.7872991480586879E-2</v>
      </c>
      <c r="I68" t="s">
        <v>79</v>
      </c>
    </row>
    <row r="69" spans="1:9" x14ac:dyDescent="0.35">
      <c r="A69" t="s">
        <v>75</v>
      </c>
      <c r="B69" t="s">
        <v>52</v>
      </c>
      <c r="C69" t="s">
        <v>40</v>
      </c>
      <c r="D69">
        <v>2017</v>
      </c>
      <c r="E69">
        <v>0.92886361941262319</v>
      </c>
      <c r="F69">
        <v>1.6777714333363121</v>
      </c>
      <c r="G69">
        <f t="shared" si="1"/>
        <v>0.74890781392368888</v>
      </c>
      <c r="H69">
        <v>4.7872991480586879E-2</v>
      </c>
      <c r="I69" t="s">
        <v>79</v>
      </c>
    </row>
    <row r="70" spans="1:9" x14ac:dyDescent="0.35">
      <c r="A70" t="s">
        <v>77</v>
      </c>
      <c r="B70" t="s">
        <v>49</v>
      </c>
      <c r="C70" t="s">
        <v>38</v>
      </c>
      <c r="D70">
        <v>2017</v>
      </c>
      <c r="E70">
        <v>1.2443844685501531</v>
      </c>
      <c r="F70">
        <v>3.260896558994415</v>
      </c>
      <c r="G70">
        <f t="shared" si="1"/>
        <v>2.0165120904442619</v>
      </c>
      <c r="H70">
        <v>0.1244056097882334</v>
      </c>
      <c r="I70" t="s">
        <v>79</v>
      </c>
    </row>
    <row r="71" spans="1:9" x14ac:dyDescent="0.35">
      <c r="A71" t="s">
        <v>77</v>
      </c>
      <c r="B71" t="s">
        <v>50</v>
      </c>
      <c r="C71" t="s">
        <v>40</v>
      </c>
      <c r="D71">
        <v>2017</v>
      </c>
      <c r="E71">
        <v>1.7439816750679069</v>
      </c>
      <c r="F71">
        <v>3.260896558994415</v>
      </c>
      <c r="G71">
        <f t="shared" si="1"/>
        <v>1.5169148839265081</v>
      </c>
      <c r="H71">
        <v>0.1244056097882334</v>
      </c>
      <c r="I71" t="s">
        <v>79</v>
      </c>
    </row>
    <row r="72" spans="1:9" x14ac:dyDescent="0.35">
      <c r="A72" t="s">
        <v>77</v>
      </c>
      <c r="B72" t="s">
        <v>51</v>
      </c>
      <c r="C72" t="s">
        <v>38</v>
      </c>
      <c r="D72">
        <v>2017</v>
      </c>
      <c r="E72">
        <v>2.6293844522458749</v>
      </c>
      <c r="F72">
        <v>3.260896558994415</v>
      </c>
      <c r="G72">
        <f t="shared" si="1"/>
        <v>0.63151210674854008</v>
      </c>
      <c r="H72">
        <v>0.1244056097882334</v>
      </c>
      <c r="I72" t="s">
        <v>79</v>
      </c>
    </row>
    <row r="73" spans="1:9" x14ac:dyDescent="0.35">
      <c r="A73" t="s">
        <v>77</v>
      </c>
      <c r="B73" t="s">
        <v>52</v>
      </c>
      <c r="C73" t="s">
        <v>40</v>
      </c>
      <c r="D73">
        <v>2017</v>
      </c>
      <c r="E73">
        <v>1.838683940143615</v>
      </c>
      <c r="F73">
        <v>3.260896558994415</v>
      </c>
      <c r="G73">
        <f t="shared" si="1"/>
        <v>1.4222126188508</v>
      </c>
      <c r="H73">
        <v>0.1244056097882334</v>
      </c>
      <c r="I73" t="s">
        <v>79</v>
      </c>
    </row>
    <row r="74" spans="1:9" x14ac:dyDescent="0.35">
      <c r="A74" t="s">
        <v>36</v>
      </c>
      <c r="B74" t="s">
        <v>51</v>
      </c>
      <c r="C74" t="s">
        <v>38</v>
      </c>
      <c r="D74">
        <v>2018</v>
      </c>
      <c r="E74">
        <v>2.3931358040782502</v>
      </c>
      <c r="F74">
        <v>2.3622453086648898</v>
      </c>
      <c r="G74">
        <f t="shared" si="1"/>
        <v>-3.0890495413360419E-2</v>
      </c>
      <c r="H74">
        <v>9.6177469626261142E-2</v>
      </c>
      <c r="I74" t="s">
        <v>79</v>
      </c>
    </row>
    <row r="75" spans="1:9" x14ac:dyDescent="0.35">
      <c r="A75" t="s">
        <v>36</v>
      </c>
      <c r="B75" t="s">
        <v>52</v>
      </c>
      <c r="C75" t="s">
        <v>40</v>
      </c>
      <c r="D75">
        <v>2018</v>
      </c>
      <c r="E75">
        <v>1.65788346393998</v>
      </c>
      <c r="F75">
        <v>2.3622453086648898</v>
      </c>
      <c r="G75">
        <f t="shared" si="1"/>
        <v>0.70436184472490981</v>
      </c>
      <c r="H75">
        <v>9.6177469626261142E-2</v>
      </c>
      <c r="I75" t="s">
        <v>79</v>
      </c>
    </row>
    <row r="76" spans="1:9" x14ac:dyDescent="0.35">
      <c r="A76" t="s">
        <v>36</v>
      </c>
      <c r="B76" t="s">
        <v>53</v>
      </c>
      <c r="C76" t="s">
        <v>38</v>
      </c>
      <c r="D76">
        <v>2018</v>
      </c>
      <c r="E76">
        <v>2.740700342709967</v>
      </c>
      <c r="F76">
        <v>2.3622453086648898</v>
      </c>
      <c r="G76">
        <f t="shared" si="1"/>
        <v>-0.37845503404507719</v>
      </c>
      <c r="H76">
        <v>9.6177469626261142E-2</v>
      </c>
      <c r="I76" t="s">
        <v>79</v>
      </c>
    </row>
    <row r="77" spans="1:9" x14ac:dyDescent="0.35">
      <c r="A77" t="s">
        <v>36</v>
      </c>
      <c r="B77" t="s">
        <v>54</v>
      </c>
      <c r="C77" t="s">
        <v>40</v>
      </c>
      <c r="D77">
        <v>2018</v>
      </c>
      <c r="E77">
        <v>2.8029630500962628</v>
      </c>
      <c r="F77">
        <v>2.3622453086648898</v>
      </c>
      <c r="G77">
        <f t="shared" si="1"/>
        <v>-0.44071774143137299</v>
      </c>
      <c r="H77">
        <v>9.6177469626261142E-2</v>
      </c>
      <c r="I77" t="s">
        <v>79</v>
      </c>
    </row>
    <row r="78" spans="1:9" x14ac:dyDescent="0.35">
      <c r="A78" t="s">
        <v>67</v>
      </c>
      <c r="B78" t="s">
        <v>51</v>
      </c>
      <c r="C78" t="s">
        <v>38</v>
      </c>
      <c r="D78">
        <v>2018</v>
      </c>
      <c r="E78">
        <v>1.802338911935264</v>
      </c>
      <c r="F78">
        <v>1.8605501927054691</v>
      </c>
      <c r="G78">
        <f t="shared" si="1"/>
        <v>5.8211280770205098E-2</v>
      </c>
      <c r="H78">
        <v>0.31283116111195841</v>
      </c>
      <c r="I78" t="s">
        <v>79</v>
      </c>
    </row>
    <row r="79" spans="1:9" x14ac:dyDescent="0.35">
      <c r="A79" t="s">
        <v>67</v>
      </c>
      <c r="B79" t="s">
        <v>52</v>
      </c>
      <c r="C79" t="s">
        <v>40</v>
      </c>
      <c r="D79">
        <v>2018</v>
      </c>
      <c r="E79">
        <v>1.6830527400463651</v>
      </c>
      <c r="F79">
        <v>1.8605501927054691</v>
      </c>
      <c r="G79">
        <f t="shared" si="1"/>
        <v>0.17749745265910399</v>
      </c>
      <c r="H79">
        <v>0.31283116111195841</v>
      </c>
      <c r="I79" t="s">
        <v>79</v>
      </c>
    </row>
    <row r="80" spans="1:9" x14ac:dyDescent="0.35">
      <c r="A80" t="s">
        <v>67</v>
      </c>
      <c r="B80" t="s">
        <v>53</v>
      </c>
      <c r="C80" t="s">
        <v>38</v>
      </c>
      <c r="D80">
        <v>2018</v>
      </c>
      <c r="E80">
        <v>1.5323838734635939</v>
      </c>
      <c r="F80">
        <v>1.8605501927054691</v>
      </c>
      <c r="G80">
        <f t="shared" si="1"/>
        <v>0.32816631924187512</v>
      </c>
      <c r="H80">
        <v>0.31283116111195841</v>
      </c>
      <c r="I80" t="s">
        <v>79</v>
      </c>
    </row>
    <row r="81" spans="1:9" x14ac:dyDescent="0.35">
      <c r="A81" t="s">
        <v>67</v>
      </c>
      <c r="B81" t="s">
        <v>54</v>
      </c>
      <c r="C81" t="s">
        <v>40</v>
      </c>
      <c r="D81">
        <v>2018</v>
      </c>
      <c r="E81">
        <v>1.8083342533319999</v>
      </c>
      <c r="F81">
        <v>1.8605501927054691</v>
      </c>
      <c r="G81">
        <f t="shared" si="1"/>
        <v>5.2215939373469133E-2</v>
      </c>
      <c r="H81">
        <v>0.31283116111195841</v>
      </c>
      <c r="I81" t="s">
        <v>79</v>
      </c>
    </row>
    <row r="82" spans="1:9" x14ac:dyDescent="0.35">
      <c r="A82" t="s">
        <v>69</v>
      </c>
      <c r="B82" t="s">
        <v>51</v>
      </c>
      <c r="C82" t="s">
        <v>38</v>
      </c>
      <c r="D82">
        <v>2018</v>
      </c>
      <c r="E82">
        <v>2.5372488700963869</v>
      </c>
      <c r="F82">
        <v>2.367158610415725</v>
      </c>
      <c r="G82">
        <f t="shared" si="1"/>
        <v>-0.17009025968066194</v>
      </c>
      <c r="H82">
        <v>0.37142317776040679</v>
      </c>
      <c r="I82" t="s">
        <v>79</v>
      </c>
    </row>
    <row r="83" spans="1:9" x14ac:dyDescent="0.35">
      <c r="A83" t="s">
        <v>69</v>
      </c>
      <c r="B83" t="s">
        <v>52</v>
      </c>
      <c r="C83" t="s">
        <v>40</v>
      </c>
      <c r="D83">
        <v>2018</v>
      </c>
      <c r="E83">
        <v>2.3641938543665701</v>
      </c>
      <c r="F83">
        <v>2.367158610415725</v>
      </c>
      <c r="G83">
        <f t="shared" si="1"/>
        <v>2.9647560491548042E-3</v>
      </c>
      <c r="H83">
        <v>0.37142317776040679</v>
      </c>
      <c r="I83" t="s">
        <v>79</v>
      </c>
    </row>
    <row r="84" spans="1:9" x14ac:dyDescent="0.35">
      <c r="A84" t="s">
        <v>69</v>
      </c>
      <c r="B84" t="s">
        <v>53</v>
      </c>
      <c r="C84" t="s">
        <v>38</v>
      </c>
      <c r="D84">
        <v>2018</v>
      </c>
      <c r="E84">
        <v>2.5579730614092582</v>
      </c>
      <c r="F84">
        <v>2.367158610415725</v>
      </c>
      <c r="G84">
        <f t="shared" si="1"/>
        <v>-0.19081445099353322</v>
      </c>
      <c r="H84">
        <v>0.37142317776040679</v>
      </c>
      <c r="I84" t="s">
        <v>79</v>
      </c>
    </row>
    <row r="85" spans="1:9" x14ac:dyDescent="0.35">
      <c r="A85" t="s">
        <v>69</v>
      </c>
      <c r="B85" t="s">
        <v>54</v>
      </c>
      <c r="C85" t="s">
        <v>40</v>
      </c>
      <c r="D85">
        <v>2018</v>
      </c>
      <c r="E85">
        <v>2.8513007726971522</v>
      </c>
      <c r="F85">
        <v>2.367158610415725</v>
      </c>
      <c r="G85">
        <f t="shared" si="1"/>
        <v>-0.48414216228142726</v>
      </c>
      <c r="H85">
        <v>0.37142317776040679</v>
      </c>
      <c r="I85" t="s">
        <v>79</v>
      </c>
    </row>
    <row r="86" spans="1:9" x14ac:dyDescent="0.35">
      <c r="A86" t="s">
        <v>74</v>
      </c>
      <c r="B86" t="s">
        <v>51</v>
      </c>
      <c r="C86" t="s">
        <v>38</v>
      </c>
      <c r="D86">
        <v>2018</v>
      </c>
      <c r="E86">
        <v>3.9055452515839528</v>
      </c>
      <c r="F86">
        <v>7.4446874521163222</v>
      </c>
      <c r="G86">
        <f t="shared" si="1"/>
        <v>3.5391422005323694</v>
      </c>
      <c r="H86">
        <v>6.4420530915232005E-2</v>
      </c>
      <c r="I86" t="s">
        <v>79</v>
      </c>
    </row>
    <row r="87" spans="1:9" x14ac:dyDescent="0.35">
      <c r="A87" t="s">
        <v>74</v>
      </c>
      <c r="B87" t="s">
        <v>52</v>
      </c>
      <c r="C87" t="s">
        <v>40</v>
      </c>
      <c r="D87">
        <v>2018</v>
      </c>
      <c r="E87">
        <v>3.6432271266646499</v>
      </c>
      <c r="F87">
        <v>7.4446874521163222</v>
      </c>
      <c r="G87">
        <f t="shared" si="1"/>
        <v>3.8014603254516723</v>
      </c>
      <c r="H87">
        <v>6.4420530915232005E-2</v>
      </c>
      <c r="I87" t="s">
        <v>79</v>
      </c>
    </row>
    <row r="88" spans="1:9" x14ac:dyDescent="0.35">
      <c r="A88" t="s">
        <v>74</v>
      </c>
      <c r="B88" t="s">
        <v>53</v>
      </c>
      <c r="C88" t="s">
        <v>38</v>
      </c>
      <c r="D88">
        <v>2018</v>
      </c>
      <c r="E88">
        <v>7.8117760082768486</v>
      </c>
      <c r="F88">
        <v>7.4446874521163222</v>
      </c>
      <c r="G88">
        <f t="shared" si="1"/>
        <v>-0.36708855616052638</v>
      </c>
      <c r="H88">
        <v>6.4420530915232005E-2</v>
      </c>
      <c r="I88" t="s">
        <v>79</v>
      </c>
    </row>
    <row r="89" spans="1:9" x14ac:dyDescent="0.35">
      <c r="A89" t="s">
        <v>74</v>
      </c>
      <c r="B89" t="s">
        <v>54</v>
      </c>
      <c r="C89" t="s">
        <v>40</v>
      </c>
      <c r="D89">
        <v>2018</v>
      </c>
      <c r="E89">
        <v>5.6808928025538163</v>
      </c>
      <c r="F89">
        <v>7.4446874521163222</v>
      </c>
      <c r="G89">
        <f t="shared" si="1"/>
        <v>1.7637946495625059</v>
      </c>
      <c r="H89">
        <v>6.4420530915232005E-2</v>
      </c>
      <c r="I89" t="s">
        <v>79</v>
      </c>
    </row>
    <row r="90" spans="1:9" x14ac:dyDescent="0.35">
      <c r="A90" t="s">
        <v>75</v>
      </c>
      <c r="B90" t="s">
        <v>51</v>
      </c>
      <c r="C90" t="s">
        <v>38</v>
      </c>
      <c r="D90">
        <v>2018</v>
      </c>
      <c r="E90">
        <v>1.301033595779133</v>
      </c>
      <c r="F90">
        <v>0.67915616097696463</v>
      </c>
      <c r="G90">
        <f t="shared" si="1"/>
        <v>-0.62187743480216839</v>
      </c>
      <c r="H90">
        <v>7.9752209883890743E-2</v>
      </c>
      <c r="I90" t="s">
        <v>79</v>
      </c>
    </row>
    <row r="91" spans="1:9" x14ac:dyDescent="0.35">
      <c r="A91" t="s">
        <v>75</v>
      </c>
      <c r="B91" t="s">
        <v>52</v>
      </c>
      <c r="C91" t="s">
        <v>40</v>
      </c>
      <c r="D91">
        <v>2018</v>
      </c>
      <c r="E91">
        <v>1.1322194305175119</v>
      </c>
      <c r="F91">
        <v>0.67915616097696463</v>
      </c>
      <c r="G91">
        <f t="shared" si="1"/>
        <v>-0.45306326954054732</v>
      </c>
      <c r="H91">
        <v>7.9752209883890743E-2</v>
      </c>
      <c r="I91" t="s">
        <v>79</v>
      </c>
    </row>
    <row r="92" spans="1:9" x14ac:dyDescent="0.35">
      <c r="A92" t="s">
        <v>75</v>
      </c>
      <c r="B92" t="s">
        <v>53</v>
      </c>
      <c r="C92" t="s">
        <v>38</v>
      </c>
      <c r="D92">
        <v>2018</v>
      </c>
      <c r="E92">
        <v>1.148974792689472</v>
      </c>
      <c r="F92">
        <v>0.67915616097696463</v>
      </c>
      <c r="G92">
        <f t="shared" si="1"/>
        <v>-0.46981863171250737</v>
      </c>
      <c r="H92">
        <v>7.9752209883890743E-2</v>
      </c>
      <c r="I92" t="s">
        <v>79</v>
      </c>
    </row>
    <row r="93" spans="1:9" x14ac:dyDescent="0.35">
      <c r="A93" t="s">
        <v>75</v>
      </c>
      <c r="B93" t="s">
        <v>54</v>
      </c>
      <c r="C93" t="s">
        <v>40</v>
      </c>
      <c r="D93">
        <v>2018</v>
      </c>
      <c r="E93">
        <v>1.453547985332837</v>
      </c>
      <c r="F93">
        <v>0.67915616097696463</v>
      </c>
      <c r="G93">
        <f t="shared" si="1"/>
        <v>-0.77439182435587239</v>
      </c>
      <c r="H93">
        <v>7.9752209883890743E-2</v>
      </c>
      <c r="I93" t="s">
        <v>79</v>
      </c>
    </row>
    <row r="94" spans="1:9" x14ac:dyDescent="0.35">
      <c r="A94" t="s">
        <v>77</v>
      </c>
      <c r="B94" t="s">
        <v>51</v>
      </c>
      <c r="C94" t="s">
        <v>38</v>
      </c>
      <c r="D94">
        <v>2018</v>
      </c>
      <c r="E94">
        <v>2.0625112156605669</v>
      </c>
      <c r="F94">
        <v>2.903725267458769</v>
      </c>
      <c r="G94">
        <f t="shared" si="1"/>
        <v>0.84121405179820208</v>
      </c>
      <c r="H94">
        <v>0.22120896228110681</v>
      </c>
      <c r="I94" t="s">
        <v>79</v>
      </c>
    </row>
    <row r="95" spans="1:9" x14ac:dyDescent="0.35">
      <c r="A95" t="s">
        <v>77</v>
      </c>
      <c r="B95" t="s">
        <v>52</v>
      </c>
      <c r="C95" t="s">
        <v>40</v>
      </c>
      <c r="D95">
        <v>2018</v>
      </c>
      <c r="E95">
        <v>1.5677461936429939</v>
      </c>
      <c r="F95">
        <v>2.903725267458769</v>
      </c>
      <c r="G95">
        <f t="shared" si="1"/>
        <v>1.3359790738157751</v>
      </c>
      <c r="H95">
        <v>0.22120896228110681</v>
      </c>
      <c r="I95" t="s">
        <v>79</v>
      </c>
    </row>
    <row r="96" spans="1:9" x14ac:dyDescent="0.35">
      <c r="A96" t="s">
        <v>77</v>
      </c>
      <c r="B96" t="s">
        <v>53</v>
      </c>
      <c r="C96" t="s">
        <v>38</v>
      </c>
      <c r="D96">
        <v>2018</v>
      </c>
      <c r="E96">
        <v>2.1672748154352162</v>
      </c>
      <c r="F96">
        <v>2.903725267458769</v>
      </c>
      <c r="G96">
        <f t="shared" si="1"/>
        <v>0.73645045202355286</v>
      </c>
      <c r="H96">
        <v>0.22120896228110681</v>
      </c>
      <c r="I96" t="s">
        <v>79</v>
      </c>
    </row>
    <row r="97" spans="1:9" x14ac:dyDescent="0.35">
      <c r="A97" t="s">
        <v>77</v>
      </c>
      <c r="B97" t="s">
        <v>54</v>
      </c>
      <c r="C97" t="s">
        <v>40</v>
      </c>
      <c r="D97">
        <v>2018</v>
      </c>
      <c r="E97">
        <v>2.3337380052623979</v>
      </c>
      <c r="F97">
        <v>2.903725267458769</v>
      </c>
      <c r="G97">
        <f t="shared" si="1"/>
        <v>0.56998726219637108</v>
      </c>
      <c r="H97">
        <v>0.22120896228110681</v>
      </c>
      <c r="I97" t="s">
        <v>79</v>
      </c>
    </row>
    <row r="98" spans="1:9" x14ac:dyDescent="0.35">
      <c r="A98" t="s">
        <v>36</v>
      </c>
      <c r="B98" t="s">
        <v>53</v>
      </c>
      <c r="C98" t="s">
        <v>38</v>
      </c>
      <c r="D98">
        <v>2019</v>
      </c>
      <c r="E98">
        <v>1.956993039697497</v>
      </c>
      <c r="F98">
        <v>1.6857084827373969</v>
      </c>
      <c r="G98">
        <f t="shared" si="1"/>
        <v>-0.27128455696010012</v>
      </c>
      <c r="H98">
        <v>0.1056000115914431</v>
      </c>
      <c r="I98" t="s">
        <v>79</v>
      </c>
    </row>
    <row r="99" spans="1:9" x14ac:dyDescent="0.35">
      <c r="A99" t="s">
        <v>36</v>
      </c>
      <c r="B99" t="s">
        <v>54</v>
      </c>
      <c r="C99" t="s">
        <v>40</v>
      </c>
      <c r="D99">
        <v>2019</v>
      </c>
      <c r="E99">
        <v>2.158686474515914</v>
      </c>
      <c r="F99">
        <v>1.6857084827373969</v>
      </c>
      <c r="G99">
        <f t="shared" si="1"/>
        <v>-0.47297799177851707</v>
      </c>
      <c r="H99">
        <v>0.1056000115914431</v>
      </c>
      <c r="I99" t="s">
        <v>79</v>
      </c>
    </row>
    <row r="100" spans="1:9" x14ac:dyDescent="0.35">
      <c r="A100" t="s">
        <v>36</v>
      </c>
      <c r="B100" t="s">
        <v>55</v>
      </c>
      <c r="C100" t="s">
        <v>38</v>
      </c>
      <c r="D100">
        <v>2019</v>
      </c>
      <c r="E100">
        <v>1.548243112232184</v>
      </c>
      <c r="F100">
        <v>1.6857084827373969</v>
      </c>
      <c r="G100">
        <f t="shared" si="1"/>
        <v>0.1374653705052129</v>
      </c>
      <c r="H100">
        <v>0.1056000115914431</v>
      </c>
      <c r="I100" t="s">
        <v>79</v>
      </c>
    </row>
    <row r="101" spans="1:9" x14ac:dyDescent="0.35">
      <c r="A101" t="s">
        <v>36</v>
      </c>
      <c r="B101" t="s">
        <v>56</v>
      </c>
      <c r="C101" t="s">
        <v>40</v>
      </c>
      <c r="D101">
        <v>2019</v>
      </c>
      <c r="E101">
        <v>1.5232710630633359</v>
      </c>
      <c r="F101">
        <v>1.6857084827373969</v>
      </c>
      <c r="G101">
        <f t="shared" si="1"/>
        <v>0.162437419674061</v>
      </c>
      <c r="H101">
        <v>0.1056000115914431</v>
      </c>
      <c r="I101" t="s">
        <v>79</v>
      </c>
    </row>
    <row r="102" spans="1:9" x14ac:dyDescent="0.35">
      <c r="A102" t="s">
        <v>67</v>
      </c>
      <c r="B102" t="s">
        <v>53</v>
      </c>
      <c r="C102" t="s">
        <v>38</v>
      </c>
      <c r="D102">
        <v>2019</v>
      </c>
      <c r="E102">
        <v>1.5152383923937141</v>
      </c>
      <c r="F102">
        <v>2.4135230125478802</v>
      </c>
      <c r="G102">
        <f t="shared" si="1"/>
        <v>0.8982846201541661</v>
      </c>
      <c r="H102">
        <v>0.35492531336208027</v>
      </c>
      <c r="I102" t="s">
        <v>79</v>
      </c>
    </row>
    <row r="103" spans="1:9" x14ac:dyDescent="0.35">
      <c r="A103" t="s">
        <v>67</v>
      </c>
      <c r="B103" t="s">
        <v>54</v>
      </c>
      <c r="C103" t="s">
        <v>40</v>
      </c>
      <c r="D103">
        <v>2019</v>
      </c>
      <c r="E103">
        <v>1.7329380565713759</v>
      </c>
      <c r="F103">
        <v>2.4135230125478802</v>
      </c>
      <c r="G103">
        <f t="shared" si="1"/>
        <v>0.68058495597650426</v>
      </c>
      <c r="H103">
        <v>0.35492531336208027</v>
      </c>
      <c r="I103" t="s">
        <v>79</v>
      </c>
    </row>
    <row r="104" spans="1:9" x14ac:dyDescent="0.35">
      <c r="A104" t="s">
        <v>67</v>
      </c>
      <c r="B104" t="s">
        <v>55</v>
      </c>
      <c r="C104" t="s">
        <v>38</v>
      </c>
      <c r="D104">
        <v>2019</v>
      </c>
      <c r="E104">
        <v>1.136502566631536</v>
      </c>
      <c r="F104">
        <v>2.4135230125478802</v>
      </c>
      <c r="G104">
        <f t="shared" si="1"/>
        <v>1.2770204459163441</v>
      </c>
      <c r="H104">
        <v>0.35492531336208027</v>
      </c>
      <c r="I104" t="s">
        <v>79</v>
      </c>
    </row>
    <row r="105" spans="1:9" x14ac:dyDescent="0.35">
      <c r="A105" t="s">
        <v>67</v>
      </c>
      <c r="B105" t="s">
        <v>56</v>
      </c>
      <c r="C105" t="s">
        <v>40</v>
      </c>
      <c r="D105">
        <v>2019</v>
      </c>
      <c r="E105">
        <v>1.2263795589823929</v>
      </c>
      <c r="F105">
        <v>2.4135230125478802</v>
      </c>
      <c r="G105">
        <f t="shared" si="1"/>
        <v>1.1871434535654872</v>
      </c>
      <c r="H105">
        <v>0.35492531336208027</v>
      </c>
      <c r="I105" t="s">
        <v>79</v>
      </c>
    </row>
    <row r="106" spans="1:9" x14ac:dyDescent="0.35">
      <c r="A106" t="s">
        <v>69</v>
      </c>
      <c r="B106" t="s">
        <v>53</v>
      </c>
      <c r="C106" t="s">
        <v>38</v>
      </c>
      <c r="D106">
        <v>2019</v>
      </c>
      <c r="E106">
        <v>2.1553608163649152</v>
      </c>
      <c r="F106">
        <v>1.9422910480512949</v>
      </c>
      <c r="G106">
        <f t="shared" si="1"/>
        <v>-0.21306976831362023</v>
      </c>
      <c r="H106">
        <v>0.4611968442438833</v>
      </c>
      <c r="I106" t="s">
        <v>79</v>
      </c>
    </row>
    <row r="107" spans="1:9" x14ac:dyDescent="0.35">
      <c r="A107" t="s">
        <v>69</v>
      </c>
      <c r="B107" t="s">
        <v>54</v>
      </c>
      <c r="C107" t="s">
        <v>40</v>
      </c>
      <c r="D107">
        <v>2019</v>
      </c>
      <c r="E107">
        <v>2.355960635013798</v>
      </c>
      <c r="F107">
        <v>1.9422910480512949</v>
      </c>
      <c r="G107">
        <f t="shared" si="1"/>
        <v>-0.41366958696250311</v>
      </c>
      <c r="H107">
        <v>0.4611968442438833</v>
      </c>
      <c r="I107" t="s">
        <v>79</v>
      </c>
    </row>
    <row r="108" spans="1:9" x14ac:dyDescent="0.35">
      <c r="A108" t="s">
        <v>69</v>
      </c>
      <c r="B108" t="s">
        <v>55</v>
      </c>
      <c r="C108" t="s">
        <v>38</v>
      </c>
      <c r="D108">
        <v>2019</v>
      </c>
      <c r="E108">
        <v>1.870053317687548</v>
      </c>
      <c r="F108">
        <v>1.9422910480512949</v>
      </c>
      <c r="G108">
        <f t="shared" si="1"/>
        <v>7.2237730363746921E-2</v>
      </c>
      <c r="H108">
        <v>0.4611968442438833</v>
      </c>
      <c r="I108" t="s">
        <v>79</v>
      </c>
    </row>
    <row r="109" spans="1:9" x14ac:dyDescent="0.35">
      <c r="A109" t="s">
        <v>69</v>
      </c>
      <c r="B109" t="s">
        <v>56</v>
      </c>
      <c r="C109" t="s">
        <v>40</v>
      </c>
      <c r="D109">
        <v>2019</v>
      </c>
      <c r="E109">
        <v>2.0959399874803002</v>
      </c>
      <c r="F109">
        <v>1.9422910480512949</v>
      </c>
      <c r="G109">
        <f t="shared" si="1"/>
        <v>-0.15364893942900526</v>
      </c>
      <c r="H109">
        <v>0.4611968442438833</v>
      </c>
      <c r="I109" t="s">
        <v>79</v>
      </c>
    </row>
    <row r="110" spans="1:9" x14ac:dyDescent="0.35">
      <c r="A110" t="s">
        <v>74</v>
      </c>
      <c r="B110" t="s">
        <v>53</v>
      </c>
      <c r="C110" t="s">
        <v>38</v>
      </c>
      <c r="D110">
        <v>2019</v>
      </c>
      <c r="E110">
        <v>4.5299756937161373</v>
      </c>
      <c r="F110">
        <v>4.8237638263446936</v>
      </c>
      <c r="G110">
        <f t="shared" si="1"/>
        <v>0.2937881326285563</v>
      </c>
      <c r="H110">
        <v>8.451228512832766E-2</v>
      </c>
      <c r="I110" t="s">
        <v>79</v>
      </c>
    </row>
    <row r="111" spans="1:9" x14ac:dyDescent="0.35">
      <c r="A111" t="s">
        <v>74</v>
      </c>
      <c r="B111" t="s">
        <v>54</v>
      </c>
      <c r="C111" t="s">
        <v>40</v>
      </c>
      <c r="D111">
        <v>2019</v>
      </c>
      <c r="E111">
        <v>4.058674421459818</v>
      </c>
      <c r="F111">
        <v>4.8237638263446936</v>
      </c>
      <c r="G111">
        <f t="shared" si="1"/>
        <v>0.76508940488487553</v>
      </c>
      <c r="H111">
        <v>8.451228512832766E-2</v>
      </c>
      <c r="I111" t="s">
        <v>79</v>
      </c>
    </row>
    <row r="112" spans="1:9" x14ac:dyDescent="0.35">
      <c r="A112" t="s">
        <v>74</v>
      </c>
      <c r="B112" t="s">
        <v>55</v>
      </c>
      <c r="C112" t="s">
        <v>38</v>
      </c>
      <c r="D112">
        <v>2019</v>
      </c>
      <c r="E112">
        <v>5.6355935792373302</v>
      </c>
      <c r="F112">
        <v>4.8237638263446936</v>
      </c>
      <c r="G112">
        <f t="shared" si="1"/>
        <v>-0.81182975289263659</v>
      </c>
      <c r="H112">
        <v>8.451228512832766E-2</v>
      </c>
      <c r="I112" t="s">
        <v>79</v>
      </c>
    </row>
    <row r="113" spans="1:9" x14ac:dyDescent="0.35">
      <c r="A113" t="s">
        <v>74</v>
      </c>
      <c r="B113" t="s">
        <v>56</v>
      </c>
      <c r="C113" t="s">
        <v>40</v>
      </c>
      <c r="D113">
        <v>2019</v>
      </c>
      <c r="E113">
        <v>3.759569376747196</v>
      </c>
      <c r="F113">
        <v>4.8237638263446936</v>
      </c>
      <c r="G113">
        <f t="shared" si="1"/>
        <v>1.0641944495974975</v>
      </c>
      <c r="H113">
        <v>8.451228512832766E-2</v>
      </c>
      <c r="I113" t="s">
        <v>79</v>
      </c>
    </row>
    <row r="114" spans="1:9" x14ac:dyDescent="0.35">
      <c r="A114" t="s">
        <v>75</v>
      </c>
      <c r="B114" t="s">
        <v>53</v>
      </c>
      <c r="C114" t="s">
        <v>38</v>
      </c>
      <c r="D114">
        <v>2019</v>
      </c>
      <c r="E114">
        <v>1.1508168253350211</v>
      </c>
      <c r="F114">
        <v>0.41751152968335331</v>
      </c>
      <c r="G114">
        <f t="shared" si="1"/>
        <v>-0.73330529565166769</v>
      </c>
      <c r="H114">
        <v>7.456030390779872E-2</v>
      </c>
      <c r="I114" t="s">
        <v>79</v>
      </c>
    </row>
    <row r="115" spans="1:9" x14ac:dyDescent="0.35">
      <c r="A115" t="s">
        <v>75</v>
      </c>
      <c r="B115" t="s">
        <v>54</v>
      </c>
      <c r="C115" t="s">
        <v>40</v>
      </c>
      <c r="D115">
        <v>2019</v>
      </c>
      <c r="E115">
        <v>1.208894526316961</v>
      </c>
      <c r="F115">
        <v>0.41751152968335331</v>
      </c>
      <c r="G115">
        <f t="shared" si="1"/>
        <v>-0.79138299663360767</v>
      </c>
      <c r="H115">
        <v>7.456030390779872E-2</v>
      </c>
      <c r="I115" t="s">
        <v>79</v>
      </c>
    </row>
    <row r="116" spans="1:9" x14ac:dyDescent="0.35">
      <c r="A116" t="s">
        <v>75</v>
      </c>
      <c r="B116" t="s">
        <v>55</v>
      </c>
      <c r="C116" t="s">
        <v>38</v>
      </c>
      <c r="D116">
        <v>2019</v>
      </c>
      <c r="E116">
        <v>0.1046834039854172</v>
      </c>
      <c r="F116">
        <v>0.41751152968335331</v>
      </c>
      <c r="G116">
        <f t="shared" si="1"/>
        <v>0.31282812569793611</v>
      </c>
      <c r="H116">
        <v>7.456030390779872E-2</v>
      </c>
      <c r="I116" t="s">
        <v>79</v>
      </c>
    </row>
    <row r="117" spans="1:9" x14ac:dyDescent="0.35">
      <c r="A117" t="s">
        <v>75</v>
      </c>
      <c r="B117" t="s">
        <v>56</v>
      </c>
      <c r="C117" t="s">
        <v>40</v>
      </c>
      <c r="D117">
        <v>2019</v>
      </c>
      <c r="E117">
        <v>0.1006276066420453</v>
      </c>
      <c r="F117">
        <v>0.41751152968335331</v>
      </c>
      <c r="G117">
        <f t="shared" si="1"/>
        <v>0.31688392304130802</v>
      </c>
      <c r="H117">
        <v>7.456030390779872E-2</v>
      </c>
      <c r="I117" t="s">
        <v>79</v>
      </c>
    </row>
    <row r="118" spans="1:9" x14ac:dyDescent="0.35">
      <c r="A118" t="s">
        <v>77</v>
      </c>
      <c r="B118" t="s">
        <v>53</v>
      </c>
      <c r="C118" t="s">
        <v>38</v>
      </c>
      <c r="D118">
        <v>2019</v>
      </c>
      <c r="E118">
        <v>1.839454993980616</v>
      </c>
      <c r="F118">
        <v>2.7086922955372188</v>
      </c>
      <c r="G118">
        <f t="shared" si="1"/>
        <v>0.86923730155660284</v>
      </c>
      <c r="H118">
        <v>0.39465021894302132</v>
      </c>
      <c r="I118" t="s">
        <v>79</v>
      </c>
    </row>
    <row r="119" spans="1:9" x14ac:dyDescent="0.35">
      <c r="A119" t="s">
        <v>77</v>
      </c>
      <c r="B119" t="s">
        <v>54</v>
      </c>
      <c r="C119" t="s">
        <v>40</v>
      </c>
      <c r="D119">
        <v>2019</v>
      </c>
      <c r="E119">
        <v>2.0372674050813671</v>
      </c>
      <c r="F119">
        <v>2.7086922955372188</v>
      </c>
      <c r="G119">
        <f t="shared" si="1"/>
        <v>0.67142489045585174</v>
      </c>
      <c r="H119">
        <v>0.39465021894302132</v>
      </c>
      <c r="I119" t="s">
        <v>79</v>
      </c>
    </row>
    <row r="120" spans="1:9" x14ac:dyDescent="0.35">
      <c r="A120" t="s">
        <v>77</v>
      </c>
      <c r="B120" t="s">
        <v>55</v>
      </c>
      <c r="C120" t="s">
        <v>38</v>
      </c>
      <c r="D120">
        <v>2019</v>
      </c>
      <c r="E120">
        <v>1.950475273387009</v>
      </c>
      <c r="F120">
        <v>2.7086922955372188</v>
      </c>
      <c r="G120">
        <f t="shared" si="1"/>
        <v>0.75821702215020981</v>
      </c>
      <c r="H120">
        <v>0.39465021894302132</v>
      </c>
      <c r="I120" t="s">
        <v>79</v>
      </c>
    </row>
    <row r="121" spans="1:9" x14ac:dyDescent="0.35">
      <c r="A121" t="s">
        <v>77</v>
      </c>
      <c r="B121" t="s">
        <v>56</v>
      </c>
      <c r="C121" t="s">
        <v>40</v>
      </c>
      <c r="D121">
        <v>2019</v>
      </c>
      <c r="E121">
        <v>1.672451894689297</v>
      </c>
      <c r="F121">
        <v>2.7086922955372188</v>
      </c>
      <c r="G121">
        <f t="shared" si="1"/>
        <v>1.0362404008479218</v>
      </c>
      <c r="H121">
        <v>0.39465021894302132</v>
      </c>
      <c r="I121" t="s">
        <v>79</v>
      </c>
    </row>
    <row r="122" spans="1:9" x14ac:dyDescent="0.35">
      <c r="A122" t="s">
        <v>36</v>
      </c>
      <c r="B122" t="s">
        <v>55</v>
      </c>
      <c r="C122" t="s">
        <v>38</v>
      </c>
      <c r="D122">
        <v>2020</v>
      </c>
      <c r="E122">
        <v>1.3947816095145389</v>
      </c>
      <c r="F122">
        <v>-6.5900132771165296</v>
      </c>
      <c r="G122">
        <f t="shared" si="1"/>
        <v>-7.9847948866310681</v>
      </c>
      <c r="H122">
        <v>0.12677194132347211</v>
      </c>
      <c r="I122" t="s">
        <v>79</v>
      </c>
    </row>
    <row r="123" spans="1:9" x14ac:dyDescent="0.35">
      <c r="A123" t="s">
        <v>36</v>
      </c>
      <c r="B123" t="s">
        <v>56</v>
      </c>
      <c r="C123" t="s">
        <v>40</v>
      </c>
      <c r="D123">
        <v>2020</v>
      </c>
      <c r="E123">
        <v>1.6306467331163921</v>
      </c>
      <c r="F123">
        <v>-6.5900132771165296</v>
      </c>
      <c r="G123">
        <f t="shared" si="1"/>
        <v>-8.2206600102329226</v>
      </c>
      <c r="H123">
        <v>0.12677194132347211</v>
      </c>
      <c r="I123" t="s">
        <v>79</v>
      </c>
    </row>
    <row r="124" spans="1:9" x14ac:dyDescent="0.35">
      <c r="A124" t="s">
        <v>36</v>
      </c>
      <c r="B124" t="s">
        <v>57</v>
      </c>
      <c r="C124" t="s">
        <v>38</v>
      </c>
      <c r="D124">
        <v>2020</v>
      </c>
      <c r="E124">
        <v>-7.0511951651758391</v>
      </c>
      <c r="F124">
        <v>-6.5900132771165296</v>
      </c>
      <c r="G124">
        <f t="shared" si="1"/>
        <v>0.46118188805930949</v>
      </c>
      <c r="H124">
        <v>0.12677194132347211</v>
      </c>
      <c r="I124" t="s">
        <v>79</v>
      </c>
    </row>
    <row r="125" spans="1:9" x14ac:dyDescent="0.35">
      <c r="A125" t="s">
        <v>36</v>
      </c>
      <c r="B125" t="s">
        <v>58</v>
      </c>
      <c r="C125" t="s">
        <v>40</v>
      </c>
      <c r="D125">
        <v>2020</v>
      </c>
      <c r="E125">
        <v>-5.5131277655310118</v>
      </c>
      <c r="F125">
        <v>-6.5900132771165296</v>
      </c>
      <c r="G125">
        <f t="shared" si="1"/>
        <v>-1.0768855115855178</v>
      </c>
      <c r="H125">
        <v>0.12677194132347211</v>
      </c>
      <c r="I125" t="s">
        <v>79</v>
      </c>
    </row>
    <row r="126" spans="1:9" x14ac:dyDescent="0.35">
      <c r="A126" t="s">
        <v>69</v>
      </c>
      <c r="B126" t="s">
        <v>55</v>
      </c>
      <c r="C126" t="s">
        <v>38</v>
      </c>
      <c r="D126">
        <v>2020</v>
      </c>
      <c r="E126">
        <v>1.490576223487361</v>
      </c>
      <c r="F126">
        <v>-11.58616521695834</v>
      </c>
      <c r="G126">
        <f t="shared" si="1"/>
        <v>-13.076741440445701</v>
      </c>
      <c r="H126">
        <v>0.60415892118981396</v>
      </c>
      <c r="I126" t="s">
        <v>79</v>
      </c>
    </row>
    <row r="127" spans="1:9" x14ac:dyDescent="0.35">
      <c r="A127" t="s">
        <v>69</v>
      </c>
      <c r="B127" t="s">
        <v>56</v>
      </c>
      <c r="C127" t="s">
        <v>40</v>
      </c>
      <c r="D127">
        <v>2020</v>
      </c>
      <c r="E127">
        <v>1.863359760106897</v>
      </c>
      <c r="F127">
        <v>-11.58616521695834</v>
      </c>
      <c r="G127">
        <f t="shared" si="1"/>
        <v>-13.449524977065238</v>
      </c>
      <c r="H127">
        <v>0.60415892118981396</v>
      </c>
      <c r="I127" t="s">
        <v>79</v>
      </c>
    </row>
    <row r="128" spans="1:9" x14ac:dyDescent="0.35">
      <c r="A128" t="s">
        <v>69</v>
      </c>
      <c r="B128" t="s">
        <v>57</v>
      </c>
      <c r="C128" t="s">
        <v>38</v>
      </c>
      <c r="D128">
        <v>2020</v>
      </c>
      <c r="E128">
        <v>-12.410533977614319</v>
      </c>
      <c r="F128">
        <v>-11.58616521695834</v>
      </c>
      <c r="G128">
        <f t="shared" si="1"/>
        <v>0.82436876065597886</v>
      </c>
      <c r="H128">
        <v>0.60415892118981396</v>
      </c>
      <c r="I128" t="s">
        <v>79</v>
      </c>
    </row>
    <row r="129" spans="1:9" x14ac:dyDescent="0.35">
      <c r="A129" t="s">
        <v>69</v>
      </c>
      <c r="B129" t="s">
        <v>58</v>
      </c>
      <c r="C129" t="s">
        <v>40</v>
      </c>
      <c r="D129">
        <v>2020</v>
      </c>
      <c r="E129">
        <v>-9.3843459766278272</v>
      </c>
      <c r="F129">
        <v>-11.58616521695834</v>
      </c>
      <c r="G129">
        <f t="shared" si="1"/>
        <v>-2.2018192403305132</v>
      </c>
      <c r="H129">
        <v>0.60415892118981396</v>
      </c>
      <c r="I129" t="s">
        <v>79</v>
      </c>
    </row>
    <row r="130" spans="1:9" x14ac:dyDescent="0.35">
      <c r="A130" t="s">
        <v>74</v>
      </c>
      <c r="B130" t="s">
        <v>55</v>
      </c>
      <c r="C130" t="s">
        <v>38</v>
      </c>
      <c r="D130">
        <v>2020</v>
      </c>
      <c r="E130">
        <v>3.528571869780794</v>
      </c>
      <c r="F130">
        <v>6.9863814303713827</v>
      </c>
      <c r="G130">
        <f t="shared" ref="G130:G193" si="2">IF(OR(F130="",E130=""),"",F130-E130)</f>
        <v>3.4578095605905887</v>
      </c>
      <c r="H130">
        <v>8.2963646418187362E-2</v>
      </c>
      <c r="I130" t="s">
        <v>79</v>
      </c>
    </row>
    <row r="131" spans="1:9" x14ac:dyDescent="0.35">
      <c r="A131" t="s">
        <v>74</v>
      </c>
      <c r="B131" t="s">
        <v>56</v>
      </c>
      <c r="C131" t="s">
        <v>40</v>
      </c>
      <c r="D131">
        <v>2020</v>
      </c>
      <c r="E131">
        <v>3.3676156234285992</v>
      </c>
      <c r="F131">
        <v>6.9863814303713827</v>
      </c>
      <c r="G131">
        <f t="shared" si="2"/>
        <v>3.6187658069427835</v>
      </c>
      <c r="H131">
        <v>8.2963646418187362E-2</v>
      </c>
      <c r="I131" t="s">
        <v>79</v>
      </c>
    </row>
    <row r="132" spans="1:9" x14ac:dyDescent="0.35">
      <c r="A132" t="s">
        <v>74</v>
      </c>
      <c r="B132" t="s">
        <v>57</v>
      </c>
      <c r="C132" t="s">
        <v>38</v>
      </c>
      <c r="D132">
        <v>2020</v>
      </c>
      <c r="E132">
        <v>-2.3373996171914708</v>
      </c>
      <c r="F132">
        <v>6.9863814303713827</v>
      </c>
      <c r="G132">
        <f t="shared" si="2"/>
        <v>9.3237810475628535</v>
      </c>
      <c r="H132">
        <v>8.2963646418187362E-2</v>
      </c>
      <c r="I132" t="s">
        <v>79</v>
      </c>
    </row>
    <row r="133" spans="1:9" x14ac:dyDescent="0.35">
      <c r="A133" t="s">
        <v>74</v>
      </c>
      <c r="B133" t="s">
        <v>58</v>
      </c>
      <c r="C133" t="s">
        <v>40</v>
      </c>
      <c r="D133">
        <v>2020</v>
      </c>
      <c r="E133">
        <v>-7.9470480138547073</v>
      </c>
      <c r="F133">
        <v>6.9863814303713827</v>
      </c>
      <c r="G133">
        <f t="shared" si="2"/>
        <v>14.933429444226089</v>
      </c>
      <c r="H133">
        <v>8.2963646418187362E-2</v>
      </c>
      <c r="I133" t="s">
        <v>79</v>
      </c>
    </row>
    <row r="134" spans="1:9" x14ac:dyDescent="0.35">
      <c r="A134" t="s">
        <v>75</v>
      </c>
      <c r="B134" t="s">
        <v>55</v>
      </c>
      <c r="C134" t="s">
        <v>38</v>
      </c>
      <c r="D134">
        <v>2020</v>
      </c>
      <c r="E134">
        <v>0.43236292909316631</v>
      </c>
      <c r="F134">
        <v>-9.3783767522421471</v>
      </c>
      <c r="G134">
        <f t="shared" si="2"/>
        <v>-9.8107396813353134</v>
      </c>
      <c r="H134">
        <v>0.10567749457490171</v>
      </c>
      <c r="I134" t="s">
        <v>79</v>
      </c>
    </row>
    <row r="135" spans="1:9" x14ac:dyDescent="0.35">
      <c r="A135" t="s">
        <v>75</v>
      </c>
      <c r="B135" t="s">
        <v>56</v>
      </c>
      <c r="C135" t="s">
        <v>40</v>
      </c>
      <c r="D135">
        <v>2020</v>
      </c>
      <c r="E135">
        <v>0.71178912334750599</v>
      </c>
      <c r="F135">
        <v>-9.3783767522421471</v>
      </c>
      <c r="G135">
        <f t="shared" si="2"/>
        <v>-10.090165875589653</v>
      </c>
      <c r="H135">
        <v>0.10567749457490171</v>
      </c>
      <c r="I135" t="s">
        <v>79</v>
      </c>
    </row>
    <row r="136" spans="1:9" x14ac:dyDescent="0.35">
      <c r="A136" t="s">
        <v>75</v>
      </c>
      <c r="B136" t="s">
        <v>57</v>
      </c>
      <c r="C136" t="s">
        <v>38</v>
      </c>
      <c r="D136">
        <v>2020</v>
      </c>
      <c r="E136">
        <v>-9.8515454699187543</v>
      </c>
      <c r="F136">
        <v>-9.3783767522421471</v>
      </c>
      <c r="G136">
        <f t="shared" si="2"/>
        <v>0.47316871767660729</v>
      </c>
      <c r="H136">
        <v>0.10567749457490171</v>
      </c>
      <c r="I136" t="s">
        <v>79</v>
      </c>
    </row>
    <row r="137" spans="1:9" x14ac:dyDescent="0.35">
      <c r="A137" t="s">
        <v>75</v>
      </c>
      <c r="B137" t="s">
        <v>58</v>
      </c>
      <c r="C137" t="s">
        <v>40</v>
      </c>
      <c r="D137">
        <v>2020</v>
      </c>
      <c r="E137">
        <v>-9.517990850094149</v>
      </c>
      <c r="F137">
        <v>-9.3783767522421471</v>
      </c>
      <c r="G137">
        <f t="shared" si="2"/>
        <v>0.13961409785200196</v>
      </c>
      <c r="H137">
        <v>0.10567749457490171</v>
      </c>
      <c r="I137" t="s">
        <v>79</v>
      </c>
    </row>
    <row r="138" spans="1:9" x14ac:dyDescent="0.35">
      <c r="A138" t="s">
        <v>77</v>
      </c>
      <c r="B138" t="s">
        <v>55</v>
      </c>
      <c r="C138" t="s">
        <v>38</v>
      </c>
      <c r="D138">
        <v>2020</v>
      </c>
      <c r="E138">
        <v>1.699885517193356</v>
      </c>
      <c r="F138">
        <v>-8.5609032033360464</v>
      </c>
      <c r="G138">
        <f t="shared" si="2"/>
        <v>-10.260788720529403</v>
      </c>
      <c r="H138">
        <v>0.25858418693050872</v>
      </c>
      <c r="I138" t="s">
        <v>79</v>
      </c>
    </row>
    <row r="139" spans="1:9" x14ac:dyDescent="0.35">
      <c r="A139" t="s">
        <v>77</v>
      </c>
      <c r="B139" t="s">
        <v>56</v>
      </c>
      <c r="C139" t="s">
        <v>40</v>
      </c>
      <c r="D139">
        <v>2020</v>
      </c>
      <c r="E139">
        <v>1.7153996309464681</v>
      </c>
      <c r="F139">
        <v>-8.5609032033360464</v>
      </c>
      <c r="G139">
        <f t="shared" si="2"/>
        <v>-10.276302834282514</v>
      </c>
      <c r="H139">
        <v>0.25858418693050872</v>
      </c>
      <c r="I139" t="s">
        <v>79</v>
      </c>
    </row>
    <row r="140" spans="1:9" x14ac:dyDescent="0.35">
      <c r="A140" t="s">
        <v>77</v>
      </c>
      <c r="B140" t="s">
        <v>57</v>
      </c>
      <c r="C140" t="s">
        <v>38</v>
      </c>
      <c r="D140">
        <v>2020</v>
      </c>
      <c r="E140">
        <v>-9.2905567939445373</v>
      </c>
      <c r="F140">
        <v>-8.5609032033360464</v>
      </c>
      <c r="G140">
        <f t="shared" si="2"/>
        <v>0.72965359060849089</v>
      </c>
      <c r="H140">
        <v>0.25858418693050872</v>
      </c>
      <c r="I140" t="s">
        <v>79</v>
      </c>
    </row>
    <row r="141" spans="1:9" x14ac:dyDescent="0.35">
      <c r="A141" t="s">
        <v>77</v>
      </c>
      <c r="B141" t="s">
        <v>58</v>
      </c>
      <c r="C141" t="s">
        <v>40</v>
      </c>
      <c r="D141">
        <v>2020</v>
      </c>
      <c r="E141">
        <v>-6.7651809613411107</v>
      </c>
      <c r="F141">
        <v>-8.5609032033360464</v>
      </c>
      <c r="G141">
        <f t="shared" si="2"/>
        <v>-1.7957222419949357</v>
      </c>
      <c r="H141">
        <v>0.25858418693050872</v>
      </c>
      <c r="I141" t="s">
        <v>79</v>
      </c>
    </row>
    <row r="142" spans="1:9" x14ac:dyDescent="0.35">
      <c r="A142" t="s">
        <v>36</v>
      </c>
      <c r="B142" t="s">
        <v>57</v>
      </c>
      <c r="C142" t="s">
        <v>38</v>
      </c>
      <c r="D142">
        <v>2021</v>
      </c>
      <c r="E142">
        <v>4.1159384107752661</v>
      </c>
      <c r="F142">
        <v>4.8848712783015431</v>
      </c>
      <c r="G142">
        <f t="shared" si="2"/>
        <v>0.76893286752627699</v>
      </c>
      <c r="H142">
        <v>0.16609569206651981</v>
      </c>
      <c r="I142" t="s">
        <v>79</v>
      </c>
    </row>
    <row r="143" spans="1:9" x14ac:dyDescent="0.35">
      <c r="A143" t="s">
        <v>36</v>
      </c>
      <c r="B143" t="s">
        <v>58</v>
      </c>
      <c r="C143" t="s">
        <v>40</v>
      </c>
      <c r="D143">
        <v>2021</v>
      </c>
      <c r="E143">
        <v>5.0052790018873416</v>
      </c>
      <c r="F143">
        <v>4.8848712783015431</v>
      </c>
      <c r="G143">
        <f t="shared" si="2"/>
        <v>-0.12040772358579854</v>
      </c>
      <c r="H143">
        <v>0.16609569206651981</v>
      </c>
      <c r="I143" t="s">
        <v>79</v>
      </c>
    </row>
    <row r="144" spans="1:9" x14ac:dyDescent="0.35">
      <c r="A144" t="s">
        <v>36</v>
      </c>
      <c r="B144" t="s">
        <v>59</v>
      </c>
      <c r="C144" t="s">
        <v>38</v>
      </c>
      <c r="D144">
        <v>2021</v>
      </c>
      <c r="E144">
        <v>4.4031542878007812</v>
      </c>
      <c r="F144">
        <v>4.8848712783015431</v>
      </c>
      <c r="G144">
        <f t="shared" si="2"/>
        <v>0.48171699050076189</v>
      </c>
      <c r="H144">
        <v>0.16609569206651981</v>
      </c>
      <c r="I144" t="s">
        <v>79</v>
      </c>
    </row>
    <row r="145" spans="1:9" x14ac:dyDescent="0.35">
      <c r="A145" t="s">
        <v>36</v>
      </c>
      <c r="B145" t="s">
        <v>60</v>
      </c>
      <c r="C145" t="s">
        <v>40</v>
      </c>
      <c r="D145">
        <v>2021</v>
      </c>
      <c r="E145">
        <v>3.407915196652112</v>
      </c>
      <c r="F145">
        <v>4.8848712783015431</v>
      </c>
      <c r="G145">
        <f t="shared" si="2"/>
        <v>1.4769560816494312</v>
      </c>
      <c r="H145">
        <v>0.16609569206651981</v>
      </c>
      <c r="I145" t="s">
        <v>79</v>
      </c>
    </row>
    <row r="146" spans="1:9" x14ac:dyDescent="0.35">
      <c r="A146" t="s">
        <v>74</v>
      </c>
      <c r="B146" t="s">
        <v>57</v>
      </c>
      <c r="C146" t="s">
        <v>38</v>
      </c>
      <c r="D146">
        <v>2021</v>
      </c>
      <c r="E146">
        <v>2.947813244873676</v>
      </c>
      <c r="F146">
        <v>15.1246997065809</v>
      </c>
      <c r="G146">
        <f t="shared" si="2"/>
        <v>12.176886461707223</v>
      </c>
      <c r="H146">
        <v>0.1125684434133815</v>
      </c>
      <c r="I146" t="s">
        <v>79</v>
      </c>
    </row>
    <row r="147" spans="1:9" x14ac:dyDescent="0.35">
      <c r="A147" t="s">
        <v>74</v>
      </c>
      <c r="B147" t="s">
        <v>58</v>
      </c>
      <c r="C147" t="s">
        <v>40</v>
      </c>
      <c r="D147">
        <v>2021</v>
      </c>
      <c r="E147">
        <v>6.0844415228506374</v>
      </c>
      <c r="F147">
        <v>15.1246997065809</v>
      </c>
      <c r="G147">
        <f t="shared" si="2"/>
        <v>9.0402581837302627</v>
      </c>
      <c r="H147">
        <v>0.1125684434133815</v>
      </c>
      <c r="I147" t="s">
        <v>79</v>
      </c>
    </row>
    <row r="148" spans="1:9" x14ac:dyDescent="0.35">
      <c r="A148" t="s">
        <v>74</v>
      </c>
      <c r="B148" t="s">
        <v>59</v>
      </c>
      <c r="C148" t="s">
        <v>38</v>
      </c>
      <c r="D148">
        <v>2021</v>
      </c>
      <c r="E148">
        <v>14.562981111404421</v>
      </c>
      <c r="F148">
        <v>15.1246997065809</v>
      </c>
      <c r="G148">
        <f t="shared" si="2"/>
        <v>0.5617185951764796</v>
      </c>
      <c r="H148">
        <v>0.1125684434133815</v>
      </c>
      <c r="I148" t="s">
        <v>79</v>
      </c>
    </row>
    <row r="149" spans="1:9" x14ac:dyDescent="0.35">
      <c r="A149" t="s">
        <v>74</v>
      </c>
      <c r="B149" t="s">
        <v>60</v>
      </c>
      <c r="C149" t="s">
        <v>40</v>
      </c>
      <c r="D149">
        <v>2021</v>
      </c>
      <c r="E149">
        <v>4.5993257541988797</v>
      </c>
      <c r="F149">
        <v>15.1246997065809</v>
      </c>
      <c r="G149">
        <f t="shared" si="2"/>
        <v>10.52537395238202</v>
      </c>
      <c r="H149">
        <v>0.1125684434133815</v>
      </c>
      <c r="I149" t="s">
        <v>79</v>
      </c>
    </row>
    <row r="150" spans="1:9" x14ac:dyDescent="0.35">
      <c r="A150" t="s">
        <v>75</v>
      </c>
      <c r="B150" t="s">
        <v>57</v>
      </c>
      <c r="C150" t="s">
        <v>38</v>
      </c>
      <c r="D150">
        <v>2021</v>
      </c>
      <c r="E150">
        <v>4.051033813756133</v>
      </c>
      <c r="F150">
        <v>8.4370671759064813</v>
      </c>
      <c r="G150">
        <f t="shared" si="2"/>
        <v>4.3860333621503482</v>
      </c>
      <c r="H150">
        <v>0.19431646820822901</v>
      </c>
      <c r="I150" t="s">
        <v>79</v>
      </c>
    </row>
    <row r="151" spans="1:9" x14ac:dyDescent="0.35">
      <c r="A151" t="s">
        <v>75</v>
      </c>
      <c r="B151" t="s">
        <v>58</v>
      </c>
      <c r="C151" t="s">
        <v>40</v>
      </c>
      <c r="D151">
        <v>2021</v>
      </c>
      <c r="E151">
        <v>6.5496569028856699</v>
      </c>
      <c r="F151">
        <v>8.4370671759064813</v>
      </c>
      <c r="G151">
        <f t="shared" si="2"/>
        <v>1.8874102730208113</v>
      </c>
      <c r="H151">
        <v>0.19431646820822901</v>
      </c>
      <c r="I151" t="s">
        <v>79</v>
      </c>
    </row>
    <row r="152" spans="1:9" x14ac:dyDescent="0.35">
      <c r="A152" t="s">
        <v>75</v>
      </c>
      <c r="B152" t="s">
        <v>59</v>
      </c>
      <c r="C152" t="s">
        <v>38</v>
      </c>
      <c r="D152">
        <v>2021</v>
      </c>
      <c r="E152">
        <v>6.2292733128945343</v>
      </c>
      <c r="F152">
        <v>8.4370671759064813</v>
      </c>
      <c r="G152">
        <f t="shared" si="2"/>
        <v>2.2077938630119469</v>
      </c>
      <c r="H152">
        <v>0.19431646820822901</v>
      </c>
      <c r="I152" t="s">
        <v>79</v>
      </c>
    </row>
    <row r="153" spans="1:9" x14ac:dyDescent="0.35">
      <c r="A153" t="s">
        <v>75</v>
      </c>
      <c r="B153" t="s">
        <v>60</v>
      </c>
      <c r="C153" t="s">
        <v>40</v>
      </c>
      <c r="D153">
        <v>2021</v>
      </c>
      <c r="E153">
        <v>4.2068723885489323</v>
      </c>
      <c r="F153">
        <v>8.4370671759064813</v>
      </c>
      <c r="G153">
        <f t="shared" si="2"/>
        <v>4.2301947873575489</v>
      </c>
      <c r="H153">
        <v>0.19431646820822901</v>
      </c>
      <c r="I153" t="s">
        <v>79</v>
      </c>
    </row>
    <row r="154" spans="1:9" x14ac:dyDescent="0.35">
      <c r="A154" t="s">
        <v>77</v>
      </c>
      <c r="B154" t="s">
        <v>57</v>
      </c>
      <c r="C154" t="s">
        <v>38</v>
      </c>
      <c r="D154">
        <v>2021</v>
      </c>
      <c r="E154">
        <v>5.3606609364002189</v>
      </c>
      <c r="F154">
        <v>5.4098373027499997</v>
      </c>
      <c r="G154">
        <f t="shared" si="2"/>
        <v>4.9176366349780842E-2</v>
      </c>
      <c r="H154">
        <v>0.42343876473384962</v>
      </c>
      <c r="I154" t="s">
        <v>79</v>
      </c>
    </row>
    <row r="155" spans="1:9" x14ac:dyDescent="0.35">
      <c r="A155" t="s">
        <v>77</v>
      </c>
      <c r="B155" t="s">
        <v>58</v>
      </c>
      <c r="C155" t="s">
        <v>40</v>
      </c>
      <c r="D155">
        <v>2021</v>
      </c>
      <c r="E155">
        <v>5.8179091621113344</v>
      </c>
      <c r="F155">
        <v>5.4098373027499997</v>
      </c>
      <c r="G155">
        <f t="shared" si="2"/>
        <v>-0.40807185936133461</v>
      </c>
      <c r="H155">
        <v>0.42343876473384962</v>
      </c>
      <c r="I155" t="s">
        <v>79</v>
      </c>
    </row>
    <row r="156" spans="1:9" x14ac:dyDescent="0.35">
      <c r="A156" t="s">
        <v>77</v>
      </c>
      <c r="B156" t="s">
        <v>59</v>
      </c>
      <c r="C156" t="s">
        <v>38</v>
      </c>
      <c r="D156">
        <v>2021</v>
      </c>
      <c r="E156">
        <v>4.5428064601391371</v>
      </c>
      <c r="F156">
        <v>5.4098373027499997</v>
      </c>
      <c r="G156">
        <f t="shared" si="2"/>
        <v>0.86703084261086261</v>
      </c>
      <c r="H156">
        <v>0.42343876473384962</v>
      </c>
      <c r="I156" t="s">
        <v>79</v>
      </c>
    </row>
    <row r="157" spans="1:9" x14ac:dyDescent="0.35">
      <c r="A157" t="s">
        <v>77</v>
      </c>
      <c r="B157" t="s">
        <v>60</v>
      </c>
      <c r="C157" t="s">
        <v>40</v>
      </c>
      <c r="D157">
        <v>2021</v>
      </c>
      <c r="E157">
        <v>3.9441078773994498</v>
      </c>
      <c r="F157">
        <v>5.4098373027499997</v>
      </c>
      <c r="G157">
        <f t="shared" si="2"/>
        <v>1.46572942535055</v>
      </c>
      <c r="H157">
        <v>0.42343876473384962</v>
      </c>
      <c r="I157" t="s">
        <v>79</v>
      </c>
    </row>
    <row r="158" spans="1:9" x14ac:dyDescent="0.35">
      <c r="A158" t="s">
        <v>36</v>
      </c>
      <c r="B158" t="s">
        <v>59</v>
      </c>
      <c r="C158" t="s">
        <v>38</v>
      </c>
      <c r="D158">
        <v>2022</v>
      </c>
      <c r="E158">
        <v>4.8883580526853274</v>
      </c>
      <c r="F158">
        <v>5.2899005620960757</v>
      </c>
      <c r="G158">
        <f t="shared" si="2"/>
        <v>0.40154250941074832</v>
      </c>
      <c r="H158">
        <v>0.16058654708636669</v>
      </c>
      <c r="I158" t="s">
        <v>79</v>
      </c>
    </row>
    <row r="159" spans="1:9" x14ac:dyDescent="0.35">
      <c r="A159" t="s">
        <v>36</v>
      </c>
      <c r="B159" t="s">
        <v>60</v>
      </c>
      <c r="C159" t="s">
        <v>40</v>
      </c>
      <c r="D159">
        <v>2022</v>
      </c>
      <c r="E159">
        <v>4.2814646537613577</v>
      </c>
      <c r="F159">
        <v>5.2899005620960757</v>
      </c>
      <c r="G159">
        <f t="shared" si="2"/>
        <v>1.0084359083347181</v>
      </c>
      <c r="H159">
        <v>0.16058654708636669</v>
      </c>
      <c r="I159" t="s">
        <v>79</v>
      </c>
    </row>
    <row r="160" spans="1:9" x14ac:dyDescent="0.35">
      <c r="A160" t="s">
        <v>36</v>
      </c>
      <c r="B160" t="s">
        <v>61</v>
      </c>
      <c r="C160" t="s">
        <v>38</v>
      </c>
      <c r="D160">
        <v>2022</v>
      </c>
      <c r="E160">
        <v>4.6469116666415733</v>
      </c>
      <c r="F160">
        <v>5.2899005620960757</v>
      </c>
      <c r="G160">
        <f t="shared" si="2"/>
        <v>0.64298889545450244</v>
      </c>
      <c r="H160">
        <v>0.16058654708636669</v>
      </c>
      <c r="I160" t="s">
        <v>79</v>
      </c>
    </row>
    <row r="161" spans="1:9" x14ac:dyDescent="0.35">
      <c r="A161" t="s">
        <v>36</v>
      </c>
      <c r="B161" t="s">
        <v>62</v>
      </c>
      <c r="C161" t="s">
        <v>40</v>
      </c>
      <c r="D161">
        <v>2022</v>
      </c>
      <c r="E161">
        <v>3.9196460068068979</v>
      </c>
      <c r="F161">
        <v>5.2899005620960757</v>
      </c>
      <c r="G161">
        <f t="shared" si="2"/>
        <v>1.3702545552891778</v>
      </c>
      <c r="H161">
        <v>0.16058654708636669</v>
      </c>
      <c r="I161" t="s">
        <v>79</v>
      </c>
    </row>
    <row r="162" spans="1:9" x14ac:dyDescent="0.35">
      <c r="A162" t="s">
        <v>74</v>
      </c>
      <c r="B162" t="s">
        <v>59</v>
      </c>
      <c r="C162" t="s">
        <v>38</v>
      </c>
      <c r="D162">
        <v>2022</v>
      </c>
      <c r="E162">
        <v>5.0918722980731523</v>
      </c>
      <c r="F162">
        <v>7.9894443369245964</v>
      </c>
      <c r="G162">
        <f t="shared" si="2"/>
        <v>2.8975720388514441</v>
      </c>
      <c r="H162">
        <v>0.12710526929016649</v>
      </c>
      <c r="I162" t="s">
        <v>79</v>
      </c>
    </row>
    <row r="163" spans="1:9" x14ac:dyDescent="0.35">
      <c r="A163" t="s">
        <v>74</v>
      </c>
      <c r="B163" t="s">
        <v>60</v>
      </c>
      <c r="C163" t="s">
        <v>40</v>
      </c>
      <c r="D163">
        <v>2022</v>
      </c>
      <c r="E163">
        <v>4.9759868399277041</v>
      </c>
      <c r="F163">
        <v>7.9894443369245964</v>
      </c>
      <c r="G163">
        <f t="shared" si="2"/>
        <v>3.0134574969968924</v>
      </c>
      <c r="H163">
        <v>0.12710526929016649</v>
      </c>
      <c r="I163" t="s">
        <v>79</v>
      </c>
    </row>
    <row r="164" spans="1:9" x14ac:dyDescent="0.35">
      <c r="A164" t="s">
        <v>74</v>
      </c>
      <c r="B164" t="s">
        <v>61</v>
      </c>
      <c r="C164" t="s">
        <v>38</v>
      </c>
      <c r="D164">
        <v>2022</v>
      </c>
      <c r="E164">
        <v>7.8710837662645083</v>
      </c>
      <c r="F164">
        <v>7.9894443369245964</v>
      </c>
      <c r="G164">
        <f t="shared" si="2"/>
        <v>0.11836057066008809</v>
      </c>
      <c r="H164">
        <v>0.12710526929016649</v>
      </c>
      <c r="I164" t="s">
        <v>79</v>
      </c>
    </row>
    <row r="165" spans="1:9" x14ac:dyDescent="0.35">
      <c r="A165" t="s">
        <v>74</v>
      </c>
      <c r="B165" t="s">
        <v>62</v>
      </c>
      <c r="C165" t="s">
        <v>40</v>
      </c>
      <c r="D165">
        <v>2022</v>
      </c>
      <c r="E165">
        <v>5.3816861962496354</v>
      </c>
      <c r="F165">
        <v>7.9894443369245964</v>
      </c>
      <c r="G165">
        <f t="shared" si="2"/>
        <v>2.607758140674961</v>
      </c>
      <c r="H165">
        <v>0.12710526929016649</v>
      </c>
      <c r="I165" t="s">
        <v>79</v>
      </c>
    </row>
    <row r="166" spans="1:9" x14ac:dyDescent="0.35">
      <c r="A166" t="s">
        <v>75</v>
      </c>
      <c r="B166" t="s">
        <v>59</v>
      </c>
      <c r="C166" t="s">
        <v>38</v>
      </c>
      <c r="D166">
        <v>2022</v>
      </c>
      <c r="E166">
        <v>4.2689191687874661</v>
      </c>
      <c r="F166">
        <v>4.8546134866977511</v>
      </c>
      <c r="G166">
        <f t="shared" si="2"/>
        <v>0.58569431791028492</v>
      </c>
      <c r="H166">
        <v>0.18202263906573379</v>
      </c>
      <c r="I166" t="s">
        <v>79</v>
      </c>
    </row>
    <row r="167" spans="1:9" x14ac:dyDescent="0.35">
      <c r="A167" t="s">
        <v>75</v>
      </c>
      <c r="B167" t="s">
        <v>60</v>
      </c>
      <c r="C167" t="s">
        <v>40</v>
      </c>
      <c r="D167">
        <v>2022</v>
      </c>
      <c r="E167">
        <v>4.3934586282645904</v>
      </c>
      <c r="F167">
        <v>4.8546134866977511</v>
      </c>
      <c r="G167">
        <f t="shared" si="2"/>
        <v>0.46115485843316062</v>
      </c>
      <c r="H167">
        <v>0.18202263906573379</v>
      </c>
      <c r="I167" t="s">
        <v>79</v>
      </c>
    </row>
    <row r="168" spans="1:9" x14ac:dyDescent="0.35">
      <c r="A168" t="s">
        <v>75</v>
      </c>
      <c r="B168" t="s">
        <v>61</v>
      </c>
      <c r="C168" t="s">
        <v>38</v>
      </c>
      <c r="D168">
        <v>2022</v>
      </c>
      <c r="E168">
        <v>3.8268920279536989</v>
      </c>
      <c r="F168">
        <v>4.8546134866977511</v>
      </c>
      <c r="G168">
        <f t="shared" si="2"/>
        <v>1.0277214587440522</v>
      </c>
      <c r="H168">
        <v>0.18202263906573379</v>
      </c>
      <c r="I168" t="s">
        <v>79</v>
      </c>
    </row>
    <row r="169" spans="1:9" x14ac:dyDescent="0.35">
      <c r="A169" t="s">
        <v>75</v>
      </c>
      <c r="B169" t="s">
        <v>62</v>
      </c>
      <c r="C169" t="s">
        <v>40</v>
      </c>
      <c r="D169">
        <v>2022</v>
      </c>
      <c r="E169">
        <v>2.4256542804822261</v>
      </c>
      <c r="F169">
        <v>4.8546134866977511</v>
      </c>
      <c r="G169">
        <f t="shared" si="2"/>
        <v>2.428959206215525</v>
      </c>
      <c r="H169">
        <v>0.18202263906573379</v>
      </c>
      <c r="I169" t="s">
        <v>79</v>
      </c>
    </row>
    <row r="170" spans="1:9" x14ac:dyDescent="0.35">
      <c r="A170" t="s">
        <v>77</v>
      </c>
      <c r="B170" t="s">
        <v>59</v>
      </c>
      <c r="C170" t="s">
        <v>38</v>
      </c>
      <c r="D170">
        <v>2022</v>
      </c>
      <c r="E170">
        <v>5.3212657228810967</v>
      </c>
      <c r="F170">
        <v>6.7526124502433778</v>
      </c>
      <c r="G170">
        <f t="shared" si="2"/>
        <v>1.4313467273622811</v>
      </c>
      <c r="H170">
        <v>0.42339525951042151</v>
      </c>
      <c r="I170" t="s">
        <v>79</v>
      </c>
    </row>
    <row r="171" spans="1:9" x14ac:dyDescent="0.35">
      <c r="A171" t="s">
        <v>77</v>
      </c>
      <c r="B171" t="s">
        <v>60</v>
      </c>
      <c r="C171" t="s">
        <v>40</v>
      </c>
      <c r="D171">
        <v>2022</v>
      </c>
      <c r="E171">
        <v>5.0988792351265078</v>
      </c>
      <c r="F171">
        <v>6.7526124502433778</v>
      </c>
      <c r="G171">
        <f t="shared" si="2"/>
        <v>1.65373321511687</v>
      </c>
      <c r="H171">
        <v>0.42339525951042151</v>
      </c>
      <c r="I171" t="s">
        <v>79</v>
      </c>
    </row>
    <row r="172" spans="1:9" x14ac:dyDescent="0.35">
      <c r="A172" t="s">
        <v>77</v>
      </c>
      <c r="B172" t="s">
        <v>61</v>
      </c>
      <c r="C172" t="s">
        <v>38</v>
      </c>
      <c r="D172">
        <v>2022</v>
      </c>
      <c r="E172">
        <v>6.5861251608809734</v>
      </c>
      <c r="F172">
        <v>6.7526124502433778</v>
      </c>
      <c r="G172">
        <f t="shared" si="2"/>
        <v>0.16648728936240431</v>
      </c>
      <c r="H172">
        <v>0.42339525951042151</v>
      </c>
      <c r="I172" t="s">
        <v>79</v>
      </c>
    </row>
    <row r="173" spans="1:9" x14ac:dyDescent="0.35">
      <c r="A173" t="s">
        <v>77</v>
      </c>
      <c r="B173" t="s">
        <v>62</v>
      </c>
      <c r="C173" t="s">
        <v>40</v>
      </c>
      <c r="D173">
        <v>2022</v>
      </c>
      <c r="E173">
        <v>5.8054687081874778</v>
      </c>
      <c r="F173">
        <v>6.7526124502433778</v>
      </c>
      <c r="G173">
        <f t="shared" si="2"/>
        <v>0.94714374205589991</v>
      </c>
      <c r="H173">
        <v>0.42339525951042151</v>
      </c>
      <c r="I173" t="s">
        <v>79</v>
      </c>
    </row>
    <row r="174" spans="1:9" x14ac:dyDescent="0.35">
      <c r="A174" t="s">
        <v>36</v>
      </c>
      <c r="B174" t="s">
        <v>61</v>
      </c>
      <c r="C174" t="s">
        <v>38</v>
      </c>
      <c r="D174">
        <v>2023</v>
      </c>
      <c r="E174">
        <v>0.30335623159960518</v>
      </c>
      <c r="F174">
        <v>-0.6768389272940647</v>
      </c>
      <c r="G174">
        <f t="shared" si="2"/>
        <v>-0.98019515889366993</v>
      </c>
      <c r="H174">
        <v>0.34832254059447909</v>
      </c>
      <c r="I174" t="s">
        <v>79</v>
      </c>
    </row>
    <row r="175" spans="1:9" x14ac:dyDescent="0.35">
      <c r="A175" t="s">
        <v>36</v>
      </c>
      <c r="B175" t="s">
        <v>62</v>
      </c>
      <c r="C175" t="s">
        <v>40</v>
      </c>
      <c r="D175">
        <v>2023</v>
      </c>
      <c r="E175">
        <v>1.874018674886258</v>
      </c>
      <c r="F175">
        <v>-0.6768389272940647</v>
      </c>
      <c r="G175">
        <f t="shared" si="2"/>
        <v>-2.5508576021803226</v>
      </c>
      <c r="H175">
        <v>0.34832254059447909</v>
      </c>
      <c r="I175" t="s">
        <v>79</v>
      </c>
    </row>
    <row r="176" spans="1:9" x14ac:dyDescent="0.35">
      <c r="A176" t="s">
        <v>36</v>
      </c>
      <c r="B176" t="s">
        <v>63</v>
      </c>
      <c r="C176" t="s">
        <v>38</v>
      </c>
      <c r="D176">
        <v>2023</v>
      </c>
      <c r="E176">
        <v>-0.54656439605949014</v>
      </c>
      <c r="F176">
        <v>-0.6768389272940647</v>
      </c>
      <c r="G176">
        <f t="shared" si="2"/>
        <v>-0.13027453123457455</v>
      </c>
      <c r="H176">
        <v>0.34832254059447909</v>
      </c>
      <c r="I176" t="s">
        <v>79</v>
      </c>
    </row>
    <row r="177" spans="1:9" x14ac:dyDescent="0.35">
      <c r="A177" t="s">
        <v>36</v>
      </c>
      <c r="B177" t="s">
        <v>64</v>
      </c>
      <c r="C177" t="s">
        <v>40</v>
      </c>
      <c r="D177">
        <v>2023</v>
      </c>
      <c r="E177">
        <v>0.39339786418057798</v>
      </c>
      <c r="F177">
        <v>-0.6768389272940647</v>
      </c>
      <c r="G177">
        <f t="shared" si="2"/>
        <v>-1.0702367914746427</v>
      </c>
      <c r="H177">
        <v>0.34832254059447909</v>
      </c>
      <c r="I177" t="s">
        <v>79</v>
      </c>
    </row>
    <row r="178" spans="1:9" x14ac:dyDescent="0.35">
      <c r="A178" t="s">
        <v>74</v>
      </c>
      <c r="B178" t="s">
        <v>61</v>
      </c>
      <c r="C178" t="s">
        <v>38</v>
      </c>
      <c r="D178">
        <v>2023</v>
      </c>
      <c r="E178">
        <v>3.172255506856847</v>
      </c>
      <c r="F178">
        <v>-3.5205103013764418</v>
      </c>
      <c r="G178">
        <f t="shared" si="2"/>
        <v>-6.6927658082332888</v>
      </c>
      <c r="H178">
        <v>8.2843043821704931E-2</v>
      </c>
      <c r="I178" t="s">
        <v>79</v>
      </c>
    </row>
    <row r="179" spans="1:9" x14ac:dyDescent="0.35">
      <c r="A179" t="s">
        <v>74</v>
      </c>
      <c r="B179" t="s">
        <v>62</v>
      </c>
      <c r="C179" t="s">
        <v>40</v>
      </c>
      <c r="D179">
        <v>2023</v>
      </c>
      <c r="E179">
        <v>4.4348314017168322</v>
      </c>
      <c r="F179">
        <v>-3.5205103013764418</v>
      </c>
      <c r="G179">
        <f t="shared" si="2"/>
        <v>-7.955341703093274</v>
      </c>
      <c r="H179">
        <v>8.2843043821704931E-2</v>
      </c>
      <c r="I179" t="s">
        <v>79</v>
      </c>
    </row>
    <row r="180" spans="1:9" x14ac:dyDescent="0.35">
      <c r="A180" t="s">
        <v>74</v>
      </c>
      <c r="B180" t="s">
        <v>63</v>
      </c>
      <c r="C180" t="s">
        <v>38</v>
      </c>
      <c r="D180">
        <v>2023</v>
      </c>
      <c r="E180">
        <v>-0.93495600507882415</v>
      </c>
      <c r="F180">
        <v>-3.5205103013764418</v>
      </c>
      <c r="G180">
        <f t="shared" si="2"/>
        <v>-2.5855542962976177</v>
      </c>
      <c r="H180">
        <v>8.2843043821704931E-2</v>
      </c>
      <c r="I180" t="s">
        <v>79</v>
      </c>
    </row>
    <row r="181" spans="1:9" x14ac:dyDescent="0.35">
      <c r="A181" t="s">
        <v>74</v>
      </c>
      <c r="B181" t="s">
        <v>64</v>
      </c>
      <c r="C181" t="s">
        <v>40</v>
      </c>
      <c r="D181">
        <v>2023</v>
      </c>
      <c r="E181">
        <v>5.5170730455133654</v>
      </c>
      <c r="F181">
        <v>-3.5205103013764418</v>
      </c>
      <c r="G181">
        <f t="shared" si="2"/>
        <v>-9.0375833468898072</v>
      </c>
      <c r="H181">
        <v>8.2843043821704931E-2</v>
      </c>
      <c r="I181" t="s">
        <v>79</v>
      </c>
    </row>
    <row r="182" spans="1:9" x14ac:dyDescent="0.35">
      <c r="A182" t="s">
        <v>75</v>
      </c>
      <c r="B182" t="s">
        <v>61</v>
      </c>
      <c r="C182" t="s">
        <v>38</v>
      </c>
      <c r="D182">
        <v>2023</v>
      </c>
      <c r="E182">
        <v>0.31473715860916851</v>
      </c>
      <c r="F182">
        <v>1.014274087639002</v>
      </c>
      <c r="G182">
        <f t="shared" si="2"/>
        <v>0.69953692902983344</v>
      </c>
      <c r="H182">
        <v>0.177052568927489</v>
      </c>
      <c r="I182" t="s">
        <v>79</v>
      </c>
    </row>
    <row r="183" spans="1:9" x14ac:dyDescent="0.35">
      <c r="A183" t="s">
        <v>75</v>
      </c>
      <c r="B183" t="s">
        <v>62</v>
      </c>
      <c r="C183" t="s">
        <v>40</v>
      </c>
      <c r="D183">
        <v>2023</v>
      </c>
      <c r="E183">
        <v>1.851291422718337</v>
      </c>
      <c r="F183">
        <v>1.014274087639002</v>
      </c>
      <c r="G183">
        <f t="shared" si="2"/>
        <v>-0.83701733507933507</v>
      </c>
      <c r="H183">
        <v>0.177052568927489</v>
      </c>
      <c r="I183" t="s">
        <v>79</v>
      </c>
    </row>
    <row r="184" spans="1:9" x14ac:dyDescent="0.35">
      <c r="A184" t="s">
        <v>75</v>
      </c>
      <c r="B184" t="s">
        <v>63</v>
      </c>
      <c r="C184" t="s">
        <v>38</v>
      </c>
      <c r="D184">
        <v>2023</v>
      </c>
      <c r="E184">
        <v>0.69157318051265015</v>
      </c>
      <c r="F184">
        <v>1.014274087639002</v>
      </c>
      <c r="G184">
        <f t="shared" si="2"/>
        <v>0.3227009071263518</v>
      </c>
      <c r="H184">
        <v>0.177052568927489</v>
      </c>
      <c r="I184" t="s">
        <v>79</v>
      </c>
    </row>
    <row r="185" spans="1:9" x14ac:dyDescent="0.35">
      <c r="A185" t="s">
        <v>75</v>
      </c>
      <c r="B185" t="s">
        <v>64</v>
      </c>
      <c r="C185" t="s">
        <v>40</v>
      </c>
      <c r="D185">
        <v>2023</v>
      </c>
      <c r="E185">
        <v>1.206598132351089</v>
      </c>
      <c r="F185">
        <v>1.014274087639002</v>
      </c>
      <c r="G185">
        <f t="shared" si="2"/>
        <v>-0.19232404471208708</v>
      </c>
      <c r="H185">
        <v>0.177052568927489</v>
      </c>
      <c r="I185" t="s">
        <v>79</v>
      </c>
    </row>
    <row r="186" spans="1:9" x14ac:dyDescent="0.35">
      <c r="A186" t="s">
        <v>77</v>
      </c>
      <c r="B186" t="s">
        <v>61</v>
      </c>
      <c r="C186" t="s">
        <v>38</v>
      </c>
      <c r="D186">
        <v>2023</v>
      </c>
      <c r="E186">
        <v>0.71696140778811923</v>
      </c>
      <c r="F186">
        <v>3.0529202104847739</v>
      </c>
      <c r="G186">
        <f t="shared" si="2"/>
        <v>2.3359588026966547</v>
      </c>
      <c r="H186">
        <v>0.2332189462001916</v>
      </c>
      <c r="I186" t="s">
        <v>79</v>
      </c>
    </row>
    <row r="187" spans="1:9" x14ac:dyDescent="0.35">
      <c r="A187" t="s">
        <v>77</v>
      </c>
      <c r="B187" t="s">
        <v>62</v>
      </c>
      <c r="C187" t="s">
        <v>40</v>
      </c>
      <c r="D187">
        <v>2023</v>
      </c>
      <c r="E187">
        <v>2.6604918870074319</v>
      </c>
      <c r="F187">
        <v>3.0529202104847739</v>
      </c>
      <c r="G187">
        <f t="shared" si="2"/>
        <v>0.39242832347734202</v>
      </c>
      <c r="H187">
        <v>0.2332189462001916</v>
      </c>
      <c r="I187" t="s">
        <v>79</v>
      </c>
    </row>
    <row r="188" spans="1:9" x14ac:dyDescent="0.35">
      <c r="A188" t="s">
        <v>77</v>
      </c>
      <c r="B188" t="s">
        <v>63</v>
      </c>
      <c r="C188" t="s">
        <v>38</v>
      </c>
      <c r="D188">
        <v>2023</v>
      </c>
      <c r="E188">
        <v>2.226883105497079</v>
      </c>
      <c r="F188">
        <v>3.0529202104847739</v>
      </c>
      <c r="G188">
        <f t="shared" si="2"/>
        <v>0.82603710498769489</v>
      </c>
      <c r="H188">
        <v>0.2332189462001916</v>
      </c>
      <c r="I188" t="s">
        <v>79</v>
      </c>
    </row>
    <row r="189" spans="1:9" x14ac:dyDescent="0.35">
      <c r="A189" t="s">
        <v>77</v>
      </c>
      <c r="B189" t="s">
        <v>64</v>
      </c>
      <c r="C189" t="s">
        <v>40</v>
      </c>
      <c r="D189">
        <v>2023</v>
      </c>
      <c r="E189">
        <v>2.4387614512581202</v>
      </c>
      <c r="F189">
        <v>3.0529202104847739</v>
      </c>
      <c r="G189">
        <f t="shared" si="2"/>
        <v>0.61415875922665375</v>
      </c>
      <c r="H189">
        <v>0.2332189462001916</v>
      </c>
      <c r="I189" t="s">
        <v>79</v>
      </c>
    </row>
    <row r="190" spans="1:9" x14ac:dyDescent="0.35">
      <c r="A190" t="s">
        <v>36</v>
      </c>
      <c r="B190" t="s">
        <v>63</v>
      </c>
      <c r="C190" t="s">
        <v>38</v>
      </c>
      <c r="D190">
        <v>2024</v>
      </c>
      <c r="E190">
        <v>1.003014698305593</v>
      </c>
      <c r="F190">
        <v>-0.83360128885911988</v>
      </c>
      <c r="G190">
        <f t="shared" si="2"/>
        <v>-1.8366159871647127</v>
      </c>
      <c r="H190">
        <v>0.30910634856214708</v>
      </c>
      <c r="I190" t="s">
        <v>79</v>
      </c>
    </row>
    <row r="191" spans="1:9" x14ac:dyDescent="0.35">
      <c r="A191" t="s">
        <v>36</v>
      </c>
      <c r="B191" t="s">
        <v>64</v>
      </c>
      <c r="C191" t="s">
        <v>40</v>
      </c>
      <c r="D191">
        <v>2024</v>
      </c>
      <c r="E191">
        <v>1.612734355819456</v>
      </c>
      <c r="F191">
        <v>-0.83360128885911988</v>
      </c>
      <c r="G191">
        <f t="shared" si="2"/>
        <v>-2.4463356446785758</v>
      </c>
      <c r="H191">
        <v>0.30910634856214708</v>
      </c>
      <c r="I191" t="s">
        <v>79</v>
      </c>
    </row>
    <row r="192" spans="1:9" x14ac:dyDescent="0.35">
      <c r="A192" t="s">
        <v>36</v>
      </c>
      <c r="B192" t="s">
        <v>65</v>
      </c>
      <c r="C192" t="s">
        <v>38</v>
      </c>
      <c r="D192">
        <v>2024</v>
      </c>
      <c r="E192">
        <v>-0.62164843681992155</v>
      </c>
      <c r="F192">
        <v>-0.83360128885911988</v>
      </c>
      <c r="G192">
        <f t="shared" si="2"/>
        <v>-0.21195285203919834</v>
      </c>
      <c r="H192">
        <v>0.30910634856214708</v>
      </c>
      <c r="I192" t="s">
        <v>79</v>
      </c>
    </row>
    <row r="193" spans="1:9" x14ac:dyDescent="0.35">
      <c r="A193" t="s">
        <v>36</v>
      </c>
      <c r="B193" t="s">
        <v>66</v>
      </c>
      <c r="C193" t="s">
        <v>40</v>
      </c>
      <c r="D193">
        <v>2024</v>
      </c>
      <c r="E193">
        <v>0.29111977378135651</v>
      </c>
      <c r="F193">
        <v>-0.83360128885911988</v>
      </c>
      <c r="G193">
        <f t="shared" si="2"/>
        <v>-1.1247210626404764</v>
      </c>
      <c r="H193">
        <v>0.30910634856214708</v>
      </c>
      <c r="I193" t="s">
        <v>79</v>
      </c>
    </row>
    <row r="194" spans="1:9" x14ac:dyDescent="0.35">
      <c r="A194" t="s">
        <v>74</v>
      </c>
      <c r="B194" t="s">
        <v>63</v>
      </c>
      <c r="C194" t="s">
        <v>38</v>
      </c>
      <c r="D194">
        <v>2024</v>
      </c>
      <c r="E194">
        <v>3.0440640134462789</v>
      </c>
      <c r="F194">
        <v>3.6203795629134459</v>
      </c>
      <c r="G194">
        <f t="shared" ref="G194:G257" si="3">IF(OR(F194="",E194=""),"",F194-E194)</f>
        <v>0.57631554946716701</v>
      </c>
      <c r="H194">
        <v>0.1177447291038284</v>
      </c>
      <c r="I194" t="s">
        <v>79</v>
      </c>
    </row>
    <row r="195" spans="1:9" x14ac:dyDescent="0.35">
      <c r="A195" t="s">
        <v>74</v>
      </c>
      <c r="B195" t="s">
        <v>64</v>
      </c>
      <c r="C195" t="s">
        <v>40</v>
      </c>
      <c r="D195">
        <v>2024</v>
      </c>
      <c r="E195">
        <v>4.9679452562146009</v>
      </c>
      <c r="F195">
        <v>3.6203795629134459</v>
      </c>
      <c r="G195">
        <f t="shared" si="3"/>
        <v>-1.3475656933011551</v>
      </c>
      <c r="H195">
        <v>0.1177447291038284</v>
      </c>
      <c r="I195" t="s">
        <v>79</v>
      </c>
    </row>
    <row r="196" spans="1:9" x14ac:dyDescent="0.35">
      <c r="A196" t="s">
        <v>74</v>
      </c>
      <c r="B196" t="s">
        <v>65</v>
      </c>
      <c r="C196" t="s">
        <v>38</v>
      </c>
      <c r="D196">
        <v>2024</v>
      </c>
      <c r="E196">
        <v>-0.54062635287741578</v>
      </c>
      <c r="F196">
        <v>3.6203795629134459</v>
      </c>
      <c r="G196">
        <f t="shared" si="3"/>
        <v>4.1610059157908612</v>
      </c>
      <c r="H196">
        <v>0.1177447291038284</v>
      </c>
      <c r="I196" t="s">
        <v>79</v>
      </c>
    </row>
    <row r="197" spans="1:9" x14ac:dyDescent="0.35">
      <c r="A197" t="s">
        <v>74</v>
      </c>
      <c r="B197" t="s">
        <v>66</v>
      </c>
      <c r="C197" t="s">
        <v>40</v>
      </c>
      <c r="D197">
        <v>2024</v>
      </c>
      <c r="E197">
        <v>1.2437124663212009</v>
      </c>
      <c r="F197">
        <v>3.6203795629134459</v>
      </c>
      <c r="G197">
        <f t="shared" si="3"/>
        <v>2.3766670965922447</v>
      </c>
      <c r="H197">
        <v>0.1177447291038284</v>
      </c>
      <c r="I197" t="s">
        <v>79</v>
      </c>
    </row>
    <row r="198" spans="1:9" x14ac:dyDescent="0.35">
      <c r="A198" t="s">
        <v>75</v>
      </c>
      <c r="B198" t="s">
        <v>63</v>
      </c>
      <c r="C198" t="s">
        <v>38</v>
      </c>
      <c r="D198">
        <v>2024</v>
      </c>
      <c r="E198">
        <v>0.85219564942633497</v>
      </c>
      <c r="F198">
        <v>0.58463257989526929</v>
      </c>
      <c r="G198">
        <f t="shared" si="3"/>
        <v>-0.26756306953106568</v>
      </c>
      <c r="H198">
        <v>0.27455983249816451</v>
      </c>
      <c r="I198" t="s">
        <v>79</v>
      </c>
    </row>
    <row r="199" spans="1:9" x14ac:dyDescent="0.35">
      <c r="A199" t="s">
        <v>75</v>
      </c>
      <c r="B199" t="s">
        <v>64</v>
      </c>
      <c r="C199" t="s">
        <v>40</v>
      </c>
      <c r="D199">
        <v>2024</v>
      </c>
      <c r="E199">
        <v>1.088219792885559</v>
      </c>
      <c r="F199">
        <v>0.58463257989526929</v>
      </c>
      <c r="G199">
        <f t="shared" si="3"/>
        <v>-0.50358721299028975</v>
      </c>
      <c r="H199">
        <v>0.27455983249816451</v>
      </c>
      <c r="I199" t="s">
        <v>79</v>
      </c>
    </row>
    <row r="200" spans="1:9" x14ac:dyDescent="0.35">
      <c r="A200" t="s">
        <v>75</v>
      </c>
      <c r="B200" t="s">
        <v>65</v>
      </c>
      <c r="C200" t="s">
        <v>38</v>
      </c>
      <c r="D200">
        <v>2024</v>
      </c>
      <c r="E200">
        <v>0.66875073104093463</v>
      </c>
      <c r="F200">
        <v>0.58463257989526929</v>
      </c>
      <c r="G200">
        <f t="shared" si="3"/>
        <v>-8.4118151145665343E-2</v>
      </c>
      <c r="H200">
        <v>0.27455983249816451</v>
      </c>
      <c r="I200" t="s">
        <v>79</v>
      </c>
    </row>
    <row r="201" spans="1:9" x14ac:dyDescent="0.35">
      <c r="A201" t="s">
        <v>75</v>
      </c>
      <c r="B201" t="s">
        <v>66</v>
      </c>
      <c r="C201" t="s">
        <v>40</v>
      </c>
      <c r="D201">
        <v>2024</v>
      </c>
      <c r="E201">
        <v>0.93648338218597083</v>
      </c>
      <c r="F201">
        <v>0.58463257989526929</v>
      </c>
      <c r="G201">
        <f t="shared" si="3"/>
        <v>-0.35185080229070154</v>
      </c>
      <c r="H201">
        <v>0.27455983249816451</v>
      </c>
      <c r="I201" t="s">
        <v>79</v>
      </c>
    </row>
    <row r="202" spans="1:9" x14ac:dyDescent="0.35">
      <c r="A202" t="s">
        <v>77</v>
      </c>
      <c r="B202" t="s">
        <v>63</v>
      </c>
      <c r="C202" t="s">
        <v>38</v>
      </c>
      <c r="D202">
        <v>2024</v>
      </c>
      <c r="E202">
        <v>1.3133477904788251</v>
      </c>
      <c r="F202">
        <v>2.1904072780361381</v>
      </c>
      <c r="G202">
        <f t="shared" si="3"/>
        <v>0.877059487557313</v>
      </c>
      <c r="H202">
        <v>0.30099524076358469</v>
      </c>
      <c r="I202" t="s">
        <v>79</v>
      </c>
    </row>
    <row r="203" spans="1:9" x14ac:dyDescent="0.35">
      <c r="A203" t="s">
        <v>77</v>
      </c>
      <c r="B203" t="s">
        <v>64</v>
      </c>
      <c r="C203" t="s">
        <v>40</v>
      </c>
      <c r="D203">
        <v>2024</v>
      </c>
      <c r="E203">
        <v>1.7569161258840891</v>
      </c>
      <c r="F203">
        <v>2.1904072780361381</v>
      </c>
      <c r="G203">
        <f t="shared" si="3"/>
        <v>0.43349115215204903</v>
      </c>
      <c r="H203">
        <v>0.30099524076358469</v>
      </c>
      <c r="I203" t="s">
        <v>79</v>
      </c>
    </row>
    <row r="204" spans="1:9" x14ac:dyDescent="0.35">
      <c r="A204" t="s">
        <v>77</v>
      </c>
      <c r="B204" t="s">
        <v>65</v>
      </c>
      <c r="C204" t="s">
        <v>38</v>
      </c>
      <c r="D204">
        <v>2024</v>
      </c>
      <c r="E204">
        <v>1.6514732694230541</v>
      </c>
      <c r="F204">
        <v>2.1904072780361381</v>
      </c>
      <c r="G204">
        <f t="shared" si="3"/>
        <v>0.53893400861308405</v>
      </c>
      <c r="H204">
        <v>0.30099524076358469</v>
      </c>
      <c r="I204" t="s">
        <v>79</v>
      </c>
    </row>
    <row r="205" spans="1:9" x14ac:dyDescent="0.35">
      <c r="A205" t="s">
        <v>77</v>
      </c>
      <c r="B205" t="s">
        <v>66</v>
      </c>
      <c r="C205" t="s">
        <v>40</v>
      </c>
      <c r="D205">
        <v>2024</v>
      </c>
      <c r="E205">
        <v>1.734179743438991</v>
      </c>
      <c r="F205">
        <v>2.1904072780361381</v>
      </c>
      <c r="G205">
        <f t="shared" si="3"/>
        <v>0.45622753459714716</v>
      </c>
      <c r="H205">
        <v>0.30099524076358469</v>
      </c>
      <c r="I205" t="s">
        <v>79</v>
      </c>
    </row>
    <row r="206" spans="1:9" x14ac:dyDescent="0.35">
      <c r="A206" t="s">
        <v>36</v>
      </c>
      <c r="B206" t="s">
        <v>65</v>
      </c>
      <c r="C206" t="s">
        <v>38</v>
      </c>
      <c r="D206">
        <v>2025</v>
      </c>
      <c r="E206">
        <v>0.99303912238537517</v>
      </c>
      <c r="F206">
        <v>0.95241300208403867</v>
      </c>
      <c r="G206">
        <f t="shared" si="3"/>
        <v>-4.0626120301336499E-2</v>
      </c>
      <c r="H206">
        <v>0.17315909372686161</v>
      </c>
      <c r="I206" t="s">
        <v>79</v>
      </c>
    </row>
    <row r="207" spans="1:9" x14ac:dyDescent="0.35">
      <c r="A207" t="s">
        <v>36</v>
      </c>
      <c r="B207" t="s">
        <v>66</v>
      </c>
      <c r="C207" t="s">
        <v>40</v>
      </c>
      <c r="D207">
        <v>2025</v>
      </c>
      <c r="E207">
        <v>1.6020195321839961</v>
      </c>
      <c r="F207">
        <v>0.95241300208403867</v>
      </c>
      <c r="G207">
        <f t="shared" si="3"/>
        <v>-0.64960653009995739</v>
      </c>
      <c r="H207">
        <v>0.17315909372686161</v>
      </c>
      <c r="I207" t="s">
        <v>79</v>
      </c>
    </row>
    <row r="208" spans="1:9" x14ac:dyDescent="0.35">
      <c r="A208" t="s">
        <v>36</v>
      </c>
      <c r="B208" t="s">
        <v>71</v>
      </c>
      <c r="C208" t="s">
        <v>38</v>
      </c>
      <c r="D208">
        <v>2025</v>
      </c>
      <c r="E208">
        <v>0.31436230025780892</v>
      </c>
      <c r="F208">
        <v>0.95241300208403867</v>
      </c>
      <c r="G208">
        <f t="shared" si="3"/>
        <v>0.6380507018262298</v>
      </c>
      <c r="H208">
        <v>0.17315909372686161</v>
      </c>
      <c r="I208" t="s">
        <v>79</v>
      </c>
    </row>
    <row r="209" spans="1:9" x14ac:dyDescent="0.35">
      <c r="A209" t="s">
        <v>36</v>
      </c>
      <c r="B209" t="s">
        <v>72</v>
      </c>
      <c r="C209" t="s">
        <v>40</v>
      </c>
      <c r="D209">
        <v>2025</v>
      </c>
      <c r="E209">
        <v>-0.28270783018636841</v>
      </c>
      <c r="F209">
        <v>0.95241300208403867</v>
      </c>
      <c r="G209">
        <f t="shared" si="3"/>
        <v>1.235120832270407</v>
      </c>
      <c r="H209">
        <v>0.17315909372686161</v>
      </c>
      <c r="I209" t="s">
        <v>79</v>
      </c>
    </row>
    <row r="210" spans="1:9" x14ac:dyDescent="0.35">
      <c r="A210" t="s">
        <v>74</v>
      </c>
      <c r="B210" t="s">
        <v>65</v>
      </c>
      <c r="C210" t="s">
        <v>38</v>
      </c>
      <c r="D210">
        <v>2025</v>
      </c>
      <c r="E210">
        <v>4.023669914633099</v>
      </c>
      <c r="F210">
        <v>7.7791754385506806</v>
      </c>
      <c r="G210">
        <f t="shared" si="3"/>
        <v>3.7555055239175816</v>
      </c>
      <c r="H210">
        <v>0.1147657704770987</v>
      </c>
      <c r="I210" t="s">
        <v>79</v>
      </c>
    </row>
    <row r="211" spans="1:9" x14ac:dyDescent="0.35">
      <c r="A211" t="s">
        <v>74</v>
      </c>
      <c r="B211" t="s">
        <v>66</v>
      </c>
      <c r="C211" t="s">
        <v>40</v>
      </c>
      <c r="D211">
        <v>2025</v>
      </c>
      <c r="E211">
        <v>3.5927766013469591</v>
      </c>
      <c r="F211">
        <v>7.7791754385506806</v>
      </c>
      <c r="G211">
        <f t="shared" si="3"/>
        <v>4.186398837203722</v>
      </c>
      <c r="H211">
        <v>0.1147657704770987</v>
      </c>
      <c r="I211" t="s">
        <v>79</v>
      </c>
    </row>
    <row r="212" spans="1:9" x14ac:dyDescent="0.35">
      <c r="A212" t="s">
        <v>74</v>
      </c>
      <c r="B212" t="s">
        <v>71</v>
      </c>
      <c r="C212" t="s">
        <v>38</v>
      </c>
      <c r="D212">
        <v>2025</v>
      </c>
      <c r="E212">
        <v>10.65081995793598</v>
      </c>
      <c r="F212">
        <v>7.7791754385506806</v>
      </c>
      <c r="G212">
        <f t="shared" si="3"/>
        <v>-2.8716445193852991</v>
      </c>
      <c r="H212">
        <v>0.1147657704770987</v>
      </c>
      <c r="I212" t="s">
        <v>79</v>
      </c>
    </row>
    <row r="213" spans="1:9" x14ac:dyDescent="0.35">
      <c r="A213" t="s">
        <v>74</v>
      </c>
      <c r="B213" t="s">
        <v>72</v>
      </c>
      <c r="C213" t="s">
        <v>40</v>
      </c>
      <c r="D213">
        <v>2025</v>
      </c>
      <c r="E213">
        <v>3.377198218825495</v>
      </c>
      <c r="F213">
        <v>7.7791754385506806</v>
      </c>
      <c r="G213">
        <f t="shared" si="3"/>
        <v>4.4019772197251861</v>
      </c>
      <c r="H213">
        <v>0.1147657704770987</v>
      </c>
      <c r="I213" t="s">
        <v>79</v>
      </c>
    </row>
    <row r="214" spans="1:9" x14ac:dyDescent="0.35">
      <c r="A214" t="s">
        <v>75</v>
      </c>
      <c r="B214" t="s">
        <v>65</v>
      </c>
      <c r="C214" t="s">
        <v>38</v>
      </c>
      <c r="D214">
        <v>2025</v>
      </c>
      <c r="E214">
        <v>1.0376492446310339</v>
      </c>
      <c r="F214">
        <v>0.66135842759176278</v>
      </c>
      <c r="G214">
        <f t="shared" si="3"/>
        <v>-0.37629081703927114</v>
      </c>
      <c r="H214">
        <v>0.40820851895901789</v>
      </c>
      <c r="I214" t="s">
        <v>79</v>
      </c>
    </row>
    <row r="215" spans="1:9" x14ac:dyDescent="0.35">
      <c r="A215" t="s">
        <v>75</v>
      </c>
      <c r="B215" t="s">
        <v>66</v>
      </c>
      <c r="C215" t="s">
        <v>40</v>
      </c>
      <c r="D215">
        <v>2025</v>
      </c>
      <c r="E215">
        <v>1.0979449050216421</v>
      </c>
      <c r="F215">
        <v>0.66135842759176278</v>
      </c>
      <c r="G215">
        <f t="shared" si="3"/>
        <v>-0.43658647742987933</v>
      </c>
      <c r="H215">
        <v>0.40820851895901789</v>
      </c>
      <c r="I215" t="s">
        <v>79</v>
      </c>
    </row>
    <row r="216" spans="1:9" x14ac:dyDescent="0.35">
      <c r="A216" t="s">
        <v>75</v>
      </c>
      <c r="B216" t="s">
        <v>71</v>
      </c>
      <c r="C216" t="s">
        <v>38</v>
      </c>
      <c r="D216">
        <v>2025</v>
      </c>
      <c r="E216">
        <v>0.35981622121454843</v>
      </c>
      <c r="F216">
        <v>0.66135842759176278</v>
      </c>
      <c r="G216">
        <f t="shared" si="3"/>
        <v>0.30154220637721435</v>
      </c>
      <c r="H216">
        <v>0.40820851895901789</v>
      </c>
      <c r="I216" t="s">
        <v>79</v>
      </c>
    </row>
    <row r="217" spans="1:9" x14ac:dyDescent="0.35">
      <c r="A217" t="s">
        <v>75</v>
      </c>
      <c r="B217" t="s">
        <v>72</v>
      </c>
      <c r="C217" t="s">
        <v>40</v>
      </c>
      <c r="D217">
        <v>2025</v>
      </c>
      <c r="E217">
        <v>0.66447930597219873</v>
      </c>
      <c r="F217">
        <v>0.66135842759176278</v>
      </c>
      <c r="G217">
        <f t="shared" si="3"/>
        <v>-3.1208783804359541E-3</v>
      </c>
      <c r="H217">
        <v>0.40820851895901789</v>
      </c>
      <c r="I217" t="s">
        <v>79</v>
      </c>
    </row>
    <row r="218" spans="1:9" x14ac:dyDescent="0.35">
      <c r="A218" t="s">
        <v>77</v>
      </c>
      <c r="B218" t="s">
        <v>65</v>
      </c>
      <c r="C218" t="s">
        <v>38</v>
      </c>
      <c r="D218">
        <v>2025</v>
      </c>
      <c r="E218">
        <v>1.851074416505627</v>
      </c>
      <c r="F218">
        <v>1.8442000090405599</v>
      </c>
      <c r="G218">
        <f t="shared" si="3"/>
        <v>-6.8744074650670672E-3</v>
      </c>
      <c r="H218">
        <v>0.1926127574837464</v>
      </c>
      <c r="I218" t="s">
        <v>79</v>
      </c>
    </row>
    <row r="219" spans="1:9" x14ac:dyDescent="0.35">
      <c r="A219" t="s">
        <v>77</v>
      </c>
      <c r="B219" t="s">
        <v>66</v>
      </c>
      <c r="C219" t="s">
        <v>40</v>
      </c>
      <c r="D219">
        <v>2025</v>
      </c>
      <c r="E219">
        <v>1.87529344869708</v>
      </c>
      <c r="F219">
        <v>1.8442000090405599</v>
      </c>
      <c r="G219">
        <f t="shared" si="3"/>
        <v>-3.1093439656520117E-2</v>
      </c>
      <c r="H219">
        <v>0.1926127574837464</v>
      </c>
      <c r="I219" t="s">
        <v>79</v>
      </c>
    </row>
    <row r="220" spans="1:9" x14ac:dyDescent="0.35">
      <c r="A220" t="s">
        <v>77</v>
      </c>
      <c r="B220" t="s">
        <v>71</v>
      </c>
      <c r="C220" t="s">
        <v>38</v>
      </c>
      <c r="D220">
        <v>2025</v>
      </c>
      <c r="E220">
        <v>1.898720252436026</v>
      </c>
      <c r="F220">
        <v>1.8442000090405599</v>
      </c>
      <c r="G220">
        <f t="shared" si="3"/>
        <v>-5.4520243395466128E-2</v>
      </c>
      <c r="H220">
        <v>0.1926127574837464</v>
      </c>
      <c r="I220" t="s">
        <v>79</v>
      </c>
    </row>
    <row r="221" spans="1:9" x14ac:dyDescent="0.35">
      <c r="A221" t="s">
        <v>77</v>
      </c>
      <c r="B221" t="s">
        <v>72</v>
      </c>
      <c r="C221" t="s">
        <v>40</v>
      </c>
      <c r="D221">
        <v>2025</v>
      </c>
      <c r="E221">
        <v>1.7505876843593839</v>
      </c>
      <c r="F221">
        <v>1.8442000090405599</v>
      </c>
      <c r="G221">
        <f t="shared" si="3"/>
        <v>9.3612324681175973E-2</v>
      </c>
      <c r="H221">
        <v>0.1926127574837464</v>
      </c>
      <c r="I221" t="s">
        <v>79</v>
      </c>
    </row>
    <row r="222" spans="1:9" x14ac:dyDescent="0.35">
      <c r="A222" t="s">
        <v>68</v>
      </c>
      <c r="B222" t="s">
        <v>45</v>
      </c>
      <c r="C222" t="s">
        <v>38</v>
      </c>
      <c r="D222">
        <v>2015</v>
      </c>
      <c r="E222">
        <v>1.095015499462715</v>
      </c>
      <c r="F222">
        <v>1.511701771928704</v>
      </c>
      <c r="G222">
        <f t="shared" si="3"/>
        <v>0.41668627246598899</v>
      </c>
      <c r="H222">
        <v>1.1031766805101459</v>
      </c>
      <c r="I222" t="s">
        <v>80</v>
      </c>
    </row>
    <row r="223" spans="1:9" x14ac:dyDescent="0.35">
      <c r="A223" t="s">
        <v>68</v>
      </c>
      <c r="B223" t="s">
        <v>46</v>
      </c>
      <c r="C223" t="s">
        <v>40</v>
      </c>
      <c r="D223">
        <v>2015</v>
      </c>
      <c r="E223">
        <v>1.9840546273578901</v>
      </c>
      <c r="F223">
        <v>1.511701771928704</v>
      </c>
      <c r="G223">
        <f t="shared" si="3"/>
        <v>-0.47235285542918604</v>
      </c>
      <c r="H223">
        <v>1.1031766805101459</v>
      </c>
      <c r="I223" t="s">
        <v>80</v>
      </c>
    </row>
    <row r="224" spans="1:9" x14ac:dyDescent="0.35">
      <c r="A224" t="s">
        <v>68</v>
      </c>
      <c r="B224" t="s">
        <v>47</v>
      </c>
      <c r="C224" t="s">
        <v>38</v>
      </c>
      <c r="D224">
        <v>2015</v>
      </c>
      <c r="E224">
        <v>1.7105611289528031</v>
      </c>
      <c r="F224">
        <v>1.511701771928704</v>
      </c>
      <c r="G224">
        <f t="shared" si="3"/>
        <v>-0.19885935702409907</v>
      </c>
      <c r="H224">
        <v>1.1031766805101459</v>
      </c>
      <c r="I224" t="s">
        <v>80</v>
      </c>
    </row>
    <row r="225" spans="1:9" x14ac:dyDescent="0.35">
      <c r="A225" t="s">
        <v>68</v>
      </c>
      <c r="B225" t="s">
        <v>48</v>
      </c>
      <c r="C225" t="s">
        <v>40</v>
      </c>
      <c r="D225">
        <v>2015</v>
      </c>
      <c r="E225">
        <v>1.8717908251089099</v>
      </c>
      <c r="F225">
        <v>1.511701771928704</v>
      </c>
      <c r="G225">
        <f t="shared" si="3"/>
        <v>-0.3600890531802059</v>
      </c>
      <c r="H225">
        <v>1.1031766805101459</v>
      </c>
      <c r="I225" t="s">
        <v>80</v>
      </c>
    </row>
    <row r="226" spans="1:9" x14ac:dyDescent="0.35">
      <c r="A226" t="s">
        <v>70</v>
      </c>
      <c r="B226" t="s">
        <v>45</v>
      </c>
      <c r="C226" t="s">
        <v>38</v>
      </c>
      <c r="D226">
        <v>2015</v>
      </c>
      <c r="E226">
        <v>0.6115453306968277</v>
      </c>
      <c r="F226">
        <v>0.46533578746174248</v>
      </c>
      <c r="G226">
        <f t="shared" si="3"/>
        <v>-0.14620954323508523</v>
      </c>
      <c r="H226">
        <v>0.60506274617036004</v>
      </c>
      <c r="I226" t="s">
        <v>80</v>
      </c>
    </row>
    <row r="227" spans="1:9" x14ac:dyDescent="0.35">
      <c r="A227" t="s">
        <v>70</v>
      </c>
      <c r="B227" t="s">
        <v>46</v>
      </c>
      <c r="C227" t="s">
        <v>40</v>
      </c>
      <c r="D227">
        <v>2015</v>
      </c>
      <c r="E227">
        <v>1.03813878882193</v>
      </c>
      <c r="F227">
        <v>0.46533578746174248</v>
      </c>
      <c r="G227">
        <f t="shared" si="3"/>
        <v>-0.57280300136018747</v>
      </c>
      <c r="H227">
        <v>0.60506274617036004</v>
      </c>
      <c r="I227" t="s">
        <v>80</v>
      </c>
    </row>
    <row r="228" spans="1:9" x14ac:dyDescent="0.35">
      <c r="A228" t="s">
        <v>70</v>
      </c>
      <c r="B228" t="s">
        <v>47</v>
      </c>
      <c r="C228" t="s">
        <v>38</v>
      </c>
      <c r="D228">
        <v>2015</v>
      </c>
      <c r="E228">
        <v>0.33999838965084178</v>
      </c>
      <c r="F228">
        <v>0.46533578746174248</v>
      </c>
      <c r="G228">
        <f t="shared" si="3"/>
        <v>0.1253373978109007</v>
      </c>
      <c r="H228">
        <v>0.60506274617036004</v>
      </c>
      <c r="I228" t="s">
        <v>80</v>
      </c>
    </row>
    <row r="229" spans="1:9" x14ac:dyDescent="0.35">
      <c r="A229" t="s">
        <v>70</v>
      </c>
      <c r="B229" t="s">
        <v>48</v>
      </c>
      <c r="C229" t="s">
        <v>40</v>
      </c>
      <c r="D229">
        <v>2015</v>
      </c>
      <c r="E229">
        <v>0.34221817011690359</v>
      </c>
      <c r="F229">
        <v>0.46533578746174248</v>
      </c>
      <c r="G229">
        <f t="shared" si="3"/>
        <v>0.12311761734483889</v>
      </c>
      <c r="H229">
        <v>0.60506274617036004</v>
      </c>
      <c r="I229" t="s">
        <v>80</v>
      </c>
    </row>
    <row r="230" spans="1:9" x14ac:dyDescent="0.35">
      <c r="A230" t="s">
        <v>73</v>
      </c>
      <c r="B230" t="s">
        <v>45</v>
      </c>
      <c r="C230" t="s">
        <v>38</v>
      </c>
      <c r="D230">
        <v>2015</v>
      </c>
      <c r="E230">
        <v>0.69497120757255892</v>
      </c>
      <c r="F230">
        <v>0.99352475042418931</v>
      </c>
      <c r="G230">
        <f t="shared" si="3"/>
        <v>0.29855354285163038</v>
      </c>
      <c r="H230">
        <v>1.7249833491190609</v>
      </c>
      <c r="I230" t="s">
        <v>80</v>
      </c>
    </row>
    <row r="231" spans="1:9" x14ac:dyDescent="0.35">
      <c r="A231" t="s">
        <v>73</v>
      </c>
      <c r="B231" t="s">
        <v>46</v>
      </c>
      <c r="C231" t="s">
        <v>40</v>
      </c>
      <c r="D231">
        <v>2015</v>
      </c>
      <c r="E231">
        <v>1.4732524317461191</v>
      </c>
      <c r="F231">
        <v>0.99352475042418931</v>
      </c>
      <c r="G231">
        <f t="shared" si="3"/>
        <v>-0.47972768132192978</v>
      </c>
      <c r="H231">
        <v>1.7249833491190609</v>
      </c>
      <c r="I231" t="s">
        <v>80</v>
      </c>
    </row>
    <row r="232" spans="1:9" x14ac:dyDescent="0.35">
      <c r="A232" t="s">
        <v>73</v>
      </c>
      <c r="B232" t="s">
        <v>47</v>
      </c>
      <c r="C232" t="s">
        <v>38</v>
      </c>
      <c r="D232">
        <v>2015</v>
      </c>
      <c r="E232">
        <v>1.0829396488476919</v>
      </c>
      <c r="F232">
        <v>0.99352475042418931</v>
      </c>
      <c r="G232">
        <f t="shared" si="3"/>
        <v>-8.9414898423502587E-2</v>
      </c>
      <c r="H232">
        <v>1.7249833491190609</v>
      </c>
      <c r="I232" t="s">
        <v>80</v>
      </c>
    </row>
    <row r="233" spans="1:9" x14ac:dyDescent="0.35">
      <c r="A233" t="s">
        <v>73</v>
      </c>
      <c r="B233" t="s">
        <v>48</v>
      </c>
      <c r="C233" t="s">
        <v>40</v>
      </c>
      <c r="D233">
        <v>2015</v>
      </c>
      <c r="E233">
        <v>1.081963871443703</v>
      </c>
      <c r="F233">
        <v>0.99352475042418931</v>
      </c>
      <c r="G233">
        <f t="shared" si="3"/>
        <v>-8.8439121019513678E-2</v>
      </c>
      <c r="H233">
        <v>1.7249833491190609</v>
      </c>
      <c r="I233" t="s">
        <v>80</v>
      </c>
    </row>
    <row r="234" spans="1:9" x14ac:dyDescent="0.35">
      <c r="A234" t="s">
        <v>76</v>
      </c>
      <c r="B234" t="s">
        <v>45</v>
      </c>
      <c r="C234" t="s">
        <v>38</v>
      </c>
      <c r="D234">
        <v>2015</v>
      </c>
      <c r="E234">
        <v>1.4152411951803721</v>
      </c>
      <c r="F234">
        <v>2.075992985655045</v>
      </c>
      <c r="G234">
        <f t="shared" si="3"/>
        <v>0.66075179047467292</v>
      </c>
      <c r="H234">
        <v>0.64469227395689221</v>
      </c>
      <c r="I234" t="s">
        <v>80</v>
      </c>
    </row>
    <row r="235" spans="1:9" x14ac:dyDescent="0.35">
      <c r="A235" t="s">
        <v>76</v>
      </c>
      <c r="B235" t="s">
        <v>46</v>
      </c>
      <c r="C235" t="s">
        <v>40</v>
      </c>
      <c r="D235">
        <v>2015</v>
      </c>
      <c r="E235">
        <v>1.3587126188379759</v>
      </c>
      <c r="F235">
        <v>2.075992985655045</v>
      </c>
      <c r="G235">
        <f t="shared" si="3"/>
        <v>0.71728036681706908</v>
      </c>
      <c r="H235">
        <v>0.64469227395689221</v>
      </c>
      <c r="I235" t="s">
        <v>80</v>
      </c>
    </row>
    <row r="236" spans="1:9" x14ac:dyDescent="0.35">
      <c r="A236" t="s">
        <v>76</v>
      </c>
      <c r="B236" t="s">
        <v>47</v>
      </c>
      <c r="C236" t="s">
        <v>38</v>
      </c>
      <c r="D236">
        <v>2015</v>
      </c>
      <c r="E236">
        <v>2.048080115775686</v>
      </c>
      <c r="F236">
        <v>2.075992985655045</v>
      </c>
      <c r="G236">
        <f t="shared" si="3"/>
        <v>2.7912869879358926E-2</v>
      </c>
      <c r="H236">
        <v>0.64469227395689221</v>
      </c>
      <c r="I236" t="s">
        <v>80</v>
      </c>
    </row>
    <row r="237" spans="1:9" x14ac:dyDescent="0.35">
      <c r="A237" t="s">
        <v>76</v>
      </c>
      <c r="B237" t="s">
        <v>48</v>
      </c>
      <c r="C237" t="s">
        <v>40</v>
      </c>
      <c r="D237">
        <v>2015</v>
      </c>
      <c r="E237">
        <v>1.634744403265187</v>
      </c>
      <c r="F237">
        <v>2.075992985655045</v>
      </c>
      <c r="G237">
        <f t="shared" si="3"/>
        <v>0.44124858238985798</v>
      </c>
      <c r="H237">
        <v>0.64469227395689221</v>
      </c>
      <c r="I237" t="s">
        <v>80</v>
      </c>
    </row>
    <row r="238" spans="1:9" x14ac:dyDescent="0.35">
      <c r="A238" t="s">
        <v>68</v>
      </c>
      <c r="B238" t="s">
        <v>47</v>
      </c>
      <c r="C238" t="s">
        <v>38</v>
      </c>
      <c r="D238">
        <v>2016</v>
      </c>
      <c r="E238">
        <v>1.9064608618794221</v>
      </c>
      <c r="F238">
        <v>2.1850659941992001</v>
      </c>
      <c r="G238">
        <f t="shared" si="3"/>
        <v>0.27860513231977801</v>
      </c>
      <c r="H238">
        <v>1.7278102370699631</v>
      </c>
      <c r="I238" t="s">
        <v>80</v>
      </c>
    </row>
    <row r="239" spans="1:9" x14ac:dyDescent="0.35">
      <c r="A239" t="s">
        <v>68</v>
      </c>
      <c r="B239" t="s">
        <v>48</v>
      </c>
      <c r="C239" t="s">
        <v>40</v>
      </c>
      <c r="D239">
        <v>2016</v>
      </c>
      <c r="E239">
        <v>2.0247448397811012</v>
      </c>
      <c r="F239">
        <v>2.1850659941992001</v>
      </c>
      <c r="G239">
        <f t="shared" si="3"/>
        <v>0.16032115441809891</v>
      </c>
      <c r="H239">
        <v>1.7278102370699631</v>
      </c>
      <c r="I239" t="s">
        <v>80</v>
      </c>
    </row>
    <row r="240" spans="1:9" x14ac:dyDescent="0.35">
      <c r="A240" t="s">
        <v>68</v>
      </c>
      <c r="B240" t="s">
        <v>49</v>
      </c>
      <c r="C240" t="s">
        <v>38</v>
      </c>
      <c r="D240">
        <v>2016</v>
      </c>
      <c r="E240">
        <v>1.9388708932542631</v>
      </c>
      <c r="F240">
        <v>2.1850659941992001</v>
      </c>
      <c r="G240">
        <f t="shared" si="3"/>
        <v>0.24619510094493702</v>
      </c>
      <c r="H240">
        <v>1.7278102370699631</v>
      </c>
      <c r="I240" t="s">
        <v>80</v>
      </c>
    </row>
    <row r="241" spans="1:9" x14ac:dyDescent="0.35">
      <c r="A241" t="s">
        <v>68</v>
      </c>
      <c r="B241" t="s">
        <v>50</v>
      </c>
      <c r="C241" t="s">
        <v>40</v>
      </c>
      <c r="D241">
        <v>2016</v>
      </c>
      <c r="E241">
        <v>1.624850184809512</v>
      </c>
      <c r="F241">
        <v>2.1850659941992001</v>
      </c>
      <c r="G241">
        <f t="shared" si="3"/>
        <v>0.56021580938968807</v>
      </c>
      <c r="H241">
        <v>1.7278102370699631</v>
      </c>
      <c r="I241" t="s">
        <v>80</v>
      </c>
    </row>
    <row r="242" spans="1:9" x14ac:dyDescent="0.35">
      <c r="A242" t="s">
        <v>73</v>
      </c>
      <c r="B242" t="s">
        <v>47</v>
      </c>
      <c r="C242" t="s">
        <v>38</v>
      </c>
      <c r="D242">
        <v>2016</v>
      </c>
      <c r="E242">
        <v>1.4293943423307589</v>
      </c>
      <c r="F242">
        <v>0.7341997048160207</v>
      </c>
      <c r="G242">
        <f t="shared" si="3"/>
        <v>-0.6951946375147382</v>
      </c>
      <c r="H242">
        <v>3.5710800648607801</v>
      </c>
      <c r="I242" t="s">
        <v>80</v>
      </c>
    </row>
    <row r="243" spans="1:9" x14ac:dyDescent="0.35">
      <c r="A243" t="s">
        <v>73</v>
      </c>
      <c r="B243" t="s">
        <v>48</v>
      </c>
      <c r="C243" t="s">
        <v>40</v>
      </c>
      <c r="D243">
        <v>2016</v>
      </c>
      <c r="E243">
        <v>1.6816047146198001</v>
      </c>
      <c r="F243">
        <v>0.7341997048160207</v>
      </c>
      <c r="G243">
        <f t="shared" si="3"/>
        <v>-0.9474050098037794</v>
      </c>
      <c r="H243">
        <v>3.5710800648607801</v>
      </c>
      <c r="I243" t="s">
        <v>80</v>
      </c>
    </row>
    <row r="244" spans="1:9" x14ac:dyDescent="0.35">
      <c r="A244" t="s">
        <v>73</v>
      </c>
      <c r="B244" t="s">
        <v>49</v>
      </c>
      <c r="C244" t="s">
        <v>38</v>
      </c>
      <c r="D244">
        <v>2016</v>
      </c>
      <c r="E244">
        <v>1.254473785454957</v>
      </c>
      <c r="F244">
        <v>0.7341997048160207</v>
      </c>
      <c r="G244">
        <f t="shared" si="3"/>
        <v>-0.52027408063893632</v>
      </c>
      <c r="H244">
        <v>3.5710800648607801</v>
      </c>
      <c r="I244" t="s">
        <v>80</v>
      </c>
    </row>
    <row r="245" spans="1:9" x14ac:dyDescent="0.35">
      <c r="A245" t="s">
        <v>73</v>
      </c>
      <c r="B245" t="s">
        <v>50</v>
      </c>
      <c r="C245" t="s">
        <v>40</v>
      </c>
      <c r="D245">
        <v>2016</v>
      </c>
      <c r="E245">
        <v>1.331417785335498</v>
      </c>
      <c r="F245">
        <v>0.7341997048160207</v>
      </c>
      <c r="G245">
        <f t="shared" si="3"/>
        <v>-0.59721808051947733</v>
      </c>
      <c r="H245">
        <v>3.5710800648607801</v>
      </c>
      <c r="I245" t="s">
        <v>80</v>
      </c>
    </row>
    <row r="246" spans="1:9" x14ac:dyDescent="0.35">
      <c r="A246" t="s">
        <v>76</v>
      </c>
      <c r="B246" t="s">
        <v>47</v>
      </c>
      <c r="C246" t="s">
        <v>38</v>
      </c>
      <c r="D246">
        <v>2016</v>
      </c>
      <c r="E246">
        <v>2.1325986777734669</v>
      </c>
      <c r="F246">
        <v>2.3909782656438301</v>
      </c>
      <c r="G246">
        <f t="shared" si="3"/>
        <v>0.25837958787036319</v>
      </c>
      <c r="H246">
        <v>0.88869438219391805</v>
      </c>
      <c r="I246" t="s">
        <v>80</v>
      </c>
    </row>
    <row r="247" spans="1:9" x14ac:dyDescent="0.35">
      <c r="A247" t="s">
        <v>76</v>
      </c>
      <c r="B247" t="s">
        <v>48</v>
      </c>
      <c r="C247" t="s">
        <v>40</v>
      </c>
      <c r="D247">
        <v>2016</v>
      </c>
      <c r="E247">
        <v>1.7327119888610909</v>
      </c>
      <c r="F247">
        <v>2.3909782656438301</v>
      </c>
      <c r="G247">
        <f t="shared" si="3"/>
        <v>0.65826627678273919</v>
      </c>
      <c r="H247">
        <v>0.88869438219391805</v>
      </c>
      <c r="I247" t="s">
        <v>80</v>
      </c>
    </row>
    <row r="248" spans="1:9" x14ac:dyDescent="0.35">
      <c r="A248" t="s">
        <v>76</v>
      </c>
      <c r="B248" t="s">
        <v>49</v>
      </c>
      <c r="C248" t="s">
        <v>38</v>
      </c>
      <c r="D248">
        <v>2016</v>
      </c>
      <c r="E248">
        <v>1.6589744219452249</v>
      </c>
      <c r="F248">
        <v>2.3909782656438301</v>
      </c>
      <c r="G248">
        <f t="shared" si="3"/>
        <v>0.73200384369860516</v>
      </c>
      <c r="H248">
        <v>0.88869438219391805</v>
      </c>
      <c r="I248" t="s">
        <v>80</v>
      </c>
    </row>
    <row r="249" spans="1:9" x14ac:dyDescent="0.35">
      <c r="A249" t="s">
        <v>76</v>
      </c>
      <c r="B249" t="s">
        <v>50</v>
      </c>
      <c r="C249" t="s">
        <v>40</v>
      </c>
      <c r="D249">
        <v>2016</v>
      </c>
      <c r="E249">
        <v>1.6774792555238389</v>
      </c>
      <c r="F249">
        <v>2.3909782656438301</v>
      </c>
      <c r="G249">
        <f t="shared" si="3"/>
        <v>0.71349901011999117</v>
      </c>
      <c r="H249">
        <v>0.88869438219391805</v>
      </c>
      <c r="I249" t="s">
        <v>80</v>
      </c>
    </row>
    <row r="250" spans="1:9" x14ac:dyDescent="0.35">
      <c r="A250" t="s">
        <v>67</v>
      </c>
      <c r="B250" t="s">
        <v>49</v>
      </c>
      <c r="C250" t="s">
        <v>38</v>
      </c>
      <c r="D250">
        <v>2017</v>
      </c>
      <c r="E250">
        <v>1.3129307877172809</v>
      </c>
      <c r="F250">
        <v>1.4637105039357461</v>
      </c>
      <c r="G250">
        <f t="shared" si="3"/>
        <v>0.1507797162184652</v>
      </c>
      <c r="H250">
        <v>0.66525710185055431</v>
      </c>
      <c r="I250" t="s">
        <v>80</v>
      </c>
    </row>
    <row r="251" spans="1:9" x14ac:dyDescent="0.35">
      <c r="A251" t="s">
        <v>67</v>
      </c>
      <c r="B251" t="s">
        <v>50</v>
      </c>
      <c r="C251" t="s">
        <v>40</v>
      </c>
      <c r="D251">
        <v>2017</v>
      </c>
      <c r="E251">
        <v>1.566209901734994</v>
      </c>
      <c r="F251">
        <v>1.4637105039357461</v>
      </c>
      <c r="G251">
        <f t="shared" si="3"/>
        <v>-0.10249939779924788</v>
      </c>
      <c r="H251">
        <v>0.66525710185055431</v>
      </c>
      <c r="I251" t="s">
        <v>80</v>
      </c>
    </row>
    <row r="252" spans="1:9" x14ac:dyDescent="0.35">
      <c r="A252" t="s">
        <v>67</v>
      </c>
      <c r="B252" t="s">
        <v>51</v>
      </c>
      <c r="C252" t="s">
        <v>38</v>
      </c>
      <c r="D252">
        <v>2017</v>
      </c>
      <c r="E252">
        <v>1.732555567629479</v>
      </c>
      <c r="F252">
        <v>1.4637105039357461</v>
      </c>
      <c r="G252">
        <f t="shared" si="3"/>
        <v>-0.26884506369373296</v>
      </c>
      <c r="H252">
        <v>0.66525710185055431</v>
      </c>
      <c r="I252" t="s">
        <v>80</v>
      </c>
    </row>
    <row r="253" spans="1:9" x14ac:dyDescent="0.35">
      <c r="A253" t="s">
        <v>67</v>
      </c>
      <c r="B253" t="s">
        <v>52</v>
      </c>
      <c r="C253" t="s">
        <v>40</v>
      </c>
      <c r="D253">
        <v>2017</v>
      </c>
      <c r="E253">
        <v>1.543494370971477</v>
      </c>
      <c r="F253">
        <v>1.4637105039357461</v>
      </c>
      <c r="G253">
        <f t="shared" si="3"/>
        <v>-7.9783867035730927E-2</v>
      </c>
      <c r="H253">
        <v>0.66525710185055431</v>
      </c>
      <c r="I253" t="s">
        <v>80</v>
      </c>
    </row>
    <row r="254" spans="1:9" x14ac:dyDescent="0.35">
      <c r="A254" t="s">
        <v>68</v>
      </c>
      <c r="B254" t="s">
        <v>49</v>
      </c>
      <c r="C254" t="s">
        <v>38</v>
      </c>
      <c r="D254">
        <v>2017</v>
      </c>
      <c r="E254">
        <v>1.4744000913811779</v>
      </c>
      <c r="F254">
        <v>3.139119319610074</v>
      </c>
      <c r="G254">
        <f t="shared" si="3"/>
        <v>1.6647192282288961</v>
      </c>
      <c r="H254">
        <v>2.4831104150519061</v>
      </c>
      <c r="I254" t="s">
        <v>80</v>
      </c>
    </row>
    <row r="255" spans="1:9" x14ac:dyDescent="0.35">
      <c r="A255" t="s">
        <v>68</v>
      </c>
      <c r="B255" t="s">
        <v>50</v>
      </c>
      <c r="C255" t="s">
        <v>40</v>
      </c>
      <c r="D255">
        <v>2017</v>
      </c>
      <c r="E255">
        <v>1.5665137095587811</v>
      </c>
      <c r="F255">
        <v>3.139119319610074</v>
      </c>
      <c r="G255">
        <f t="shared" si="3"/>
        <v>1.5726056100512928</v>
      </c>
      <c r="H255">
        <v>2.4831104150519061</v>
      </c>
      <c r="I255" t="s">
        <v>80</v>
      </c>
    </row>
    <row r="256" spans="1:9" x14ac:dyDescent="0.35">
      <c r="A256" t="s">
        <v>68</v>
      </c>
      <c r="B256" t="s">
        <v>51</v>
      </c>
      <c r="C256" t="s">
        <v>38</v>
      </c>
      <c r="D256">
        <v>2017</v>
      </c>
      <c r="E256">
        <v>2.1518537819505301</v>
      </c>
      <c r="F256">
        <v>3.139119319610074</v>
      </c>
      <c r="G256">
        <f t="shared" si="3"/>
        <v>0.98726553765954383</v>
      </c>
      <c r="H256">
        <v>2.4831104150519061</v>
      </c>
      <c r="I256" t="s">
        <v>80</v>
      </c>
    </row>
    <row r="257" spans="1:9" x14ac:dyDescent="0.35">
      <c r="A257" t="s">
        <v>68</v>
      </c>
      <c r="B257" t="s">
        <v>52</v>
      </c>
      <c r="C257" t="s">
        <v>40</v>
      </c>
      <c r="D257">
        <v>2017</v>
      </c>
      <c r="E257">
        <v>1.6411721834364681</v>
      </c>
      <c r="F257">
        <v>3.139119319610074</v>
      </c>
      <c r="G257">
        <f t="shared" si="3"/>
        <v>1.4979471361736059</v>
      </c>
      <c r="H257">
        <v>2.4831104150519061</v>
      </c>
      <c r="I257" t="s">
        <v>80</v>
      </c>
    </row>
    <row r="258" spans="1:9" x14ac:dyDescent="0.35">
      <c r="A258" t="s">
        <v>70</v>
      </c>
      <c r="B258" t="s">
        <v>49</v>
      </c>
      <c r="C258" t="s">
        <v>38</v>
      </c>
      <c r="D258">
        <v>2017</v>
      </c>
      <c r="E258">
        <v>0.7788253796826794</v>
      </c>
      <c r="F258">
        <v>3.2509193804219478</v>
      </c>
      <c r="G258">
        <f t="shared" ref="G258:G321" si="4">IF(OR(F258="",E258=""),"",F258-E258)</f>
        <v>2.4720940007392684</v>
      </c>
      <c r="H258">
        <v>1.0157922572339311</v>
      </c>
      <c r="I258" t="s">
        <v>80</v>
      </c>
    </row>
    <row r="259" spans="1:9" x14ac:dyDescent="0.35">
      <c r="A259" t="s">
        <v>70</v>
      </c>
      <c r="B259" t="s">
        <v>50</v>
      </c>
      <c r="C259" t="s">
        <v>40</v>
      </c>
      <c r="D259">
        <v>2017</v>
      </c>
      <c r="E259">
        <v>0.72652337554917068</v>
      </c>
      <c r="F259">
        <v>3.2509193804219478</v>
      </c>
      <c r="G259">
        <f t="shared" si="4"/>
        <v>2.5243960048727772</v>
      </c>
      <c r="H259">
        <v>1.0157922572339311</v>
      </c>
      <c r="I259" t="s">
        <v>80</v>
      </c>
    </row>
    <row r="260" spans="1:9" x14ac:dyDescent="0.35">
      <c r="A260" t="s">
        <v>70</v>
      </c>
      <c r="B260" t="s">
        <v>51</v>
      </c>
      <c r="C260" t="s">
        <v>38</v>
      </c>
      <c r="D260">
        <v>2017</v>
      </c>
      <c r="E260">
        <v>3.2999705467780189</v>
      </c>
      <c r="F260">
        <v>3.2509193804219478</v>
      </c>
      <c r="G260">
        <f t="shared" si="4"/>
        <v>-4.9051166356071096E-2</v>
      </c>
      <c r="H260">
        <v>1.0157922572339311</v>
      </c>
      <c r="I260" t="s">
        <v>80</v>
      </c>
    </row>
    <row r="261" spans="1:9" x14ac:dyDescent="0.35">
      <c r="A261" t="s">
        <v>70</v>
      </c>
      <c r="B261" t="s">
        <v>52</v>
      </c>
      <c r="C261" t="s">
        <v>40</v>
      </c>
      <c r="D261">
        <v>2017</v>
      </c>
      <c r="E261">
        <v>1.2981877046543739</v>
      </c>
      <c r="F261">
        <v>3.2509193804219478</v>
      </c>
      <c r="G261">
        <f t="shared" si="4"/>
        <v>1.9527316757675739</v>
      </c>
      <c r="H261">
        <v>1.0157922572339311</v>
      </c>
      <c r="I261" t="s">
        <v>80</v>
      </c>
    </row>
    <row r="262" spans="1:9" x14ac:dyDescent="0.35">
      <c r="A262" t="s">
        <v>73</v>
      </c>
      <c r="B262" t="s">
        <v>49</v>
      </c>
      <c r="C262" t="s">
        <v>38</v>
      </c>
      <c r="D262">
        <v>2017</v>
      </c>
      <c r="E262">
        <v>1.3568331696729889</v>
      </c>
      <c r="F262">
        <v>2.2441414587468929</v>
      </c>
      <c r="G262">
        <f t="shared" si="4"/>
        <v>0.88730828907390391</v>
      </c>
      <c r="H262">
        <v>5.2254768121978712</v>
      </c>
      <c r="I262" t="s">
        <v>80</v>
      </c>
    </row>
    <row r="263" spans="1:9" x14ac:dyDescent="0.35">
      <c r="A263" t="s">
        <v>73</v>
      </c>
      <c r="B263" t="s">
        <v>50</v>
      </c>
      <c r="C263" t="s">
        <v>40</v>
      </c>
      <c r="D263">
        <v>2017</v>
      </c>
      <c r="E263">
        <v>1.686145619472357</v>
      </c>
      <c r="F263">
        <v>2.2441414587468929</v>
      </c>
      <c r="G263">
        <f t="shared" si="4"/>
        <v>0.55799583927453589</v>
      </c>
      <c r="H263">
        <v>5.2254768121978712</v>
      </c>
      <c r="I263" t="s">
        <v>80</v>
      </c>
    </row>
    <row r="264" spans="1:9" x14ac:dyDescent="0.35">
      <c r="A264" t="s">
        <v>73</v>
      </c>
      <c r="B264" t="s">
        <v>51</v>
      </c>
      <c r="C264" t="s">
        <v>38</v>
      </c>
      <c r="D264">
        <v>2017</v>
      </c>
      <c r="E264">
        <v>1.6108305416448809</v>
      </c>
      <c r="F264">
        <v>2.2441414587468929</v>
      </c>
      <c r="G264">
        <f t="shared" si="4"/>
        <v>0.63331091710201193</v>
      </c>
      <c r="H264">
        <v>5.2254768121978712</v>
      </c>
      <c r="I264" t="s">
        <v>80</v>
      </c>
    </row>
    <row r="265" spans="1:9" x14ac:dyDescent="0.35">
      <c r="A265" t="s">
        <v>73</v>
      </c>
      <c r="B265" t="s">
        <v>52</v>
      </c>
      <c r="C265" t="s">
        <v>40</v>
      </c>
      <c r="D265">
        <v>2017</v>
      </c>
      <c r="E265">
        <v>1.353609964652547</v>
      </c>
      <c r="F265">
        <v>2.2441414587468929</v>
      </c>
      <c r="G265">
        <f t="shared" si="4"/>
        <v>0.89053149409434584</v>
      </c>
      <c r="H265">
        <v>5.2254768121978712</v>
      </c>
      <c r="I265" t="s">
        <v>80</v>
      </c>
    </row>
    <row r="266" spans="1:9" x14ac:dyDescent="0.35">
      <c r="A266" t="s">
        <v>76</v>
      </c>
      <c r="B266" t="s">
        <v>49</v>
      </c>
      <c r="C266" t="s">
        <v>38</v>
      </c>
      <c r="D266">
        <v>2017</v>
      </c>
      <c r="E266">
        <v>1.6517530585588249</v>
      </c>
      <c r="F266">
        <v>2.7431906089065579</v>
      </c>
      <c r="G266">
        <f t="shared" si="4"/>
        <v>1.0914375503477329</v>
      </c>
      <c r="H266">
        <v>0.91375556201106944</v>
      </c>
      <c r="I266" t="s">
        <v>80</v>
      </c>
    </row>
    <row r="267" spans="1:9" x14ac:dyDescent="0.35">
      <c r="A267" t="s">
        <v>76</v>
      </c>
      <c r="B267" t="s">
        <v>50</v>
      </c>
      <c r="C267" t="s">
        <v>40</v>
      </c>
      <c r="D267">
        <v>2017</v>
      </c>
      <c r="E267">
        <v>1.9694041267229729</v>
      </c>
      <c r="F267">
        <v>2.7431906089065579</v>
      </c>
      <c r="G267">
        <f t="shared" si="4"/>
        <v>0.77378648218358492</v>
      </c>
      <c r="H267">
        <v>0.91375556201106944</v>
      </c>
      <c r="I267" t="s">
        <v>80</v>
      </c>
    </row>
    <row r="268" spans="1:9" x14ac:dyDescent="0.35">
      <c r="A268" t="s">
        <v>76</v>
      </c>
      <c r="B268" t="s">
        <v>51</v>
      </c>
      <c r="C268" t="s">
        <v>38</v>
      </c>
      <c r="D268">
        <v>2017</v>
      </c>
      <c r="E268">
        <v>3.2081591137887999</v>
      </c>
      <c r="F268">
        <v>2.7431906089065579</v>
      </c>
      <c r="G268">
        <f t="shared" si="4"/>
        <v>-0.46496850488224206</v>
      </c>
      <c r="H268">
        <v>0.91375556201106944</v>
      </c>
      <c r="I268" t="s">
        <v>80</v>
      </c>
    </row>
    <row r="269" spans="1:9" x14ac:dyDescent="0.35">
      <c r="A269" t="s">
        <v>76</v>
      </c>
      <c r="B269" t="s">
        <v>52</v>
      </c>
      <c r="C269" t="s">
        <v>40</v>
      </c>
      <c r="D269">
        <v>2017</v>
      </c>
      <c r="E269">
        <v>2.1108256212513781</v>
      </c>
      <c r="F269">
        <v>2.7431906089065579</v>
      </c>
      <c r="G269">
        <f t="shared" si="4"/>
        <v>0.63236498765517979</v>
      </c>
      <c r="H269">
        <v>0.91375556201106944</v>
      </c>
      <c r="I269" t="s">
        <v>80</v>
      </c>
    </row>
    <row r="270" spans="1:9" x14ac:dyDescent="0.35">
      <c r="A270" t="s">
        <v>68</v>
      </c>
      <c r="B270" t="s">
        <v>51</v>
      </c>
      <c r="C270" t="s">
        <v>38</v>
      </c>
      <c r="D270">
        <v>2018</v>
      </c>
      <c r="E270">
        <v>2.1207866853858448</v>
      </c>
      <c r="F270">
        <v>1.2673227814059229</v>
      </c>
      <c r="G270">
        <f t="shared" si="4"/>
        <v>-0.85346390397992189</v>
      </c>
      <c r="H270">
        <v>2.6363043986490182</v>
      </c>
      <c r="I270" t="s">
        <v>80</v>
      </c>
    </row>
    <row r="271" spans="1:9" x14ac:dyDescent="0.35">
      <c r="A271" t="s">
        <v>68</v>
      </c>
      <c r="B271" t="s">
        <v>52</v>
      </c>
      <c r="C271" t="s">
        <v>40</v>
      </c>
      <c r="D271">
        <v>2018</v>
      </c>
      <c r="E271">
        <v>1.853976950650349</v>
      </c>
      <c r="F271">
        <v>1.2673227814059229</v>
      </c>
      <c r="G271">
        <f t="shared" si="4"/>
        <v>-0.58665416924442604</v>
      </c>
      <c r="H271">
        <v>2.6363043986490182</v>
      </c>
      <c r="I271" t="s">
        <v>80</v>
      </c>
    </row>
    <row r="272" spans="1:9" x14ac:dyDescent="0.35">
      <c r="A272" t="s">
        <v>68</v>
      </c>
      <c r="B272" t="s">
        <v>53</v>
      </c>
      <c r="C272" t="s">
        <v>38</v>
      </c>
      <c r="D272">
        <v>2018</v>
      </c>
      <c r="E272">
        <v>1.7181609113874341</v>
      </c>
      <c r="F272">
        <v>1.2673227814059229</v>
      </c>
      <c r="G272">
        <f t="shared" si="4"/>
        <v>-0.45083812998151118</v>
      </c>
      <c r="H272">
        <v>2.6363043986490182</v>
      </c>
      <c r="I272" t="s">
        <v>80</v>
      </c>
    </row>
    <row r="273" spans="1:9" x14ac:dyDescent="0.35">
      <c r="A273" t="s">
        <v>68</v>
      </c>
      <c r="B273" t="s">
        <v>54</v>
      </c>
      <c r="C273" t="s">
        <v>40</v>
      </c>
      <c r="D273">
        <v>2018</v>
      </c>
      <c r="E273">
        <v>2.3062043523037761</v>
      </c>
      <c r="F273">
        <v>1.2673227814059229</v>
      </c>
      <c r="G273">
        <f t="shared" si="4"/>
        <v>-1.0388815708978532</v>
      </c>
      <c r="H273">
        <v>2.6363043986490182</v>
      </c>
      <c r="I273" t="s">
        <v>80</v>
      </c>
    </row>
    <row r="274" spans="1:9" x14ac:dyDescent="0.35">
      <c r="A274" t="s">
        <v>70</v>
      </c>
      <c r="B274" t="s">
        <v>51</v>
      </c>
      <c r="C274" t="s">
        <v>38</v>
      </c>
      <c r="D274">
        <v>2018</v>
      </c>
      <c r="E274">
        <v>2.6543445907794232</v>
      </c>
      <c r="F274">
        <v>1.1858569030435471</v>
      </c>
      <c r="G274">
        <f t="shared" si="4"/>
        <v>-1.4684876877358761</v>
      </c>
      <c r="H274">
        <v>1.179774587977132</v>
      </c>
      <c r="I274" t="s">
        <v>80</v>
      </c>
    </row>
    <row r="275" spans="1:9" x14ac:dyDescent="0.35">
      <c r="A275" t="s">
        <v>70</v>
      </c>
      <c r="B275" t="s">
        <v>52</v>
      </c>
      <c r="C275" t="s">
        <v>40</v>
      </c>
      <c r="D275">
        <v>2018</v>
      </c>
      <c r="E275">
        <v>1.745345139008192</v>
      </c>
      <c r="F275">
        <v>1.1858569030435471</v>
      </c>
      <c r="G275">
        <f t="shared" si="4"/>
        <v>-0.55948823596464492</v>
      </c>
      <c r="H275">
        <v>1.179774587977132</v>
      </c>
      <c r="I275" t="s">
        <v>80</v>
      </c>
    </row>
    <row r="276" spans="1:9" x14ac:dyDescent="0.35">
      <c r="A276" t="s">
        <v>70</v>
      </c>
      <c r="B276" t="s">
        <v>53</v>
      </c>
      <c r="C276" t="s">
        <v>38</v>
      </c>
      <c r="D276">
        <v>2018</v>
      </c>
      <c r="E276">
        <v>2.8893530093298199</v>
      </c>
      <c r="F276">
        <v>1.1858569030435471</v>
      </c>
      <c r="G276">
        <f t="shared" si="4"/>
        <v>-1.7034961062862728</v>
      </c>
      <c r="H276">
        <v>1.179774587977132</v>
      </c>
      <c r="I276" t="s">
        <v>80</v>
      </c>
    </row>
    <row r="277" spans="1:9" x14ac:dyDescent="0.35">
      <c r="A277" t="s">
        <v>70</v>
      </c>
      <c r="B277" t="s">
        <v>54</v>
      </c>
      <c r="C277" t="s">
        <v>40</v>
      </c>
      <c r="D277">
        <v>2018</v>
      </c>
      <c r="E277">
        <v>2.519865182310288</v>
      </c>
      <c r="F277">
        <v>1.1858569030435471</v>
      </c>
      <c r="G277">
        <f t="shared" si="4"/>
        <v>-1.3340082792667409</v>
      </c>
      <c r="H277">
        <v>1.179774587977132</v>
      </c>
      <c r="I277" t="s">
        <v>80</v>
      </c>
    </row>
    <row r="278" spans="1:9" x14ac:dyDescent="0.35">
      <c r="A278" t="s">
        <v>73</v>
      </c>
      <c r="B278" t="s">
        <v>51</v>
      </c>
      <c r="C278" t="s">
        <v>38</v>
      </c>
      <c r="D278">
        <v>2018</v>
      </c>
      <c r="E278">
        <v>1.745757461080699</v>
      </c>
      <c r="F278">
        <v>1.5720137685547519</v>
      </c>
      <c r="G278">
        <f t="shared" si="4"/>
        <v>-0.17374369252594701</v>
      </c>
      <c r="H278">
        <v>5.4419309718861699</v>
      </c>
      <c r="I278" t="s">
        <v>80</v>
      </c>
    </row>
    <row r="279" spans="1:9" x14ac:dyDescent="0.35">
      <c r="A279" t="s">
        <v>73</v>
      </c>
      <c r="B279" t="s">
        <v>52</v>
      </c>
      <c r="C279" t="s">
        <v>40</v>
      </c>
      <c r="D279">
        <v>2018</v>
      </c>
      <c r="E279">
        <v>1.72584962487905</v>
      </c>
      <c r="F279">
        <v>1.5720137685547519</v>
      </c>
      <c r="G279">
        <f t="shared" si="4"/>
        <v>-0.15383585632429808</v>
      </c>
      <c r="H279">
        <v>5.4419309718861699</v>
      </c>
      <c r="I279" t="s">
        <v>80</v>
      </c>
    </row>
    <row r="280" spans="1:9" x14ac:dyDescent="0.35">
      <c r="A280" t="s">
        <v>73</v>
      </c>
      <c r="B280" t="s">
        <v>53</v>
      </c>
      <c r="C280" t="s">
        <v>38</v>
      </c>
      <c r="D280">
        <v>2018</v>
      </c>
      <c r="E280">
        <v>1.6664324661772369</v>
      </c>
      <c r="F280">
        <v>1.5720137685547519</v>
      </c>
      <c r="G280">
        <f t="shared" si="4"/>
        <v>-9.4418697622485004E-2</v>
      </c>
      <c r="H280">
        <v>5.4419309718861699</v>
      </c>
      <c r="I280" t="s">
        <v>80</v>
      </c>
    </row>
    <row r="281" spans="1:9" x14ac:dyDescent="0.35">
      <c r="A281" t="s">
        <v>73</v>
      </c>
      <c r="B281" t="s">
        <v>54</v>
      </c>
      <c r="C281" t="s">
        <v>40</v>
      </c>
      <c r="D281">
        <v>2018</v>
      </c>
      <c r="E281">
        <v>1.989603282667241</v>
      </c>
      <c r="F281">
        <v>1.5720137685547519</v>
      </c>
      <c r="G281">
        <f t="shared" si="4"/>
        <v>-0.41758951411248901</v>
      </c>
      <c r="H281">
        <v>5.4419309718861699</v>
      </c>
      <c r="I281" t="s">
        <v>80</v>
      </c>
    </row>
    <row r="282" spans="1:9" x14ac:dyDescent="0.35">
      <c r="A282" t="s">
        <v>76</v>
      </c>
      <c r="B282" t="s">
        <v>51</v>
      </c>
      <c r="C282" t="s">
        <v>38</v>
      </c>
      <c r="D282">
        <v>2018</v>
      </c>
      <c r="E282">
        <v>2.719855882122268</v>
      </c>
      <c r="F282">
        <v>2.2276489335745251</v>
      </c>
      <c r="G282">
        <f t="shared" si="4"/>
        <v>-0.49220694854774294</v>
      </c>
      <c r="H282">
        <v>1.074386415797439</v>
      </c>
      <c r="I282" t="s">
        <v>80</v>
      </c>
    </row>
    <row r="283" spans="1:9" x14ac:dyDescent="0.35">
      <c r="A283" t="s">
        <v>76</v>
      </c>
      <c r="B283" t="s">
        <v>52</v>
      </c>
      <c r="C283" t="s">
        <v>40</v>
      </c>
      <c r="D283">
        <v>2018</v>
      </c>
      <c r="E283">
        <v>1.81696463155987</v>
      </c>
      <c r="F283">
        <v>2.2276489335745251</v>
      </c>
      <c r="G283">
        <f t="shared" si="4"/>
        <v>0.41068430201465511</v>
      </c>
      <c r="H283">
        <v>1.074386415797439</v>
      </c>
      <c r="I283" t="s">
        <v>80</v>
      </c>
    </row>
    <row r="284" spans="1:9" x14ac:dyDescent="0.35">
      <c r="A284" t="s">
        <v>76</v>
      </c>
      <c r="B284" t="s">
        <v>53</v>
      </c>
      <c r="C284" t="s">
        <v>38</v>
      </c>
      <c r="D284">
        <v>2018</v>
      </c>
      <c r="E284">
        <v>2.836804692292016</v>
      </c>
      <c r="F284">
        <v>2.2276489335745251</v>
      </c>
      <c r="G284">
        <f t="shared" si="4"/>
        <v>-0.60915575871749095</v>
      </c>
      <c r="H284">
        <v>1.074386415797439</v>
      </c>
      <c r="I284" t="s">
        <v>80</v>
      </c>
    </row>
    <row r="285" spans="1:9" x14ac:dyDescent="0.35">
      <c r="A285" t="s">
        <v>76</v>
      </c>
      <c r="B285" t="s">
        <v>54</v>
      </c>
      <c r="C285" t="s">
        <v>40</v>
      </c>
      <c r="D285">
        <v>2018</v>
      </c>
      <c r="E285">
        <v>2.9504045313044398</v>
      </c>
      <c r="F285">
        <v>2.2276489335745251</v>
      </c>
      <c r="G285">
        <f t="shared" si="4"/>
        <v>-0.72275559772991471</v>
      </c>
      <c r="H285">
        <v>1.074386415797439</v>
      </c>
      <c r="I285" t="s">
        <v>80</v>
      </c>
    </row>
    <row r="286" spans="1:9" x14ac:dyDescent="0.35">
      <c r="A286" t="s">
        <v>68</v>
      </c>
      <c r="B286" t="s">
        <v>53</v>
      </c>
      <c r="C286" t="s">
        <v>38</v>
      </c>
      <c r="D286">
        <v>2019</v>
      </c>
      <c r="E286">
        <v>1.837083008004692</v>
      </c>
      <c r="F286">
        <v>1.110244719033926</v>
      </c>
      <c r="G286">
        <f t="shared" si="4"/>
        <v>-0.72683828897076608</v>
      </c>
      <c r="H286">
        <v>3.7776131748386681</v>
      </c>
      <c r="I286" t="s">
        <v>80</v>
      </c>
    </row>
    <row r="287" spans="1:9" x14ac:dyDescent="0.35">
      <c r="A287" t="s">
        <v>68</v>
      </c>
      <c r="B287" t="s">
        <v>54</v>
      </c>
      <c r="C287" t="s">
        <v>40</v>
      </c>
      <c r="D287">
        <v>2019</v>
      </c>
      <c r="E287">
        <v>2.050241516126516</v>
      </c>
      <c r="F287">
        <v>1.110244719033926</v>
      </c>
      <c r="G287">
        <f t="shared" si="4"/>
        <v>-0.93999679709258999</v>
      </c>
      <c r="H287">
        <v>3.7776131748386681</v>
      </c>
      <c r="I287" t="s">
        <v>80</v>
      </c>
    </row>
    <row r="288" spans="1:9" x14ac:dyDescent="0.35">
      <c r="A288" t="s">
        <v>68</v>
      </c>
      <c r="B288" t="s">
        <v>55</v>
      </c>
      <c r="C288" t="s">
        <v>38</v>
      </c>
      <c r="D288">
        <v>2019</v>
      </c>
      <c r="E288">
        <v>0.43652728225691551</v>
      </c>
      <c r="F288">
        <v>1.110244719033926</v>
      </c>
      <c r="G288">
        <f t="shared" si="4"/>
        <v>0.67371743677701046</v>
      </c>
      <c r="H288">
        <v>3.7776131748386681</v>
      </c>
      <c r="I288" t="s">
        <v>80</v>
      </c>
    </row>
    <row r="289" spans="1:9" x14ac:dyDescent="0.35">
      <c r="A289" t="s">
        <v>68</v>
      </c>
      <c r="B289" t="s">
        <v>56</v>
      </c>
      <c r="C289" t="s">
        <v>40</v>
      </c>
      <c r="D289">
        <v>2019</v>
      </c>
      <c r="E289">
        <v>0.54362498919910962</v>
      </c>
      <c r="F289">
        <v>1.110244719033926</v>
      </c>
      <c r="G289">
        <f t="shared" si="4"/>
        <v>0.56661972983481634</v>
      </c>
      <c r="H289">
        <v>3.7776131748386681</v>
      </c>
      <c r="I289" t="s">
        <v>80</v>
      </c>
    </row>
    <row r="290" spans="1:9" x14ac:dyDescent="0.35">
      <c r="A290" t="s">
        <v>70</v>
      </c>
      <c r="B290" t="s">
        <v>53</v>
      </c>
      <c r="C290" t="s">
        <v>38</v>
      </c>
      <c r="D290">
        <v>2019</v>
      </c>
      <c r="E290">
        <v>2.1742555460234851</v>
      </c>
      <c r="F290">
        <v>1.3406806953806429</v>
      </c>
      <c r="G290">
        <f t="shared" si="4"/>
        <v>-0.8335748506428422</v>
      </c>
      <c r="H290">
        <v>1.607545862030811</v>
      </c>
      <c r="I290" t="s">
        <v>80</v>
      </c>
    </row>
    <row r="291" spans="1:9" x14ac:dyDescent="0.35">
      <c r="A291" t="s">
        <v>70</v>
      </c>
      <c r="B291" t="s">
        <v>54</v>
      </c>
      <c r="C291" t="s">
        <v>40</v>
      </c>
      <c r="D291">
        <v>2019</v>
      </c>
      <c r="E291">
        <v>2.2702366672909808</v>
      </c>
      <c r="F291">
        <v>1.3406806953806429</v>
      </c>
      <c r="G291">
        <f t="shared" si="4"/>
        <v>-0.9295559719103379</v>
      </c>
      <c r="H291">
        <v>1.607545862030811</v>
      </c>
      <c r="I291" t="s">
        <v>80</v>
      </c>
    </row>
    <row r="292" spans="1:9" x14ac:dyDescent="0.35">
      <c r="A292" t="s">
        <v>70</v>
      </c>
      <c r="B292" t="s">
        <v>55</v>
      </c>
      <c r="C292" t="s">
        <v>38</v>
      </c>
      <c r="D292">
        <v>2019</v>
      </c>
      <c r="E292">
        <v>1.354791564440649</v>
      </c>
      <c r="F292">
        <v>1.3406806953806429</v>
      </c>
      <c r="G292">
        <f t="shared" si="4"/>
        <v>-1.4110869060006026E-2</v>
      </c>
      <c r="H292">
        <v>1.607545862030811</v>
      </c>
      <c r="I292" t="s">
        <v>80</v>
      </c>
    </row>
    <row r="293" spans="1:9" x14ac:dyDescent="0.35">
      <c r="A293" t="s">
        <v>70</v>
      </c>
      <c r="B293" t="s">
        <v>56</v>
      </c>
      <c r="C293" t="s">
        <v>40</v>
      </c>
      <c r="D293">
        <v>2019</v>
      </c>
      <c r="E293">
        <v>1.638521358484613</v>
      </c>
      <c r="F293">
        <v>1.3406806953806429</v>
      </c>
      <c r="G293">
        <f t="shared" si="4"/>
        <v>-0.29784066310397006</v>
      </c>
      <c r="H293">
        <v>1.607545862030811</v>
      </c>
      <c r="I293" t="s">
        <v>80</v>
      </c>
    </row>
    <row r="294" spans="1:9" x14ac:dyDescent="0.35">
      <c r="A294" t="s">
        <v>73</v>
      </c>
      <c r="B294" t="s">
        <v>53</v>
      </c>
      <c r="C294" t="s">
        <v>38</v>
      </c>
      <c r="D294">
        <v>2019</v>
      </c>
      <c r="E294">
        <v>1.641202261320762</v>
      </c>
      <c r="F294">
        <v>2.0796189403330492</v>
      </c>
      <c r="G294">
        <f t="shared" si="4"/>
        <v>0.4384166790122872</v>
      </c>
      <c r="H294">
        <v>5.1734932935653699</v>
      </c>
      <c r="I294" t="s">
        <v>80</v>
      </c>
    </row>
    <row r="295" spans="1:9" x14ac:dyDescent="0.35">
      <c r="A295" t="s">
        <v>73</v>
      </c>
      <c r="B295" t="s">
        <v>54</v>
      </c>
      <c r="C295" t="s">
        <v>40</v>
      </c>
      <c r="D295">
        <v>2019</v>
      </c>
      <c r="E295">
        <v>1.837933157898797</v>
      </c>
      <c r="F295">
        <v>2.0796189403330492</v>
      </c>
      <c r="G295">
        <f t="shared" si="4"/>
        <v>0.24168578243425221</v>
      </c>
      <c r="H295">
        <v>5.1734932935653699</v>
      </c>
      <c r="I295" t="s">
        <v>80</v>
      </c>
    </row>
    <row r="296" spans="1:9" x14ac:dyDescent="0.35">
      <c r="A296" t="s">
        <v>73</v>
      </c>
      <c r="B296" t="s">
        <v>55</v>
      </c>
      <c r="C296" t="s">
        <v>38</v>
      </c>
      <c r="D296">
        <v>2019</v>
      </c>
      <c r="E296">
        <v>1.2870082454169649</v>
      </c>
      <c r="F296">
        <v>2.0796189403330492</v>
      </c>
      <c r="G296">
        <f t="shared" si="4"/>
        <v>0.79261069491608427</v>
      </c>
      <c r="H296">
        <v>5.1734932935653699</v>
      </c>
      <c r="I296" t="s">
        <v>80</v>
      </c>
    </row>
    <row r="297" spans="1:9" x14ac:dyDescent="0.35">
      <c r="A297" t="s">
        <v>73</v>
      </c>
      <c r="B297" t="s">
        <v>56</v>
      </c>
      <c r="C297" t="s">
        <v>40</v>
      </c>
      <c r="D297">
        <v>2019</v>
      </c>
      <c r="E297">
        <v>1.333589129915191</v>
      </c>
      <c r="F297">
        <v>2.0796189403330492</v>
      </c>
      <c r="G297">
        <f t="shared" si="4"/>
        <v>0.74602981041785821</v>
      </c>
      <c r="H297">
        <v>5.1734932935653699</v>
      </c>
      <c r="I297" t="s">
        <v>80</v>
      </c>
    </row>
    <row r="298" spans="1:9" x14ac:dyDescent="0.35">
      <c r="A298" t="s">
        <v>76</v>
      </c>
      <c r="B298" t="s">
        <v>53</v>
      </c>
      <c r="C298" t="s">
        <v>38</v>
      </c>
      <c r="D298">
        <v>2019</v>
      </c>
      <c r="E298">
        <v>2.3973855170303038</v>
      </c>
      <c r="F298">
        <v>2.2687921571426761</v>
      </c>
      <c r="G298">
        <f t="shared" si="4"/>
        <v>-0.12859335988762766</v>
      </c>
      <c r="H298">
        <v>1.104616251936025</v>
      </c>
      <c r="I298" t="s">
        <v>80</v>
      </c>
    </row>
    <row r="299" spans="1:9" x14ac:dyDescent="0.35">
      <c r="A299" t="s">
        <v>76</v>
      </c>
      <c r="B299" t="s">
        <v>54</v>
      </c>
      <c r="C299" t="s">
        <v>40</v>
      </c>
      <c r="D299">
        <v>2019</v>
      </c>
      <c r="E299">
        <v>2.5903398154754731</v>
      </c>
      <c r="F299">
        <v>2.2687921571426761</v>
      </c>
      <c r="G299">
        <f t="shared" si="4"/>
        <v>-0.32154765833279697</v>
      </c>
      <c r="H299">
        <v>1.104616251936025</v>
      </c>
      <c r="I299" t="s">
        <v>80</v>
      </c>
    </row>
    <row r="300" spans="1:9" x14ac:dyDescent="0.35">
      <c r="A300" t="s">
        <v>76</v>
      </c>
      <c r="B300" t="s">
        <v>55</v>
      </c>
      <c r="C300" t="s">
        <v>38</v>
      </c>
      <c r="D300">
        <v>2019</v>
      </c>
      <c r="E300">
        <v>1.699934171052897</v>
      </c>
      <c r="F300">
        <v>2.2687921571426761</v>
      </c>
      <c r="G300">
        <f t="shared" si="4"/>
        <v>0.56885798608977911</v>
      </c>
      <c r="H300">
        <v>1.104616251936025</v>
      </c>
      <c r="I300" t="s">
        <v>80</v>
      </c>
    </row>
    <row r="301" spans="1:9" x14ac:dyDescent="0.35">
      <c r="A301" t="s">
        <v>76</v>
      </c>
      <c r="B301" t="s">
        <v>56</v>
      </c>
      <c r="C301" t="s">
        <v>40</v>
      </c>
      <c r="D301">
        <v>2019</v>
      </c>
      <c r="E301">
        <v>1.627911133653104</v>
      </c>
      <c r="F301">
        <v>2.2687921571426761</v>
      </c>
      <c r="G301">
        <f t="shared" si="4"/>
        <v>0.6408810234895721</v>
      </c>
      <c r="H301">
        <v>1.104616251936025</v>
      </c>
      <c r="I301" t="s">
        <v>80</v>
      </c>
    </row>
    <row r="302" spans="1:9" x14ac:dyDescent="0.35">
      <c r="A302" t="s">
        <v>67</v>
      </c>
      <c r="B302" t="s">
        <v>55</v>
      </c>
      <c r="C302" t="s">
        <v>38</v>
      </c>
      <c r="D302">
        <v>2020</v>
      </c>
      <c r="E302">
        <v>0.96034482213216421</v>
      </c>
      <c r="F302">
        <v>-4.9116764965584894</v>
      </c>
      <c r="G302">
        <f t="shared" si="4"/>
        <v>-5.8720213186906536</v>
      </c>
      <c r="H302">
        <v>0.8845732944795045</v>
      </c>
      <c r="I302" t="s">
        <v>80</v>
      </c>
    </row>
    <row r="303" spans="1:9" x14ac:dyDescent="0.35">
      <c r="A303" t="s">
        <v>67</v>
      </c>
      <c r="B303" t="s">
        <v>56</v>
      </c>
      <c r="C303" t="s">
        <v>40</v>
      </c>
      <c r="D303">
        <v>2020</v>
      </c>
      <c r="E303">
        <v>1.199077085455502</v>
      </c>
      <c r="F303">
        <v>-4.9116764965584894</v>
      </c>
      <c r="G303">
        <f t="shared" si="4"/>
        <v>-6.1107535820139915</v>
      </c>
      <c r="H303">
        <v>0.8845732944795045</v>
      </c>
      <c r="I303" t="s">
        <v>80</v>
      </c>
    </row>
    <row r="304" spans="1:9" x14ac:dyDescent="0.35">
      <c r="A304" t="s">
        <v>67</v>
      </c>
      <c r="B304" t="s">
        <v>57</v>
      </c>
      <c r="C304" t="s">
        <v>38</v>
      </c>
      <c r="D304">
        <v>2020</v>
      </c>
      <c r="E304">
        <v>-8.420158667688538</v>
      </c>
      <c r="F304">
        <v>-4.9116764965584894</v>
      </c>
      <c r="G304">
        <f t="shared" si="4"/>
        <v>3.5084821711300487</v>
      </c>
      <c r="H304">
        <v>0.8845732944795045</v>
      </c>
      <c r="I304" t="s">
        <v>80</v>
      </c>
    </row>
    <row r="305" spans="1:9" x14ac:dyDescent="0.35">
      <c r="A305" t="s">
        <v>67</v>
      </c>
      <c r="B305" t="s">
        <v>58</v>
      </c>
      <c r="C305" t="s">
        <v>40</v>
      </c>
      <c r="D305">
        <v>2020</v>
      </c>
      <c r="E305">
        <v>-7.1575995247655024</v>
      </c>
      <c r="F305">
        <v>-4.9116764965584894</v>
      </c>
      <c r="G305">
        <f t="shared" si="4"/>
        <v>2.2459230282070131</v>
      </c>
      <c r="H305">
        <v>0.8845732944795045</v>
      </c>
      <c r="I305" t="s">
        <v>80</v>
      </c>
    </row>
    <row r="306" spans="1:9" x14ac:dyDescent="0.35">
      <c r="A306" t="s">
        <v>68</v>
      </c>
      <c r="B306" t="s">
        <v>55</v>
      </c>
      <c r="C306" t="s">
        <v>38</v>
      </c>
      <c r="D306">
        <v>2020</v>
      </c>
      <c r="E306">
        <v>1.0098419735112829</v>
      </c>
      <c r="F306">
        <v>-4.5019012679871278</v>
      </c>
      <c r="G306">
        <f t="shared" si="4"/>
        <v>-5.5117432414984107</v>
      </c>
      <c r="H306">
        <v>4.1207891005128294</v>
      </c>
      <c r="I306" t="s">
        <v>80</v>
      </c>
    </row>
    <row r="307" spans="1:9" x14ac:dyDescent="0.35">
      <c r="A307" t="s">
        <v>68</v>
      </c>
      <c r="B307" t="s">
        <v>56</v>
      </c>
      <c r="C307" t="s">
        <v>40</v>
      </c>
      <c r="D307">
        <v>2020</v>
      </c>
      <c r="E307">
        <v>1.5458815393741829</v>
      </c>
      <c r="F307">
        <v>-4.5019012679871278</v>
      </c>
      <c r="G307">
        <f t="shared" si="4"/>
        <v>-6.0477828073613109</v>
      </c>
      <c r="H307">
        <v>4.1207891005128294</v>
      </c>
      <c r="I307" t="s">
        <v>80</v>
      </c>
    </row>
    <row r="308" spans="1:9" x14ac:dyDescent="0.35">
      <c r="A308" t="s">
        <v>68</v>
      </c>
      <c r="B308" t="s">
        <v>57</v>
      </c>
      <c r="C308" t="s">
        <v>38</v>
      </c>
      <c r="D308">
        <v>2020</v>
      </c>
      <c r="E308">
        <v>-5.5682040725027582</v>
      </c>
      <c r="F308">
        <v>-4.5019012679871278</v>
      </c>
      <c r="G308">
        <f t="shared" si="4"/>
        <v>1.0663028045156304</v>
      </c>
      <c r="H308">
        <v>4.1207891005128294</v>
      </c>
      <c r="I308" t="s">
        <v>80</v>
      </c>
    </row>
    <row r="309" spans="1:9" x14ac:dyDescent="0.35">
      <c r="A309" t="s">
        <v>68</v>
      </c>
      <c r="B309" t="s">
        <v>58</v>
      </c>
      <c r="C309" t="s">
        <v>40</v>
      </c>
      <c r="D309">
        <v>2020</v>
      </c>
      <c r="E309">
        <v>-6.4695771848944261</v>
      </c>
      <c r="F309">
        <v>-4.5019012679871278</v>
      </c>
      <c r="G309">
        <f t="shared" si="4"/>
        <v>1.9676759169072984</v>
      </c>
      <c r="H309">
        <v>4.1207891005128294</v>
      </c>
      <c r="I309" t="s">
        <v>80</v>
      </c>
    </row>
    <row r="310" spans="1:9" x14ac:dyDescent="0.35">
      <c r="A310" t="s">
        <v>70</v>
      </c>
      <c r="B310" t="s">
        <v>55</v>
      </c>
      <c r="C310" t="s">
        <v>38</v>
      </c>
      <c r="D310">
        <v>2020</v>
      </c>
      <c r="E310">
        <v>1.1013866566023991</v>
      </c>
      <c r="F310">
        <v>-2.5216639551613449</v>
      </c>
      <c r="G310">
        <f t="shared" si="4"/>
        <v>-3.6230506117637438</v>
      </c>
      <c r="H310">
        <v>1.637512686458964</v>
      </c>
      <c r="I310" t="s">
        <v>80</v>
      </c>
    </row>
    <row r="311" spans="1:9" x14ac:dyDescent="0.35">
      <c r="A311" t="s">
        <v>70</v>
      </c>
      <c r="B311" t="s">
        <v>56</v>
      </c>
      <c r="C311" t="s">
        <v>40</v>
      </c>
      <c r="D311">
        <v>2020</v>
      </c>
      <c r="E311">
        <v>1.1658655715774511</v>
      </c>
      <c r="F311">
        <v>-2.5216639551613449</v>
      </c>
      <c r="G311">
        <f t="shared" si="4"/>
        <v>-3.6875295267387962</v>
      </c>
      <c r="H311">
        <v>1.637512686458964</v>
      </c>
      <c r="I311" t="s">
        <v>80</v>
      </c>
    </row>
    <row r="312" spans="1:9" x14ac:dyDescent="0.35">
      <c r="A312" t="s">
        <v>70</v>
      </c>
      <c r="B312" t="s">
        <v>57</v>
      </c>
      <c r="C312" t="s">
        <v>38</v>
      </c>
      <c r="D312">
        <v>2020</v>
      </c>
      <c r="E312">
        <v>-4.2712767573150012</v>
      </c>
      <c r="F312">
        <v>-2.5216639551613449</v>
      </c>
      <c r="G312">
        <f t="shared" si="4"/>
        <v>1.7496128021536563</v>
      </c>
      <c r="H312">
        <v>1.637512686458964</v>
      </c>
      <c r="I312" t="s">
        <v>80</v>
      </c>
    </row>
    <row r="313" spans="1:9" x14ac:dyDescent="0.35">
      <c r="A313" t="s">
        <v>70</v>
      </c>
      <c r="B313" t="s">
        <v>58</v>
      </c>
      <c r="C313" t="s">
        <v>40</v>
      </c>
      <c r="D313">
        <v>2020</v>
      </c>
      <c r="E313">
        <v>-6.3340086382144829</v>
      </c>
      <c r="F313">
        <v>-2.5216639551613449</v>
      </c>
      <c r="G313">
        <f t="shared" si="4"/>
        <v>3.812344683053138</v>
      </c>
      <c r="H313">
        <v>1.637512686458964</v>
      </c>
      <c r="I313" t="s">
        <v>80</v>
      </c>
    </row>
    <row r="314" spans="1:9" x14ac:dyDescent="0.35">
      <c r="A314" t="s">
        <v>73</v>
      </c>
      <c r="B314" t="s">
        <v>55</v>
      </c>
      <c r="C314" t="s">
        <v>38</v>
      </c>
      <c r="D314">
        <v>2020</v>
      </c>
      <c r="E314">
        <v>1.285387661815784</v>
      </c>
      <c r="F314">
        <v>-7.9120138942178206</v>
      </c>
      <c r="G314">
        <f t="shared" si="4"/>
        <v>-9.1974015560336042</v>
      </c>
      <c r="H314">
        <v>6.3305576015426448</v>
      </c>
      <c r="I314" t="s">
        <v>80</v>
      </c>
    </row>
    <row r="315" spans="1:9" x14ac:dyDescent="0.35">
      <c r="A315" t="s">
        <v>73</v>
      </c>
      <c r="B315" t="s">
        <v>56</v>
      </c>
      <c r="C315" t="s">
        <v>40</v>
      </c>
      <c r="D315">
        <v>2020</v>
      </c>
      <c r="E315">
        <v>1.503749975943047</v>
      </c>
      <c r="F315">
        <v>-7.9120138942178206</v>
      </c>
      <c r="G315">
        <f t="shared" si="4"/>
        <v>-9.4157638701608679</v>
      </c>
      <c r="H315">
        <v>6.3305576015426448</v>
      </c>
      <c r="I315" t="s">
        <v>80</v>
      </c>
    </row>
    <row r="316" spans="1:9" x14ac:dyDescent="0.35">
      <c r="A316" t="s">
        <v>73</v>
      </c>
      <c r="B316" t="s">
        <v>57</v>
      </c>
      <c r="C316" t="s">
        <v>38</v>
      </c>
      <c r="D316">
        <v>2020</v>
      </c>
      <c r="E316">
        <v>-9.3511426009976422</v>
      </c>
      <c r="F316">
        <v>-7.9120138942178206</v>
      </c>
      <c r="G316">
        <f t="shared" si="4"/>
        <v>1.4391287067798215</v>
      </c>
      <c r="H316">
        <v>6.3305576015426448</v>
      </c>
      <c r="I316" t="s">
        <v>80</v>
      </c>
    </row>
    <row r="317" spans="1:9" x14ac:dyDescent="0.35">
      <c r="A317" t="s">
        <v>73</v>
      </c>
      <c r="B317" t="s">
        <v>58</v>
      </c>
      <c r="C317" t="s">
        <v>40</v>
      </c>
      <c r="D317">
        <v>2020</v>
      </c>
      <c r="E317">
        <v>-8.2482980854368328</v>
      </c>
      <c r="F317">
        <v>-7.9120138942178206</v>
      </c>
      <c r="G317">
        <f t="shared" si="4"/>
        <v>0.33628419121901221</v>
      </c>
      <c r="H317">
        <v>6.3305576015426448</v>
      </c>
      <c r="I317" t="s">
        <v>80</v>
      </c>
    </row>
    <row r="318" spans="1:9" x14ac:dyDescent="0.35">
      <c r="A318" t="s">
        <v>76</v>
      </c>
      <c r="B318" t="s">
        <v>55</v>
      </c>
      <c r="C318" t="s">
        <v>38</v>
      </c>
      <c r="D318">
        <v>2020</v>
      </c>
      <c r="E318">
        <v>1.2831214058191649</v>
      </c>
      <c r="F318">
        <v>-3.9039509434828492</v>
      </c>
      <c r="G318">
        <f t="shared" si="4"/>
        <v>-5.1870723493020137</v>
      </c>
      <c r="H318">
        <v>1.670735682705939</v>
      </c>
      <c r="I318" t="s">
        <v>80</v>
      </c>
    </row>
    <row r="319" spans="1:9" x14ac:dyDescent="0.35">
      <c r="A319" t="s">
        <v>76</v>
      </c>
      <c r="B319" t="s">
        <v>56</v>
      </c>
      <c r="C319" t="s">
        <v>40</v>
      </c>
      <c r="D319">
        <v>2020</v>
      </c>
      <c r="E319">
        <v>1.619436814413677</v>
      </c>
      <c r="F319">
        <v>-3.9039509434828492</v>
      </c>
      <c r="G319">
        <f t="shared" si="4"/>
        <v>-5.5233877578965265</v>
      </c>
      <c r="H319">
        <v>1.670735682705939</v>
      </c>
      <c r="I319" t="s">
        <v>80</v>
      </c>
    </row>
    <row r="320" spans="1:9" x14ac:dyDescent="0.35">
      <c r="A320" t="s">
        <v>76</v>
      </c>
      <c r="B320" t="s">
        <v>57</v>
      </c>
      <c r="C320" t="s">
        <v>38</v>
      </c>
      <c r="D320">
        <v>2020</v>
      </c>
      <c r="E320">
        <v>-5.3222217587985954</v>
      </c>
      <c r="F320">
        <v>-3.9039509434828492</v>
      </c>
      <c r="G320">
        <f t="shared" si="4"/>
        <v>1.4182708153157462</v>
      </c>
      <c r="H320">
        <v>1.670735682705939</v>
      </c>
      <c r="I320" t="s">
        <v>80</v>
      </c>
    </row>
    <row r="321" spans="1:9" x14ac:dyDescent="0.35">
      <c r="A321" t="s">
        <v>76</v>
      </c>
      <c r="B321" t="s">
        <v>58</v>
      </c>
      <c r="C321" t="s">
        <v>40</v>
      </c>
      <c r="D321">
        <v>2020</v>
      </c>
      <c r="E321">
        <v>-6.8478963820636896</v>
      </c>
      <c r="F321">
        <v>-3.9039509434828492</v>
      </c>
      <c r="G321">
        <f t="shared" si="4"/>
        <v>2.9439454385808403</v>
      </c>
      <c r="H321">
        <v>1.670735682705939</v>
      </c>
      <c r="I321" t="s">
        <v>80</v>
      </c>
    </row>
    <row r="322" spans="1:9" x14ac:dyDescent="0.35">
      <c r="A322" t="s">
        <v>67</v>
      </c>
      <c r="B322" t="s">
        <v>57</v>
      </c>
      <c r="C322" t="s">
        <v>38</v>
      </c>
      <c r="D322">
        <v>2021</v>
      </c>
      <c r="E322">
        <v>4.1239049795648741</v>
      </c>
      <c r="F322">
        <v>6.0667175798443678</v>
      </c>
      <c r="G322">
        <f t="shared" ref="G322:G385" si="5">IF(OR(F322="",E322=""),"",F322-E322)</f>
        <v>1.9428126002794937</v>
      </c>
      <c r="H322">
        <v>0.78222990278386606</v>
      </c>
      <c r="I322" t="s">
        <v>80</v>
      </c>
    </row>
    <row r="323" spans="1:9" x14ac:dyDescent="0.35">
      <c r="A323" t="s">
        <v>67</v>
      </c>
      <c r="B323" t="s">
        <v>58</v>
      </c>
      <c r="C323" t="s">
        <v>40</v>
      </c>
      <c r="D323">
        <v>2021</v>
      </c>
      <c r="E323">
        <v>6.6899129841448302</v>
      </c>
      <c r="F323">
        <v>6.0667175798443678</v>
      </c>
      <c r="G323">
        <f t="shared" si="5"/>
        <v>-0.62319540430046239</v>
      </c>
      <c r="H323">
        <v>0.78222990278386606</v>
      </c>
      <c r="I323" t="s">
        <v>80</v>
      </c>
    </row>
    <row r="324" spans="1:9" x14ac:dyDescent="0.35">
      <c r="A324" t="s">
        <v>67</v>
      </c>
      <c r="B324" t="s">
        <v>59</v>
      </c>
      <c r="C324" t="s">
        <v>38</v>
      </c>
      <c r="D324">
        <v>2021</v>
      </c>
      <c r="E324">
        <v>5.9836029339416452</v>
      </c>
      <c r="F324">
        <v>6.0667175798443678</v>
      </c>
      <c r="G324">
        <f t="shared" si="5"/>
        <v>8.311464590272255E-2</v>
      </c>
      <c r="H324">
        <v>0.78222990278386606</v>
      </c>
      <c r="I324" t="s">
        <v>80</v>
      </c>
    </row>
    <row r="325" spans="1:9" x14ac:dyDescent="0.35">
      <c r="A325" t="s">
        <v>67</v>
      </c>
      <c r="B325" t="s">
        <v>60</v>
      </c>
      <c r="C325" t="s">
        <v>40</v>
      </c>
      <c r="D325">
        <v>2021</v>
      </c>
      <c r="E325">
        <v>4.5423071463688514</v>
      </c>
      <c r="F325">
        <v>6.0667175798443678</v>
      </c>
      <c r="G325">
        <f t="shared" si="5"/>
        <v>1.5244104334755164</v>
      </c>
      <c r="H325">
        <v>0.78222990278386606</v>
      </c>
      <c r="I325" t="s">
        <v>80</v>
      </c>
    </row>
    <row r="326" spans="1:9" x14ac:dyDescent="0.35">
      <c r="A326" t="s">
        <v>68</v>
      </c>
      <c r="B326" t="s">
        <v>57</v>
      </c>
      <c r="C326" t="s">
        <v>38</v>
      </c>
      <c r="D326">
        <v>2021</v>
      </c>
      <c r="E326">
        <v>3.5168418141955371</v>
      </c>
      <c r="F326">
        <v>3.8314526417859192</v>
      </c>
      <c r="G326">
        <f t="shared" si="5"/>
        <v>0.31461082759038206</v>
      </c>
      <c r="H326">
        <v>6.8156919307247312</v>
      </c>
      <c r="I326" t="s">
        <v>80</v>
      </c>
    </row>
    <row r="327" spans="1:9" x14ac:dyDescent="0.35">
      <c r="A327" t="s">
        <v>68</v>
      </c>
      <c r="B327" t="s">
        <v>58</v>
      </c>
      <c r="C327" t="s">
        <v>40</v>
      </c>
      <c r="D327">
        <v>2021</v>
      </c>
      <c r="E327">
        <v>5.8723795390502653</v>
      </c>
      <c r="F327">
        <v>3.8314526417859192</v>
      </c>
      <c r="G327">
        <f t="shared" si="5"/>
        <v>-2.0409268972643462</v>
      </c>
      <c r="H327">
        <v>6.8156919307247312</v>
      </c>
      <c r="I327" t="s">
        <v>80</v>
      </c>
    </row>
    <row r="328" spans="1:9" x14ac:dyDescent="0.35">
      <c r="A328" t="s">
        <v>68</v>
      </c>
      <c r="B328" t="s">
        <v>59</v>
      </c>
      <c r="C328" t="s">
        <v>38</v>
      </c>
      <c r="D328">
        <v>2021</v>
      </c>
      <c r="E328">
        <v>2.7343389231728081</v>
      </c>
      <c r="F328">
        <v>3.8314526417859192</v>
      </c>
      <c r="G328">
        <f t="shared" si="5"/>
        <v>1.097113718613111</v>
      </c>
      <c r="H328">
        <v>6.8156919307247312</v>
      </c>
      <c r="I328" t="s">
        <v>80</v>
      </c>
    </row>
    <row r="329" spans="1:9" x14ac:dyDescent="0.35">
      <c r="A329" t="s">
        <v>68</v>
      </c>
      <c r="B329" t="s">
        <v>60</v>
      </c>
      <c r="C329" t="s">
        <v>40</v>
      </c>
      <c r="D329">
        <v>2021</v>
      </c>
      <c r="E329">
        <v>3.405406776981335</v>
      </c>
      <c r="F329">
        <v>3.8314526417859192</v>
      </c>
      <c r="G329">
        <f t="shared" si="5"/>
        <v>0.42604586480458417</v>
      </c>
      <c r="H329">
        <v>6.8156919307247312</v>
      </c>
      <c r="I329" t="s">
        <v>80</v>
      </c>
    </row>
    <row r="330" spans="1:9" x14ac:dyDescent="0.35">
      <c r="A330" t="s">
        <v>69</v>
      </c>
      <c r="B330" t="s">
        <v>57</v>
      </c>
      <c r="C330" t="s">
        <v>38</v>
      </c>
      <c r="D330">
        <v>2021</v>
      </c>
      <c r="E330">
        <v>5.3508536215682634</v>
      </c>
      <c r="F330">
        <v>6.4693143142877041</v>
      </c>
      <c r="G330">
        <f t="shared" si="5"/>
        <v>1.1184606927194407</v>
      </c>
      <c r="H330">
        <v>0.95674972420897775</v>
      </c>
      <c r="I330" t="s">
        <v>80</v>
      </c>
    </row>
    <row r="331" spans="1:9" x14ac:dyDescent="0.35">
      <c r="A331" t="s">
        <v>69</v>
      </c>
      <c r="B331" t="s">
        <v>58</v>
      </c>
      <c r="C331" t="s">
        <v>40</v>
      </c>
      <c r="D331">
        <v>2021</v>
      </c>
      <c r="E331">
        <v>6.9761759541974167</v>
      </c>
      <c r="F331">
        <v>6.4693143142877041</v>
      </c>
      <c r="G331">
        <f t="shared" si="5"/>
        <v>-0.50686163990971256</v>
      </c>
      <c r="H331">
        <v>0.95674972420897775</v>
      </c>
      <c r="I331" t="s">
        <v>80</v>
      </c>
    </row>
    <row r="332" spans="1:9" x14ac:dyDescent="0.35">
      <c r="A332" t="s">
        <v>69</v>
      </c>
      <c r="B332" t="s">
        <v>59</v>
      </c>
      <c r="C332" t="s">
        <v>38</v>
      </c>
      <c r="D332">
        <v>2021</v>
      </c>
      <c r="E332">
        <v>4.6234510847103616</v>
      </c>
      <c r="F332">
        <v>6.4693143142877041</v>
      </c>
      <c r="G332">
        <f t="shared" si="5"/>
        <v>1.8458632295773425</v>
      </c>
      <c r="H332">
        <v>0.95674972420897775</v>
      </c>
      <c r="I332" t="s">
        <v>80</v>
      </c>
    </row>
    <row r="333" spans="1:9" x14ac:dyDescent="0.35">
      <c r="A333" t="s">
        <v>69</v>
      </c>
      <c r="B333" t="s">
        <v>60</v>
      </c>
      <c r="C333" t="s">
        <v>40</v>
      </c>
      <c r="D333">
        <v>2021</v>
      </c>
      <c r="E333">
        <v>5.8812532644924698</v>
      </c>
      <c r="F333">
        <v>6.4693143142877041</v>
      </c>
      <c r="G333">
        <f t="shared" si="5"/>
        <v>0.58806104979523433</v>
      </c>
      <c r="H333">
        <v>0.95674972420897775</v>
      </c>
      <c r="I333" t="s">
        <v>80</v>
      </c>
    </row>
    <row r="334" spans="1:9" x14ac:dyDescent="0.35">
      <c r="A334" t="s">
        <v>70</v>
      </c>
      <c r="B334" t="s">
        <v>57</v>
      </c>
      <c r="C334" t="s">
        <v>38</v>
      </c>
      <c r="D334">
        <v>2021</v>
      </c>
      <c r="E334">
        <v>2.900169440971712</v>
      </c>
      <c r="F334">
        <v>2.6415720090220192</v>
      </c>
      <c r="G334">
        <f t="shared" si="5"/>
        <v>-0.25859743194969287</v>
      </c>
      <c r="H334">
        <v>1.5297339340232221</v>
      </c>
      <c r="I334" t="s">
        <v>80</v>
      </c>
    </row>
    <row r="335" spans="1:9" x14ac:dyDescent="0.35">
      <c r="A335" t="s">
        <v>70</v>
      </c>
      <c r="B335" t="s">
        <v>58</v>
      </c>
      <c r="C335" t="s">
        <v>40</v>
      </c>
      <c r="D335">
        <v>2021</v>
      </c>
      <c r="E335">
        <v>3.6735608188213531</v>
      </c>
      <c r="F335">
        <v>2.6415720090220192</v>
      </c>
      <c r="G335">
        <f t="shared" si="5"/>
        <v>-1.0319888097993339</v>
      </c>
      <c r="H335">
        <v>1.5297339340232221</v>
      </c>
      <c r="I335" t="s">
        <v>80</v>
      </c>
    </row>
    <row r="336" spans="1:9" x14ac:dyDescent="0.35">
      <c r="A336" t="s">
        <v>70</v>
      </c>
      <c r="B336" t="s">
        <v>59</v>
      </c>
      <c r="C336" t="s">
        <v>38</v>
      </c>
      <c r="D336">
        <v>2021</v>
      </c>
      <c r="E336">
        <v>3.4041276267937399</v>
      </c>
      <c r="F336">
        <v>2.6415720090220192</v>
      </c>
      <c r="G336">
        <f t="shared" si="5"/>
        <v>-0.76255561777172076</v>
      </c>
      <c r="H336">
        <v>1.5297339340232221</v>
      </c>
      <c r="I336" t="s">
        <v>80</v>
      </c>
    </row>
    <row r="337" spans="1:9" x14ac:dyDescent="0.35">
      <c r="A337" t="s">
        <v>70</v>
      </c>
      <c r="B337" t="s">
        <v>60</v>
      </c>
      <c r="C337" t="s">
        <v>40</v>
      </c>
      <c r="D337">
        <v>2021</v>
      </c>
      <c r="E337">
        <v>2.739564988065335</v>
      </c>
      <c r="F337">
        <v>2.6415720090220192</v>
      </c>
      <c r="G337">
        <f t="shared" si="5"/>
        <v>-9.7992979043315831E-2</v>
      </c>
      <c r="H337">
        <v>1.5297339340232221</v>
      </c>
      <c r="I337" t="s">
        <v>80</v>
      </c>
    </row>
    <row r="338" spans="1:9" x14ac:dyDescent="0.35">
      <c r="A338" t="s">
        <v>73</v>
      </c>
      <c r="B338" t="s">
        <v>57</v>
      </c>
      <c r="C338" t="s">
        <v>38</v>
      </c>
      <c r="D338">
        <v>2021</v>
      </c>
      <c r="E338">
        <v>5.7952659026178077</v>
      </c>
      <c r="F338">
        <v>6.5701884772546428</v>
      </c>
      <c r="G338">
        <f t="shared" si="5"/>
        <v>0.77492257463683512</v>
      </c>
      <c r="H338">
        <v>7.3790518114153141</v>
      </c>
      <c r="I338" t="s">
        <v>80</v>
      </c>
    </row>
    <row r="339" spans="1:9" x14ac:dyDescent="0.35">
      <c r="A339" t="s">
        <v>73</v>
      </c>
      <c r="B339" t="s">
        <v>58</v>
      </c>
      <c r="C339" t="s">
        <v>40</v>
      </c>
      <c r="D339">
        <v>2021</v>
      </c>
      <c r="E339">
        <v>7.4011344913377686</v>
      </c>
      <c r="F339">
        <v>6.5701884772546428</v>
      </c>
      <c r="G339">
        <f t="shared" si="5"/>
        <v>-0.83094601408312574</v>
      </c>
      <c r="H339">
        <v>7.3790518114153141</v>
      </c>
      <c r="I339" t="s">
        <v>80</v>
      </c>
    </row>
    <row r="340" spans="1:9" x14ac:dyDescent="0.35">
      <c r="A340" t="s">
        <v>73</v>
      </c>
      <c r="B340" t="s">
        <v>59</v>
      </c>
      <c r="C340" t="s">
        <v>38</v>
      </c>
      <c r="D340">
        <v>2021</v>
      </c>
      <c r="E340">
        <v>6.5425794292067074</v>
      </c>
      <c r="F340">
        <v>6.5701884772546428</v>
      </c>
      <c r="G340">
        <f t="shared" si="5"/>
        <v>2.7609048047935403E-2</v>
      </c>
      <c r="H340">
        <v>7.3790518114153141</v>
      </c>
      <c r="I340" t="s">
        <v>80</v>
      </c>
    </row>
    <row r="341" spans="1:9" x14ac:dyDescent="0.35">
      <c r="A341" t="s">
        <v>73</v>
      </c>
      <c r="B341" t="s">
        <v>60</v>
      </c>
      <c r="C341" t="s">
        <v>40</v>
      </c>
      <c r="D341">
        <v>2021</v>
      </c>
      <c r="E341">
        <v>5.7147026734028614</v>
      </c>
      <c r="F341">
        <v>6.5701884772546428</v>
      </c>
      <c r="G341">
        <f t="shared" si="5"/>
        <v>0.85548580385178141</v>
      </c>
      <c r="H341">
        <v>7.3790518114153141</v>
      </c>
      <c r="I341" t="s">
        <v>80</v>
      </c>
    </row>
    <row r="342" spans="1:9" x14ac:dyDescent="0.35">
      <c r="A342" t="s">
        <v>76</v>
      </c>
      <c r="B342" t="s">
        <v>57</v>
      </c>
      <c r="C342" t="s">
        <v>38</v>
      </c>
      <c r="D342">
        <v>2021</v>
      </c>
      <c r="E342">
        <v>2.161323818880434</v>
      </c>
      <c r="F342">
        <v>6.0197643563294596</v>
      </c>
      <c r="G342">
        <f t="shared" si="5"/>
        <v>3.8584405374490256</v>
      </c>
      <c r="H342">
        <v>1.619800877878083</v>
      </c>
      <c r="I342" t="s">
        <v>80</v>
      </c>
    </row>
    <row r="343" spans="1:9" x14ac:dyDescent="0.35">
      <c r="A343" t="s">
        <v>76</v>
      </c>
      <c r="B343" t="s">
        <v>58</v>
      </c>
      <c r="C343" t="s">
        <v>40</v>
      </c>
      <c r="D343">
        <v>2021</v>
      </c>
      <c r="E343">
        <v>4.963640025345617</v>
      </c>
      <c r="F343">
        <v>6.0197643563294596</v>
      </c>
      <c r="G343">
        <f t="shared" si="5"/>
        <v>1.0561243309838426</v>
      </c>
      <c r="H343">
        <v>1.619800877878083</v>
      </c>
      <c r="I343" t="s">
        <v>80</v>
      </c>
    </row>
    <row r="344" spans="1:9" x14ac:dyDescent="0.35">
      <c r="A344" t="s">
        <v>76</v>
      </c>
      <c r="B344" t="s">
        <v>59</v>
      </c>
      <c r="C344" t="s">
        <v>38</v>
      </c>
      <c r="D344">
        <v>2021</v>
      </c>
      <c r="E344">
        <v>3.9728248180522558</v>
      </c>
      <c r="F344">
        <v>6.0197643563294596</v>
      </c>
      <c r="G344">
        <f t="shared" si="5"/>
        <v>2.0469395382772038</v>
      </c>
      <c r="H344">
        <v>1.619800877878083</v>
      </c>
      <c r="I344" t="s">
        <v>80</v>
      </c>
    </row>
    <row r="345" spans="1:9" x14ac:dyDescent="0.35">
      <c r="A345" t="s">
        <v>76</v>
      </c>
      <c r="B345" t="s">
        <v>60</v>
      </c>
      <c r="C345" t="s">
        <v>40</v>
      </c>
      <c r="D345">
        <v>2021</v>
      </c>
      <c r="E345">
        <v>2.3382369164345769</v>
      </c>
      <c r="F345">
        <v>6.0197643563294596</v>
      </c>
      <c r="G345">
        <f t="shared" si="5"/>
        <v>3.6815274398948827</v>
      </c>
      <c r="H345">
        <v>1.619800877878083</v>
      </c>
      <c r="I345" t="s">
        <v>80</v>
      </c>
    </row>
    <row r="346" spans="1:9" x14ac:dyDescent="0.35">
      <c r="A346" t="s">
        <v>67</v>
      </c>
      <c r="B346" t="s">
        <v>59</v>
      </c>
      <c r="C346" t="s">
        <v>38</v>
      </c>
      <c r="D346">
        <v>2022</v>
      </c>
      <c r="E346">
        <v>2.6471364529380592</v>
      </c>
      <c r="F346">
        <v>3.945716681463399</v>
      </c>
      <c r="G346">
        <f t="shared" si="5"/>
        <v>1.2985802285253398</v>
      </c>
      <c r="H346">
        <v>0.90172560603950691</v>
      </c>
      <c r="I346" t="s">
        <v>80</v>
      </c>
    </row>
    <row r="347" spans="1:9" x14ac:dyDescent="0.35">
      <c r="A347" t="s">
        <v>67</v>
      </c>
      <c r="B347" t="s">
        <v>60</v>
      </c>
      <c r="C347" t="s">
        <v>40</v>
      </c>
      <c r="D347">
        <v>2022</v>
      </c>
      <c r="E347">
        <v>3.671117125209777</v>
      </c>
      <c r="F347">
        <v>3.945716681463399</v>
      </c>
      <c r="G347">
        <f t="shared" si="5"/>
        <v>0.27459955625362209</v>
      </c>
      <c r="H347">
        <v>0.90172560603950691</v>
      </c>
      <c r="I347" t="s">
        <v>80</v>
      </c>
    </row>
    <row r="348" spans="1:9" x14ac:dyDescent="0.35">
      <c r="A348" t="s">
        <v>67</v>
      </c>
      <c r="B348" t="s">
        <v>61</v>
      </c>
      <c r="C348" t="s">
        <v>38</v>
      </c>
      <c r="D348">
        <v>2022</v>
      </c>
      <c r="E348">
        <v>2.8171147512312089</v>
      </c>
      <c r="F348">
        <v>3.945716681463399</v>
      </c>
      <c r="G348">
        <f t="shared" si="5"/>
        <v>1.1286019302321901</v>
      </c>
      <c r="H348">
        <v>0.90172560603950691</v>
      </c>
      <c r="I348" t="s">
        <v>80</v>
      </c>
    </row>
    <row r="349" spans="1:9" x14ac:dyDescent="0.35">
      <c r="A349" t="s">
        <v>67</v>
      </c>
      <c r="B349" t="s">
        <v>62</v>
      </c>
      <c r="C349" t="s">
        <v>40</v>
      </c>
      <c r="D349">
        <v>2022</v>
      </c>
      <c r="E349">
        <v>2.0165795618690252</v>
      </c>
      <c r="F349">
        <v>3.945716681463399</v>
      </c>
      <c r="G349">
        <f t="shared" si="5"/>
        <v>1.9291371195943738</v>
      </c>
      <c r="H349">
        <v>0.90172560603950691</v>
      </c>
      <c r="I349" t="s">
        <v>80</v>
      </c>
    </row>
    <row r="350" spans="1:9" x14ac:dyDescent="0.35">
      <c r="A350" t="s">
        <v>68</v>
      </c>
      <c r="B350" t="s">
        <v>59</v>
      </c>
      <c r="C350" t="s">
        <v>38</v>
      </c>
      <c r="D350">
        <v>2022</v>
      </c>
      <c r="E350">
        <v>4.5927784434600882</v>
      </c>
      <c r="F350">
        <v>1.931834126476093</v>
      </c>
      <c r="G350">
        <f t="shared" si="5"/>
        <v>-2.6609443169839953</v>
      </c>
      <c r="H350">
        <v>8.1761583775401121</v>
      </c>
      <c r="I350" t="s">
        <v>80</v>
      </c>
    </row>
    <row r="351" spans="1:9" x14ac:dyDescent="0.35">
      <c r="A351" t="s">
        <v>68</v>
      </c>
      <c r="B351" t="s">
        <v>60</v>
      </c>
      <c r="C351" t="s">
        <v>40</v>
      </c>
      <c r="D351">
        <v>2022</v>
      </c>
      <c r="E351">
        <v>4.0547699734103224</v>
      </c>
      <c r="F351">
        <v>1.931834126476093</v>
      </c>
      <c r="G351">
        <f t="shared" si="5"/>
        <v>-2.1229358469342294</v>
      </c>
      <c r="H351">
        <v>8.1761583775401121</v>
      </c>
      <c r="I351" t="s">
        <v>80</v>
      </c>
    </row>
    <row r="352" spans="1:9" x14ac:dyDescent="0.35">
      <c r="A352" t="s">
        <v>68</v>
      </c>
      <c r="B352" t="s">
        <v>61</v>
      </c>
      <c r="C352" t="s">
        <v>38</v>
      </c>
      <c r="D352">
        <v>2022</v>
      </c>
      <c r="E352">
        <v>1.55845355711639</v>
      </c>
      <c r="F352">
        <v>1.931834126476093</v>
      </c>
      <c r="G352">
        <f t="shared" si="5"/>
        <v>0.37338056935970299</v>
      </c>
      <c r="H352">
        <v>8.1761583775401121</v>
      </c>
      <c r="I352" t="s">
        <v>80</v>
      </c>
    </row>
    <row r="353" spans="1:9" x14ac:dyDescent="0.35">
      <c r="A353" t="s">
        <v>68</v>
      </c>
      <c r="B353" t="s">
        <v>62</v>
      </c>
      <c r="C353" t="s">
        <v>40</v>
      </c>
      <c r="D353">
        <v>2022</v>
      </c>
      <c r="E353">
        <v>1.5579683422439761</v>
      </c>
      <c r="F353">
        <v>1.931834126476093</v>
      </c>
      <c r="G353">
        <f t="shared" si="5"/>
        <v>0.37386578423211692</v>
      </c>
      <c r="H353">
        <v>8.1761583775401121</v>
      </c>
      <c r="I353" t="s">
        <v>80</v>
      </c>
    </row>
    <row r="354" spans="1:9" x14ac:dyDescent="0.35">
      <c r="A354" t="s">
        <v>69</v>
      </c>
      <c r="B354" t="s">
        <v>59</v>
      </c>
      <c r="C354" t="s">
        <v>38</v>
      </c>
      <c r="D354">
        <v>2022</v>
      </c>
      <c r="E354">
        <v>5.5278236152833893</v>
      </c>
      <c r="F354">
        <v>6.1757125573772758</v>
      </c>
      <c r="G354">
        <f t="shared" si="5"/>
        <v>0.64788894209388648</v>
      </c>
      <c r="H354">
        <v>0.7506448684246857</v>
      </c>
      <c r="I354" t="s">
        <v>80</v>
      </c>
    </row>
    <row r="355" spans="1:9" x14ac:dyDescent="0.35">
      <c r="A355" t="s">
        <v>69</v>
      </c>
      <c r="B355" t="s">
        <v>60</v>
      </c>
      <c r="C355" t="s">
        <v>40</v>
      </c>
      <c r="D355">
        <v>2022</v>
      </c>
      <c r="E355">
        <v>6.7779918001151573</v>
      </c>
      <c r="F355">
        <v>6.1757125573772758</v>
      </c>
      <c r="G355">
        <f t="shared" si="5"/>
        <v>-0.60227924273788158</v>
      </c>
      <c r="H355">
        <v>0.7506448684246857</v>
      </c>
      <c r="I355" t="s">
        <v>80</v>
      </c>
    </row>
    <row r="356" spans="1:9" x14ac:dyDescent="0.35">
      <c r="A356" t="s">
        <v>69</v>
      </c>
      <c r="B356" t="s">
        <v>61</v>
      </c>
      <c r="C356" t="s">
        <v>38</v>
      </c>
      <c r="D356">
        <v>2022</v>
      </c>
      <c r="E356">
        <v>4.547669246739372</v>
      </c>
      <c r="F356">
        <v>6.1757125573772758</v>
      </c>
      <c r="G356">
        <f t="shared" si="5"/>
        <v>1.6280433106379038</v>
      </c>
      <c r="H356">
        <v>0.7506448684246857</v>
      </c>
      <c r="I356" t="s">
        <v>80</v>
      </c>
    </row>
    <row r="357" spans="1:9" x14ac:dyDescent="0.35">
      <c r="A357" t="s">
        <v>69</v>
      </c>
      <c r="B357" t="s">
        <v>62</v>
      </c>
      <c r="C357" t="s">
        <v>40</v>
      </c>
      <c r="D357">
        <v>2022</v>
      </c>
      <c r="E357">
        <v>4.0260894815609127</v>
      </c>
      <c r="F357">
        <v>6.1757125573772758</v>
      </c>
      <c r="G357">
        <f t="shared" si="5"/>
        <v>2.149623075816363</v>
      </c>
      <c r="H357">
        <v>0.7506448684246857</v>
      </c>
      <c r="I357" t="s">
        <v>80</v>
      </c>
    </row>
    <row r="358" spans="1:9" x14ac:dyDescent="0.35">
      <c r="A358" t="s">
        <v>70</v>
      </c>
      <c r="B358" t="s">
        <v>59</v>
      </c>
      <c r="C358" t="s">
        <v>38</v>
      </c>
      <c r="D358">
        <v>2022</v>
      </c>
      <c r="E358">
        <v>2.8272245866406638</v>
      </c>
      <c r="F358">
        <v>0.76006291556467176</v>
      </c>
      <c r="G358">
        <f t="shared" si="5"/>
        <v>-2.0671616710759921</v>
      </c>
      <c r="H358">
        <v>1.409708663565979</v>
      </c>
      <c r="I358" t="s">
        <v>80</v>
      </c>
    </row>
    <row r="359" spans="1:9" x14ac:dyDescent="0.35">
      <c r="A359" t="s">
        <v>70</v>
      </c>
      <c r="B359" t="s">
        <v>60</v>
      </c>
      <c r="C359" t="s">
        <v>40</v>
      </c>
      <c r="D359">
        <v>2022</v>
      </c>
      <c r="E359">
        <v>2.7517012411305108</v>
      </c>
      <c r="F359">
        <v>0.76006291556467176</v>
      </c>
      <c r="G359">
        <f t="shared" si="5"/>
        <v>-1.9916383255658392</v>
      </c>
      <c r="H359">
        <v>1.409708663565979</v>
      </c>
      <c r="I359" t="s">
        <v>80</v>
      </c>
    </row>
    <row r="360" spans="1:9" x14ac:dyDescent="0.35">
      <c r="A360" t="s">
        <v>70</v>
      </c>
      <c r="B360" t="s">
        <v>61</v>
      </c>
      <c r="C360" t="s">
        <v>38</v>
      </c>
      <c r="D360">
        <v>2022</v>
      </c>
      <c r="E360">
        <v>2.327853537647107</v>
      </c>
      <c r="F360">
        <v>0.76006291556467176</v>
      </c>
      <c r="G360">
        <f t="shared" si="5"/>
        <v>-1.5677906220824354</v>
      </c>
      <c r="H360">
        <v>1.409708663565979</v>
      </c>
      <c r="I360" t="s">
        <v>80</v>
      </c>
    </row>
    <row r="361" spans="1:9" x14ac:dyDescent="0.35">
      <c r="A361" t="s">
        <v>70</v>
      </c>
      <c r="B361" t="s">
        <v>62</v>
      </c>
      <c r="C361" t="s">
        <v>40</v>
      </c>
      <c r="D361">
        <v>2022</v>
      </c>
      <c r="E361">
        <v>1.603112304026943</v>
      </c>
      <c r="F361">
        <v>0.76006291556467176</v>
      </c>
      <c r="G361">
        <f t="shared" si="5"/>
        <v>-0.84304938846227129</v>
      </c>
      <c r="H361">
        <v>1.409708663565979</v>
      </c>
      <c r="I361" t="s">
        <v>80</v>
      </c>
    </row>
    <row r="362" spans="1:9" x14ac:dyDescent="0.35">
      <c r="A362" t="s">
        <v>73</v>
      </c>
      <c r="B362" t="s">
        <v>59</v>
      </c>
      <c r="C362" t="s">
        <v>38</v>
      </c>
      <c r="D362">
        <v>2022</v>
      </c>
      <c r="E362">
        <v>3.7661475579403141</v>
      </c>
      <c r="F362">
        <v>2.761671160127166</v>
      </c>
      <c r="G362">
        <f t="shared" si="5"/>
        <v>-1.0044763978131481</v>
      </c>
      <c r="H362">
        <v>9.6347394516842577</v>
      </c>
      <c r="I362" t="s">
        <v>80</v>
      </c>
    </row>
    <row r="363" spans="1:9" x14ac:dyDescent="0.35">
      <c r="A363" t="s">
        <v>73</v>
      </c>
      <c r="B363" t="s">
        <v>60</v>
      </c>
      <c r="C363" t="s">
        <v>40</v>
      </c>
      <c r="D363">
        <v>2022</v>
      </c>
      <c r="E363">
        <v>4.2114770737248453</v>
      </c>
      <c r="F363">
        <v>2.761671160127166</v>
      </c>
      <c r="G363">
        <f t="shared" si="5"/>
        <v>-1.4498059135976793</v>
      </c>
      <c r="H363">
        <v>9.6347394516842577</v>
      </c>
      <c r="I363" t="s">
        <v>80</v>
      </c>
    </row>
    <row r="364" spans="1:9" x14ac:dyDescent="0.35">
      <c r="A364" t="s">
        <v>73</v>
      </c>
      <c r="B364" t="s">
        <v>61</v>
      </c>
      <c r="C364" t="s">
        <v>38</v>
      </c>
      <c r="D364">
        <v>2022</v>
      </c>
      <c r="E364">
        <v>2.6294584401195249</v>
      </c>
      <c r="F364">
        <v>2.761671160127166</v>
      </c>
      <c r="G364">
        <f t="shared" si="5"/>
        <v>0.13221272000764106</v>
      </c>
      <c r="H364">
        <v>9.6347394516842577</v>
      </c>
      <c r="I364" t="s">
        <v>80</v>
      </c>
    </row>
    <row r="365" spans="1:9" x14ac:dyDescent="0.35">
      <c r="A365" t="s">
        <v>73</v>
      </c>
      <c r="B365" t="s">
        <v>62</v>
      </c>
      <c r="C365" t="s">
        <v>40</v>
      </c>
      <c r="D365">
        <v>2022</v>
      </c>
      <c r="E365">
        <v>3.0989524183168582</v>
      </c>
      <c r="F365">
        <v>2.761671160127166</v>
      </c>
      <c r="G365">
        <f t="shared" si="5"/>
        <v>-0.33728125818969223</v>
      </c>
      <c r="H365">
        <v>9.6347394516842577</v>
      </c>
      <c r="I365" t="s">
        <v>80</v>
      </c>
    </row>
    <row r="366" spans="1:9" x14ac:dyDescent="0.35">
      <c r="A366" t="s">
        <v>76</v>
      </c>
      <c r="B366" t="s">
        <v>59</v>
      </c>
      <c r="C366" t="s">
        <v>38</v>
      </c>
      <c r="D366">
        <v>2022</v>
      </c>
      <c r="E366">
        <v>3.3489770835561039</v>
      </c>
      <c r="F366">
        <v>4.8892912104023152</v>
      </c>
      <c r="G366">
        <f t="shared" si="5"/>
        <v>1.5403141268462113</v>
      </c>
      <c r="H366">
        <v>1.8443544310864439</v>
      </c>
      <c r="I366" t="s">
        <v>80</v>
      </c>
    </row>
    <row r="367" spans="1:9" x14ac:dyDescent="0.35">
      <c r="A367" t="s">
        <v>76</v>
      </c>
      <c r="B367" t="s">
        <v>60</v>
      </c>
      <c r="C367" t="s">
        <v>40</v>
      </c>
      <c r="D367">
        <v>2022</v>
      </c>
      <c r="E367">
        <v>3.5790486712876879</v>
      </c>
      <c r="F367">
        <v>4.8892912104023152</v>
      </c>
      <c r="G367">
        <f t="shared" si="5"/>
        <v>1.3102425391146273</v>
      </c>
      <c r="H367">
        <v>1.8443544310864439</v>
      </c>
      <c r="I367" t="s">
        <v>80</v>
      </c>
    </row>
    <row r="368" spans="1:9" x14ac:dyDescent="0.35">
      <c r="A368" t="s">
        <v>76</v>
      </c>
      <c r="B368" t="s">
        <v>61</v>
      </c>
      <c r="C368" t="s">
        <v>38</v>
      </c>
      <c r="D368">
        <v>2022</v>
      </c>
      <c r="E368">
        <v>4.6490196630740721</v>
      </c>
      <c r="F368">
        <v>4.8892912104023152</v>
      </c>
      <c r="G368">
        <f t="shared" si="5"/>
        <v>0.24027154732824307</v>
      </c>
      <c r="H368">
        <v>1.8443544310864439</v>
      </c>
      <c r="I368" t="s">
        <v>80</v>
      </c>
    </row>
    <row r="369" spans="1:9" x14ac:dyDescent="0.35">
      <c r="A369" t="s">
        <v>76</v>
      </c>
      <c r="B369" t="s">
        <v>62</v>
      </c>
      <c r="C369" t="s">
        <v>40</v>
      </c>
      <c r="D369">
        <v>2022</v>
      </c>
      <c r="E369">
        <v>3.271330674458595</v>
      </c>
      <c r="F369">
        <v>4.8892912104023152</v>
      </c>
      <c r="G369">
        <f t="shared" si="5"/>
        <v>1.6179605359437201</v>
      </c>
      <c r="H369">
        <v>1.8443544310864439</v>
      </c>
      <c r="I369" t="s">
        <v>80</v>
      </c>
    </row>
    <row r="370" spans="1:9" x14ac:dyDescent="0.35">
      <c r="A370" t="s">
        <v>67</v>
      </c>
      <c r="B370" t="s">
        <v>61</v>
      </c>
      <c r="C370" t="s">
        <v>38</v>
      </c>
      <c r="D370">
        <v>2023</v>
      </c>
      <c r="E370">
        <v>0.1608186912456899</v>
      </c>
      <c r="F370">
        <v>1.5491827810755261</v>
      </c>
      <c r="G370">
        <f t="shared" si="5"/>
        <v>1.3883640898298362</v>
      </c>
      <c r="H370">
        <v>0.70099774387898239</v>
      </c>
      <c r="I370" t="s">
        <v>80</v>
      </c>
    </row>
    <row r="371" spans="1:9" x14ac:dyDescent="0.35">
      <c r="A371" t="s">
        <v>67</v>
      </c>
      <c r="B371" t="s">
        <v>62</v>
      </c>
      <c r="C371" t="s">
        <v>40</v>
      </c>
      <c r="D371">
        <v>2023</v>
      </c>
      <c r="E371">
        <v>1.7766240808305469</v>
      </c>
      <c r="F371">
        <v>1.5491827810755261</v>
      </c>
      <c r="G371">
        <f t="shared" si="5"/>
        <v>-0.22744129975502081</v>
      </c>
      <c r="H371">
        <v>0.70099774387898239</v>
      </c>
      <c r="I371" t="s">
        <v>80</v>
      </c>
    </row>
    <row r="372" spans="1:9" x14ac:dyDescent="0.35">
      <c r="A372" t="s">
        <v>67</v>
      </c>
      <c r="B372" t="s">
        <v>63</v>
      </c>
      <c r="C372" t="s">
        <v>38</v>
      </c>
      <c r="D372">
        <v>2023</v>
      </c>
      <c r="E372">
        <v>1.44096095579862</v>
      </c>
      <c r="F372">
        <v>1.5491827810755261</v>
      </c>
      <c r="G372">
        <f t="shared" si="5"/>
        <v>0.10822182527690605</v>
      </c>
      <c r="H372">
        <v>0.70099774387898239</v>
      </c>
      <c r="I372" t="s">
        <v>80</v>
      </c>
    </row>
    <row r="373" spans="1:9" x14ac:dyDescent="0.35">
      <c r="A373" t="s">
        <v>67</v>
      </c>
      <c r="B373" t="s">
        <v>64</v>
      </c>
      <c r="C373" t="s">
        <v>40</v>
      </c>
      <c r="D373">
        <v>2023</v>
      </c>
      <c r="E373">
        <v>1.2330728065618859</v>
      </c>
      <c r="F373">
        <v>1.5491827810755261</v>
      </c>
      <c r="G373">
        <f t="shared" si="5"/>
        <v>0.3161099745136402</v>
      </c>
      <c r="H373">
        <v>0.70099774387898239</v>
      </c>
      <c r="I373" t="s">
        <v>80</v>
      </c>
    </row>
    <row r="374" spans="1:9" x14ac:dyDescent="0.35">
      <c r="A374" t="s">
        <v>68</v>
      </c>
      <c r="B374" t="s">
        <v>61</v>
      </c>
      <c r="C374" t="s">
        <v>38</v>
      </c>
      <c r="D374">
        <v>2023</v>
      </c>
      <c r="E374">
        <v>-0.62595524483003429</v>
      </c>
      <c r="F374">
        <v>-0.81689108427086243</v>
      </c>
      <c r="G374">
        <f t="shared" si="5"/>
        <v>-0.19093583944082815</v>
      </c>
      <c r="H374">
        <v>7.6870184113631561</v>
      </c>
      <c r="I374" t="s">
        <v>80</v>
      </c>
    </row>
    <row r="375" spans="1:9" x14ac:dyDescent="0.35">
      <c r="A375" t="s">
        <v>68</v>
      </c>
      <c r="B375" t="s">
        <v>62</v>
      </c>
      <c r="C375" t="s">
        <v>40</v>
      </c>
      <c r="D375">
        <v>2023</v>
      </c>
      <c r="E375">
        <v>2.4090316591396821</v>
      </c>
      <c r="F375">
        <v>-0.81689108427086243</v>
      </c>
      <c r="G375">
        <f t="shared" si="5"/>
        <v>-3.2259227434105444</v>
      </c>
      <c r="H375">
        <v>7.6870184113631561</v>
      </c>
      <c r="I375" t="s">
        <v>80</v>
      </c>
    </row>
    <row r="376" spans="1:9" x14ac:dyDescent="0.35">
      <c r="A376" t="s">
        <v>68</v>
      </c>
      <c r="B376" t="s">
        <v>63</v>
      </c>
      <c r="C376" t="s">
        <v>38</v>
      </c>
      <c r="D376">
        <v>2023</v>
      </c>
      <c r="E376">
        <v>-0.27334918709761569</v>
      </c>
      <c r="F376">
        <v>-0.81689108427086243</v>
      </c>
      <c r="G376">
        <f t="shared" si="5"/>
        <v>-0.54354189717324675</v>
      </c>
      <c r="H376">
        <v>7.6870184113631561</v>
      </c>
      <c r="I376" t="s">
        <v>80</v>
      </c>
    </row>
    <row r="377" spans="1:9" x14ac:dyDescent="0.35">
      <c r="A377" t="s">
        <v>68</v>
      </c>
      <c r="B377" t="s">
        <v>64</v>
      </c>
      <c r="C377" t="s">
        <v>40</v>
      </c>
      <c r="D377">
        <v>2023</v>
      </c>
      <c r="E377">
        <v>0.18957305278237691</v>
      </c>
      <c r="F377">
        <v>-0.81689108427086243</v>
      </c>
      <c r="G377">
        <f t="shared" si="5"/>
        <v>-1.0064641370532392</v>
      </c>
      <c r="H377">
        <v>7.6870184113631561</v>
      </c>
      <c r="I377" t="s">
        <v>80</v>
      </c>
    </row>
    <row r="378" spans="1:9" x14ac:dyDescent="0.35">
      <c r="A378" t="s">
        <v>69</v>
      </c>
      <c r="B378" t="s">
        <v>61</v>
      </c>
      <c r="C378" t="s">
        <v>38</v>
      </c>
      <c r="D378">
        <v>2023</v>
      </c>
      <c r="E378">
        <v>0.95503996038659444</v>
      </c>
      <c r="F378">
        <v>2.4309784639696339</v>
      </c>
      <c r="G378">
        <f t="shared" si="5"/>
        <v>1.4759385035830395</v>
      </c>
      <c r="H378">
        <v>0.99080783677360684</v>
      </c>
      <c r="I378" t="s">
        <v>80</v>
      </c>
    </row>
    <row r="379" spans="1:9" x14ac:dyDescent="0.35">
      <c r="A379" t="s">
        <v>69</v>
      </c>
      <c r="B379" t="s">
        <v>62</v>
      </c>
      <c r="C379" t="s">
        <v>40</v>
      </c>
      <c r="D379">
        <v>2023</v>
      </c>
      <c r="E379">
        <v>3.3729684974310499</v>
      </c>
      <c r="F379">
        <v>2.4309784639696339</v>
      </c>
      <c r="G379">
        <f t="shared" si="5"/>
        <v>-0.94199003346141597</v>
      </c>
      <c r="H379">
        <v>0.99080783677360684</v>
      </c>
      <c r="I379" t="s">
        <v>80</v>
      </c>
    </row>
    <row r="380" spans="1:9" x14ac:dyDescent="0.35">
      <c r="A380" t="s">
        <v>69</v>
      </c>
      <c r="B380" t="s">
        <v>63</v>
      </c>
      <c r="C380" t="s">
        <v>38</v>
      </c>
      <c r="D380">
        <v>2023</v>
      </c>
      <c r="E380">
        <v>2.3654844972287088</v>
      </c>
      <c r="F380">
        <v>2.4309784639696339</v>
      </c>
      <c r="G380">
        <f t="shared" si="5"/>
        <v>6.5493966740925114E-2</v>
      </c>
      <c r="H380">
        <v>0.99080783677360684</v>
      </c>
      <c r="I380" t="s">
        <v>80</v>
      </c>
    </row>
    <row r="381" spans="1:9" x14ac:dyDescent="0.35">
      <c r="A381" t="s">
        <v>69</v>
      </c>
      <c r="B381" t="s">
        <v>64</v>
      </c>
      <c r="C381" t="s">
        <v>40</v>
      </c>
      <c r="D381">
        <v>2023</v>
      </c>
      <c r="E381">
        <v>1.9366811763456671</v>
      </c>
      <c r="F381">
        <v>2.4309784639696339</v>
      </c>
      <c r="G381">
        <f t="shared" si="5"/>
        <v>0.49429728762396685</v>
      </c>
      <c r="H381">
        <v>0.99080783677360684</v>
      </c>
      <c r="I381" t="s">
        <v>80</v>
      </c>
    </row>
    <row r="382" spans="1:9" x14ac:dyDescent="0.35">
      <c r="A382" t="s">
        <v>70</v>
      </c>
      <c r="B382" t="s">
        <v>61</v>
      </c>
      <c r="C382" t="s">
        <v>38</v>
      </c>
      <c r="D382">
        <v>2023</v>
      </c>
      <c r="E382">
        <v>0.23998786112824361</v>
      </c>
      <c r="F382">
        <v>-1.2980054053073831</v>
      </c>
      <c r="G382">
        <f t="shared" si="5"/>
        <v>-1.5379932664356266</v>
      </c>
      <c r="H382">
        <v>1.308722193926259</v>
      </c>
      <c r="I382" t="s">
        <v>80</v>
      </c>
    </row>
    <row r="383" spans="1:9" x14ac:dyDescent="0.35">
      <c r="A383" t="s">
        <v>70</v>
      </c>
      <c r="B383" t="s">
        <v>62</v>
      </c>
      <c r="C383" t="s">
        <v>40</v>
      </c>
      <c r="D383">
        <v>2023</v>
      </c>
      <c r="E383">
        <v>1.664320363648697</v>
      </c>
      <c r="F383">
        <v>-1.2980054053073831</v>
      </c>
      <c r="G383">
        <f t="shared" si="5"/>
        <v>-2.96232576895608</v>
      </c>
      <c r="H383">
        <v>1.308722193926259</v>
      </c>
      <c r="I383" t="s">
        <v>80</v>
      </c>
    </row>
    <row r="384" spans="1:9" x14ac:dyDescent="0.35">
      <c r="A384" t="s">
        <v>70</v>
      </c>
      <c r="B384" t="s">
        <v>63</v>
      </c>
      <c r="C384" t="s">
        <v>38</v>
      </c>
      <c r="D384">
        <v>2023</v>
      </c>
      <c r="E384">
        <v>0.13705974715647609</v>
      </c>
      <c r="F384">
        <v>-1.2980054053073831</v>
      </c>
      <c r="G384">
        <f t="shared" si="5"/>
        <v>-1.4350651524638591</v>
      </c>
      <c r="H384">
        <v>1.308722193926259</v>
      </c>
      <c r="I384" t="s">
        <v>80</v>
      </c>
    </row>
    <row r="385" spans="1:9" x14ac:dyDescent="0.35">
      <c r="A385" t="s">
        <v>70</v>
      </c>
      <c r="B385" t="s">
        <v>64</v>
      </c>
      <c r="C385" t="s">
        <v>40</v>
      </c>
      <c r="D385">
        <v>2023</v>
      </c>
      <c r="E385">
        <v>0.1978909161836295</v>
      </c>
      <c r="F385">
        <v>-1.2980054053073831</v>
      </c>
      <c r="G385">
        <f t="shared" si="5"/>
        <v>-1.4958963214910126</v>
      </c>
      <c r="H385">
        <v>1.308722193926259</v>
      </c>
      <c r="I385" t="s">
        <v>80</v>
      </c>
    </row>
    <row r="386" spans="1:9" x14ac:dyDescent="0.35">
      <c r="A386" t="s">
        <v>73</v>
      </c>
      <c r="B386" t="s">
        <v>61</v>
      </c>
      <c r="C386" t="s">
        <v>38</v>
      </c>
      <c r="D386">
        <v>2023</v>
      </c>
      <c r="E386">
        <v>0.43950651458626311</v>
      </c>
      <c r="F386">
        <v>1.8022470831755071</v>
      </c>
      <c r="G386">
        <f t="shared" ref="G386:G441" si="6">IF(OR(F386="",E386=""),"",F386-E386)</f>
        <v>1.362740568589244</v>
      </c>
      <c r="H386">
        <v>10.29193780166767</v>
      </c>
      <c r="I386" t="s">
        <v>80</v>
      </c>
    </row>
    <row r="387" spans="1:9" x14ac:dyDescent="0.35">
      <c r="A387" t="s">
        <v>73</v>
      </c>
      <c r="B387" t="s">
        <v>62</v>
      </c>
      <c r="C387" t="s">
        <v>40</v>
      </c>
      <c r="D387">
        <v>2023</v>
      </c>
      <c r="E387">
        <v>1.7691091240616961</v>
      </c>
      <c r="F387">
        <v>1.8022470831755071</v>
      </c>
      <c r="G387">
        <f t="shared" si="6"/>
        <v>3.3137959113811011E-2</v>
      </c>
      <c r="H387">
        <v>10.29193780166767</v>
      </c>
      <c r="I387" t="s">
        <v>80</v>
      </c>
    </row>
    <row r="388" spans="1:9" x14ac:dyDescent="0.35">
      <c r="A388" t="s">
        <v>73</v>
      </c>
      <c r="B388" t="s">
        <v>63</v>
      </c>
      <c r="C388" t="s">
        <v>38</v>
      </c>
      <c r="D388">
        <v>2023</v>
      </c>
      <c r="E388">
        <v>1.0022762950343991</v>
      </c>
      <c r="F388">
        <v>1.8022470831755071</v>
      </c>
      <c r="G388">
        <f t="shared" si="6"/>
        <v>0.799970788141108</v>
      </c>
      <c r="H388">
        <v>10.29193780166767</v>
      </c>
      <c r="I388" t="s">
        <v>80</v>
      </c>
    </row>
    <row r="389" spans="1:9" x14ac:dyDescent="0.35">
      <c r="A389" t="s">
        <v>73</v>
      </c>
      <c r="B389" t="s">
        <v>64</v>
      </c>
      <c r="C389" t="s">
        <v>40</v>
      </c>
      <c r="D389">
        <v>2023</v>
      </c>
      <c r="E389">
        <v>0.72426026364131868</v>
      </c>
      <c r="F389">
        <v>1.8022470831755071</v>
      </c>
      <c r="G389">
        <f t="shared" si="6"/>
        <v>1.0779868195341884</v>
      </c>
      <c r="H389">
        <v>10.29193780166767</v>
      </c>
      <c r="I389" t="s">
        <v>80</v>
      </c>
    </row>
    <row r="390" spans="1:9" x14ac:dyDescent="0.35">
      <c r="A390" t="s">
        <v>76</v>
      </c>
      <c r="B390" t="s">
        <v>61</v>
      </c>
      <c r="C390" t="s">
        <v>38</v>
      </c>
      <c r="D390">
        <v>2023</v>
      </c>
      <c r="E390">
        <v>0.64857323528075828</v>
      </c>
      <c r="F390">
        <v>-0.58469355622177965</v>
      </c>
      <c r="G390">
        <f t="shared" si="6"/>
        <v>-1.2332667915025379</v>
      </c>
      <c r="H390">
        <v>1.8588080393447699</v>
      </c>
      <c r="I390" t="s">
        <v>80</v>
      </c>
    </row>
    <row r="391" spans="1:9" x14ac:dyDescent="0.35">
      <c r="A391" t="s">
        <v>76</v>
      </c>
      <c r="B391" t="s">
        <v>62</v>
      </c>
      <c r="C391" t="s">
        <v>40</v>
      </c>
      <c r="D391">
        <v>2023</v>
      </c>
      <c r="E391">
        <v>1.5682500170195011</v>
      </c>
      <c r="F391">
        <v>-0.58469355622177965</v>
      </c>
      <c r="G391">
        <f t="shared" si="6"/>
        <v>-2.1529435732412807</v>
      </c>
      <c r="H391">
        <v>1.8588080393447699</v>
      </c>
      <c r="I391" t="s">
        <v>80</v>
      </c>
    </row>
    <row r="392" spans="1:9" x14ac:dyDescent="0.35">
      <c r="A392" t="s">
        <v>76</v>
      </c>
      <c r="B392" t="s">
        <v>63</v>
      </c>
      <c r="C392" t="s">
        <v>38</v>
      </c>
      <c r="D392">
        <v>2023</v>
      </c>
      <c r="E392">
        <v>0.5799247285826814</v>
      </c>
      <c r="F392">
        <v>-0.58469355622177965</v>
      </c>
      <c r="G392">
        <f t="shared" si="6"/>
        <v>-1.1646182848044611</v>
      </c>
      <c r="H392">
        <v>1.8588080393447699</v>
      </c>
      <c r="I392" t="s">
        <v>80</v>
      </c>
    </row>
    <row r="393" spans="1:9" x14ac:dyDescent="0.35">
      <c r="A393" t="s">
        <v>76</v>
      </c>
      <c r="B393" t="s">
        <v>64</v>
      </c>
      <c r="C393" t="s">
        <v>40</v>
      </c>
      <c r="D393">
        <v>2023</v>
      </c>
      <c r="E393">
        <v>1.8009941751683021</v>
      </c>
      <c r="F393">
        <v>-0.58469355622177965</v>
      </c>
      <c r="G393">
        <f t="shared" si="6"/>
        <v>-2.3856877313900817</v>
      </c>
      <c r="H393">
        <v>1.8588080393447699</v>
      </c>
      <c r="I393" t="s">
        <v>80</v>
      </c>
    </row>
    <row r="394" spans="1:9" x14ac:dyDescent="0.35">
      <c r="A394" t="s">
        <v>67</v>
      </c>
      <c r="B394" t="s">
        <v>63</v>
      </c>
      <c r="C394" t="s">
        <v>38</v>
      </c>
      <c r="D394">
        <v>2024</v>
      </c>
      <c r="E394">
        <v>1.366814397179428</v>
      </c>
      <c r="F394">
        <v>1.0917584184985489</v>
      </c>
      <c r="G394">
        <f t="shared" si="6"/>
        <v>-0.27505597868087905</v>
      </c>
      <c r="H394">
        <v>1.1240323327321109</v>
      </c>
      <c r="I394" t="s">
        <v>80</v>
      </c>
    </row>
    <row r="395" spans="1:9" x14ac:dyDescent="0.35">
      <c r="A395" t="s">
        <v>67</v>
      </c>
      <c r="B395" t="s">
        <v>64</v>
      </c>
      <c r="C395" t="s">
        <v>40</v>
      </c>
      <c r="D395">
        <v>2024</v>
      </c>
      <c r="E395">
        <v>1.3611844962323929</v>
      </c>
      <c r="F395">
        <v>1.0917584184985489</v>
      </c>
      <c r="G395">
        <f t="shared" si="6"/>
        <v>-0.26942607773384397</v>
      </c>
      <c r="H395">
        <v>1.1240323327321109</v>
      </c>
      <c r="I395" t="s">
        <v>80</v>
      </c>
    </row>
    <row r="396" spans="1:9" x14ac:dyDescent="0.35">
      <c r="A396" t="s">
        <v>67</v>
      </c>
      <c r="B396" t="s">
        <v>65</v>
      </c>
      <c r="C396" t="s">
        <v>38</v>
      </c>
      <c r="D396">
        <v>2024</v>
      </c>
      <c r="E396">
        <v>1.144309940913812</v>
      </c>
      <c r="F396">
        <v>1.0917584184985489</v>
      </c>
      <c r="G396">
        <f t="shared" si="6"/>
        <v>-5.2551522415263063E-2</v>
      </c>
      <c r="H396">
        <v>1.1240323327321109</v>
      </c>
      <c r="I396" t="s">
        <v>80</v>
      </c>
    </row>
    <row r="397" spans="1:9" x14ac:dyDescent="0.35">
      <c r="A397" t="s">
        <v>67</v>
      </c>
      <c r="B397" t="s">
        <v>66</v>
      </c>
      <c r="C397" t="s">
        <v>40</v>
      </c>
      <c r="D397">
        <v>2024</v>
      </c>
      <c r="E397">
        <v>1.2741731353000501</v>
      </c>
      <c r="F397">
        <v>1.0917584184985489</v>
      </c>
      <c r="G397">
        <f t="shared" si="6"/>
        <v>-0.18241471680150112</v>
      </c>
      <c r="H397">
        <v>1.1240323327321109</v>
      </c>
      <c r="I397" t="s">
        <v>80</v>
      </c>
    </row>
    <row r="398" spans="1:9" x14ac:dyDescent="0.35">
      <c r="A398" t="s">
        <v>68</v>
      </c>
      <c r="B398" t="s">
        <v>63</v>
      </c>
      <c r="C398" t="s">
        <v>38</v>
      </c>
      <c r="D398">
        <v>2024</v>
      </c>
      <c r="E398">
        <v>0.80450584510622924</v>
      </c>
      <c r="F398">
        <v>4.0523394564314849E-2</v>
      </c>
      <c r="G398">
        <f t="shared" si="6"/>
        <v>-0.76398245054191438</v>
      </c>
      <c r="H398">
        <v>7.109230495453148</v>
      </c>
      <c r="I398" t="s">
        <v>80</v>
      </c>
    </row>
    <row r="399" spans="1:9" x14ac:dyDescent="0.35">
      <c r="A399" t="s">
        <v>68</v>
      </c>
      <c r="B399" t="s">
        <v>64</v>
      </c>
      <c r="C399" t="s">
        <v>40</v>
      </c>
      <c r="D399">
        <v>2024</v>
      </c>
      <c r="E399">
        <v>1.358688832068133</v>
      </c>
      <c r="F399">
        <v>4.0523394564314849E-2</v>
      </c>
      <c r="G399">
        <f t="shared" si="6"/>
        <v>-1.3181654375038181</v>
      </c>
      <c r="H399">
        <v>7.109230495453148</v>
      </c>
      <c r="I399" t="s">
        <v>80</v>
      </c>
    </row>
    <row r="400" spans="1:9" x14ac:dyDescent="0.35">
      <c r="A400" t="s">
        <v>68</v>
      </c>
      <c r="B400" t="s">
        <v>65</v>
      </c>
      <c r="C400" t="s">
        <v>38</v>
      </c>
      <c r="D400">
        <v>2024</v>
      </c>
      <c r="E400">
        <v>-0.1114510968873272</v>
      </c>
      <c r="F400">
        <v>4.0523394564314849E-2</v>
      </c>
      <c r="G400">
        <f t="shared" si="6"/>
        <v>0.15197449145164205</v>
      </c>
      <c r="H400">
        <v>7.109230495453148</v>
      </c>
      <c r="I400" t="s">
        <v>80</v>
      </c>
    </row>
    <row r="401" spans="1:9" x14ac:dyDescent="0.35">
      <c r="A401" t="s">
        <v>68</v>
      </c>
      <c r="B401" t="s">
        <v>66</v>
      </c>
      <c r="C401" t="s">
        <v>40</v>
      </c>
      <c r="D401">
        <v>2024</v>
      </c>
      <c r="E401">
        <v>0.12753656568900151</v>
      </c>
      <c r="F401">
        <v>4.0523394564314849E-2</v>
      </c>
      <c r="G401">
        <f t="shared" si="6"/>
        <v>-8.7013171124686664E-2</v>
      </c>
      <c r="H401">
        <v>7.109230495453148</v>
      </c>
      <c r="I401" t="s">
        <v>80</v>
      </c>
    </row>
    <row r="402" spans="1:9" x14ac:dyDescent="0.35">
      <c r="A402" t="s">
        <v>69</v>
      </c>
      <c r="B402" t="s">
        <v>63</v>
      </c>
      <c r="C402" t="s">
        <v>38</v>
      </c>
      <c r="D402">
        <v>2024</v>
      </c>
      <c r="E402">
        <v>1.660542743130144</v>
      </c>
      <c r="F402">
        <v>3.3969031373447791</v>
      </c>
      <c r="G402">
        <f t="shared" si="6"/>
        <v>1.7363603942146351</v>
      </c>
      <c r="H402">
        <v>0.80485602708870874</v>
      </c>
      <c r="I402" t="s">
        <v>80</v>
      </c>
    </row>
    <row r="403" spans="1:9" x14ac:dyDescent="0.35">
      <c r="A403" t="s">
        <v>69</v>
      </c>
      <c r="B403" t="s">
        <v>64</v>
      </c>
      <c r="C403" t="s">
        <v>40</v>
      </c>
      <c r="D403">
        <v>2024</v>
      </c>
      <c r="E403">
        <v>1.9648768473316871</v>
      </c>
      <c r="F403">
        <v>3.3969031373447791</v>
      </c>
      <c r="G403">
        <f t="shared" si="6"/>
        <v>1.432026290013092</v>
      </c>
      <c r="H403">
        <v>0.80485602708870874</v>
      </c>
      <c r="I403" t="s">
        <v>80</v>
      </c>
    </row>
    <row r="404" spans="1:9" x14ac:dyDescent="0.35">
      <c r="A404" t="s">
        <v>69</v>
      </c>
      <c r="B404" t="s">
        <v>65</v>
      </c>
      <c r="C404" t="s">
        <v>38</v>
      </c>
      <c r="D404">
        <v>2024</v>
      </c>
      <c r="E404">
        <v>2.966936931003072</v>
      </c>
      <c r="F404">
        <v>3.3969031373447791</v>
      </c>
      <c r="G404">
        <f t="shared" si="6"/>
        <v>0.42996620634170712</v>
      </c>
      <c r="H404">
        <v>0.80485602708870874</v>
      </c>
      <c r="I404" t="s">
        <v>80</v>
      </c>
    </row>
    <row r="405" spans="1:9" x14ac:dyDescent="0.35">
      <c r="A405" t="s">
        <v>69</v>
      </c>
      <c r="B405" t="s">
        <v>66</v>
      </c>
      <c r="C405" t="s">
        <v>40</v>
      </c>
      <c r="D405">
        <v>2024</v>
      </c>
      <c r="E405">
        <v>2.1447304612078222</v>
      </c>
      <c r="F405">
        <v>3.3969031373447791</v>
      </c>
      <c r="G405">
        <f t="shared" si="6"/>
        <v>1.2521726761369569</v>
      </c>
      <c r="H405">
        <v>0.80485602708870874</v>
      </c>
      <c r="I405" t="s">
        <v>80</v>
      </c>
    </row>
    <row r="406" spans="1:9" x14ac:dyDescent="0.35">
      <c r="A406" t="s">
        <v>70</v>
      </c>
      <c r="B406" t="s">
        <v>63</v>
      </c>
      <c r="C406" t="s">
        <v>38</v>
      </c>
      <c r="D406">
        <v>2024</v>
      </c>
      <c r="E406">
        <v>0.82599219561030335</v>
      </c>
      <c r="F406">
        <v>0.8814466149882676</v>
      </c>
      <c r="G406">
        <f t="shared" si="6"/>
        <v>5.5454419377964248E-2</v>
      </c>
      <c r="H406">
        <v>2.465185230482875</v>
      </c>
      <c r="I406" t="s">
        <v>80</v>
      </c>
    </row>
    <row r="407" spans="1:9" x14ac:dyDescent="0.35">
      <c r="A407" t="s">
        <v>70</v>
      </c>
      <c r="B407" t="s">
        <v>64</v>
      </c>
      <c r="C407" t="s">
        <v>40</v>
      </c>
      <c r="D407">
        <v>2024</v>
      </c>
      <c r="E407">
        <v>1.375433393552461</v>
      </c>
      <c r="F407">
        <v>0.8814466149882676</v>
      </c>
      <c r="G407">
        <f t="shared" si="6"/>
        <v>-0.49398677856419337</v>
      </c>
      <c r="H407">
        <v>2.465185230482875</v>
      </c>
      <c r="I407" t="s">
        <v>80</v>
      </c>
    </row>
    <row r="408" spans="1:9" x14ac:dyDescent="0.35">
      <c r="A408" t="s">
        <v>70</v>
      </c>
      <c r="B408" t="s">
        <v>65</v>
      </c>
      <c r="C408" t="s">
        <v>38</v>
      </c>
      <c r="D408">
        <v>2024</v>
      </c>
      <c r="E408">
        <v>-0.27816035844419051</v>
      </c>
      <c r="F408">
        <v>0.8814466149882676</v>
      </c>
      <c r="G408">
        <f t="shared" si="6"/>
        <v>1.1596069734324581</v>
      </c>
      <c r="H408">
        <v>2.465185230482875</v>
      </c>
      <c r="I408" t="s">
        <v>80</v>
      </c>
    </row>
    <row r="409" spans="1:9" x14ac:dyDescent="0.35">
      <c r="A409" t="s">
        <v>70</v>
      </c>
      <c r="B409" t="s">
        <v>66</v>
      </c>
      <c r="C409" t="s">
        <v>40</v>
      </c>
      <c r="D409">
        <v>2024</v>
      </c>
      <c r="E409">
        <v>3.9573385924840387E-2</v>
      </c>
      <c r="F409">
        <v>0.8814466149882676</v>
      </c>
      <c r="G409">
        <f t="shared" si="6"/>
        <v>0.84187322906342721</v>
      </c>
      <c r="H409">
        <v>2.465185230482875</v>
      </c>
      <c r="I409" t="s">
        <v>80</v>
      </c>
    </row>
    <row r="410" spans="1:9" x14ac:dyDescent="0.35">
      <c r="A410" t="s">
        <v>73</v>
      </c>
      <c r="B410" t="s">
        <v>63</v>
      </c>
      <c r="C410" t="s">
        <v>38</v>
      </c>
      <c r="D410">
        <v>2024</v>
      </c>
      <c r="E410">
        <v>1.2470954330068731</v>
      </c>
      <c r="F410">
        <v>1.4144828845553741</v>
      </c>
      <c r="G410">
        <f t="shared" si="6"/>
        <v>0.16738745154850099</v>
      </c>
      <c r="H410">
        <v>11.0988927927906</v>
      </c>
      <c r="I410" t="s">
        <v>80</v>
      </c>
    </row>
    <row r="411" spans="1:9" x14ac:dyDescent="0.35">
      <c r="A411" t="s">
        <v>73</v>
      </c>
      <c r="B411" t="s">
        <v>64</v>
      </c>
      <c r="C411" t="s">
        <v>40</v>
      </c>
      <c r="D411">
        <v>2024</v>
      </c>
      <c r="E411">
        <v>1.41860461240253</v>
      </c>
      <c r="F411">
        <v>1.4144828845553741</v>
      </c>
      <c r="G411">
        <f t="shared" si="6"/>
        <v>-4.1217278471559204E-3</v>
      </c>
      <c r="H411">
        <v>11.0988927927906</v>
      </c>
      <c r="I411" t="s">
        <v>80</v>
      </c>
    </row>
    <row r="412" spans="1:9" x14ac:dyDescent="0.35">
      <c r="A412" t="s">
        <v>73</v>
      </c>
      <c r="B412" t="s">
        <v>65</v>
      </c>
      <c r="C412" t="s">
        <v>38</v>
      </c>
      <c r="D412">
        <v>2024</v>
      </c>
      <c r="E412">
        <v>1.13903040986485</v>
      </c>
      <c r="F412">
        <v>1.4144828845553741</v>
      </c>
      <c r="G412">
        <f t="shared" si="6"/>
        <v>0.27545247469052403</v>
      </c>
      <c r="H412">
        <v>11.0988927927906</v>
      </c>
      <c r="I412" t="s">
        <v>80</v>
      </c>
    </row>
    <row r="413" spans="1:9" x14ac:dyDescent="0.35">
      <c r="A413" t="s">
        <v>73</v>
      </c>
      <c r="B413" t="s">
        <v>66</v>
      </c>
      <c r="C413" t="s">
        <v>40</v>
      </c>
      <c r="D413">
        <v>2024</v>
      </c>
      <c r="E413">
        <v>0.72851910514837304</v>
      </c>
      <c r="F413">
        <v>1.4144828845553741</v>
      </c>
      <c r="G413">
        <f t="shared" si="6"/>
        <v>0.68596377940700104</v>
      </c>
      <c r="H413">
        <v>11.0988927927906</v>
      </c>
      <c r="I413" t="s">
        <v>80</v>
      </c>
    </row>
    <row r="414" spans="1:9" x14ac:dyDescent="0.35">
      <c r="A414" t="s">
        <v>76</v>
      </c>
      <c r="B414" t="s">
        <v>63</v>
      </c>
      <c r="C414" t="s">
        <v>38</v>
      </c>
      <c r="D414">
        <v>2024</v>
      </c>
      <c r="E414">
        <v>1.090974188365412</v>
      </c>
      <c r="F414">
        <v>1.058640812818894</v>
      </c>
      <c r="G414">
        <f t="shared" si="6"/>
        <v>-3.2333375546518051E-2</v>
      </c>
      <c r="H414">
        <v>1.8225943435336369</v>
      </c>
      <c r="I414" t="s">
        <v>80</v>
      </c>
    </row>
    <row r="415" spans="1:9" x14ac:dyDescent="0.35">
      <c r="A415" t="s">
        <v>76</v>
      </c>
      <c r="B415" t="s">
        <v>64</v>
      </c>
      <c r="C415" t="s">
        <v>40</v>
      </c>
      <c r="D415">
        <v>2024</v>
      </c>
      <c r="E415">
        <v>1.181076174566176</v>
      </c>
      <c r="F415">
        <v>1.058640812818894</v>
      </c>
      <c r="G415">
        <f t="shared" si="6"/>
        <v>-0.12243536174728198</v>
      </c>
      <c r="H415">
        <v>1.8225943435336369</v>
      </c>
      <c r="I415" t="s">
        <v>80</v>
      </c>
    </row>
    <row r="416" spans="1:9" x14ac:dyDescent="0.35">
      <c r="A416" t="s">
        <v>76</v>
      </c>
      <c r="B416" t="s">
        <v>65</v>
      </c>
      <c r="C416" t="s">
        <v>38</v>
      </c>
      <c r="D416">
        <v>2024</v>
      </c>
      <c r="E416">
        <v>0.84134331866276835</v>
      </c>
      <c r="F416">
        <v>1.058640812818894</v>
      </c>
      <c r="G416">
        <f t="shared" si="6"/>
        <v>0.21729749415612565</v>
      </c>
      <c r="H416">
        <v>1.8225943435336369</v>
      </c>
      <c r="I416" t="s">
        <v>80</v>
      </c>
    </row>
    <row r="417" spans="1:9" x14ac:dyDescent="0.35">
      <c r="A417" t="s">
        <v>76</v>
      </c>
      <c r="B417" t="s">
        <v>66</v>
      </c>
      <c r="C417" t="s">
        <v>40</v>
      </c>
      <c r="D417">
        <v>2024</v>
      </c>
      <c r="E417">
        <v>0.76042118074215459</v>
      </c>
      <c r="F417">
        <v>1.058640812818894</v>
      </c>
      <c r="G417">
        <f t="shared" si="6"/>
        <v>0.2982196320767394</v>
      </c>
      <c r="H417">
        <v>1.8225943435336369</v>
      </c>
      <c r="I417" t="s">
        <v>80</v>
      </c>
    </row>
    <row r="418" spans="1:9" x14ac:dyDescent="0.35">
      <c r="A418" t="s">
        <v>67</v>
      </c>
      <c r="B418" t="s">
        <v>65</v>
      </c>
      <c r="C418" t="s">
        <v>38</v>
      </c>
      <c r="D418">
        <v>2025</v>
      </c>
      <c r="E418">
        <v>1.2445832169132749</v>
      </c>
      <c r="F418">
        <v>0.97833513074895262</v>
      </c>
      <c r="G418">
        <f t="shared" si="6"/>
        <v>-0.26624808616432227</v>
      </c>
      <c r="H418">
        <v>1.388852621215412</v>
      </c>
      <c r="I418" t="s">
        <v>80</v>
      </c>
    </row>
    <row r="419" spans="1:9" x14ac:dyDescent="0.35">
      <c r="A419" t="s">
        <v>67</v>
      </c>
      <c r="B419" t="s">
        <v>66</v>
      </c>
      <c r="C419" t="s">
        <v>40</v>
      </c>
      <c r="D419">
        <v>2025</v>
      </c>
      <c r="E419">
        <v>1.3772936758912999</v>
      </c>
      <c r="F419">
        <v>0.97833513074895262</v>
      </c>
      <c r="G419">
        <f t="shared" si="6"/>
        <v>-0.3989585451423473</v>
      </c>
      <c r="H419">
        <v>1.388852621215412</v>
      </c>
      <c r="I419" t="s">
        <v>80</v>
      </c>
    </row>
    <row r="420" spans="1:9" x14ac:dyDescent="0.35">
      <c r="A420" t="s">
        <v>67</v>
      </c>
      <c r="B420" t="s">
        <v>71</v>
      </c>
      <c r="C420" t="s">
        <v>38</v>
      </c>
      <c r="D420">
        <v>2025</v>
      </c>
      <c r="E420">
        <v>0.99784735760106713</v>
      </c>
      <c r="F420">
        <v>0.97833513074895262</v>
      </c>
      <c r="G420">
        <f t="shared" si="6"/>
        <v>-1.9512226852114511E-2</v>
      </c>
      <c r="H420">
        <v>1.388852621215412</v>
      </c>
      <c r="I420" t="s">
        <v>80</v>
      </c>
    </row>
    <row r="421" spans="1:9" x14ac:dyDescent="0.35">
      <c r="A421" t="s">
        <v>67</v>
      </c>
      <c r="B421" t="s">
        <v>72</v>
      </c>
      <c r="C421" t="s">
        <v>40</v>
      </c>
      <c r="D421">
        <v>2025</v>
      </c>
      <c r="E421">
        <v>0.76893815941332377</v>
      </c>
      <c r="F421">
        <v>0.97833513074895262</v>
      </c>
      <c r="G421">
        <f t="shared" si="6"/>
        <v>0.20939697133562885</v>
      </c>
      <c r="H421">
        <v>1.388852621215412</v>
      </c>
      <c r="I421" t="s">
        <v>80</v>
      </c>
    </row>
    <row r="422" spans="1:9" x14ac:dyDescent="0.35">
      <c r="A422" t="s">
        <v>68</v>
      </c>
      <c r="B422" t="s">
        <v>65</v>
      </c>
      <c r="C422" t="s">
        <v>38</v>
      </c>
      <c r="D422">
        <v>2025</v>
      </c>
      <c r="E422">
        <v>0.69333808233418281</v>
      </c>
      <c r="F422">
        <v>0.34025588112837718</v>
      </c>
      <c r="G422">
        <f t="shared" si="6"/>
        <v>-0.35308220120580563</v>
      </c>
      <c r="H422">
        <v>7.280321526767084</v>
      </c>
      <c r="I422" t="s">
        <v>80</v>
      </c>
    </row>
    <row r="423" spans="1:9" x14ac:dyDescent="0.35">
      <c r="A423" t="s">
        <v>68</v>
      </c>
      <c r="B423" t="s">
        <v>66</v>
      </c>
      <c r="C423" t="s">
        <v>40</v>
      </c>
      <c r="D423">
        <v>2025</v>
      </c>
      <c r="E423">
        <v>1.014129227832639</v>
      </c>
      <c r="F423">
        <v>0.34025588112837718</v>
      </c>
      <c r="G423">
        <f t="shared" si="6"/>
        <v>-0.67387334670426191</v>
      </c>
      <c r="H423">
        <v>7.280321526767084</v>
      </c>
      <c r="I423" t="s">
        <v>80</v>
      </c>
    </row>
    <row r="424" spans="1:9" x14ac:dyDescent="0.35">
      <c r="A424" t="s">
        <v>68</v>
      </c>
      <c r="B424" t="s">
        <v>71</v>
      </c>
      <c r="C424" t="s">
        <v>38</v>
      </c>
      <c r="D424">
        <v>2025</v>
      </c>
      <c r="E424">
        <v>0.17068748819852869</v>
      </c>
      <c r="F424">
        <v>0.34025588112837718</v>
      </c>
      <c r="G424">
        <f t="shared" si="6"/>
        <v>0.16956839292984849</v>
      </c>
      <c r="H424">
        <v>7.280321526767084</v>
      </c>
      <c r="I424" t="s">
        <v>80</v>
      </c>
    </row>
    <row r="425" spans="1:9" x14ac:dyDescent="0.35">
      <c r="A425" t="s">
        <v>68</v>
      </c>
      <c r="B425" t="s">
        <v>72</v>
      </c>
      <c r="C425" t="s">
        <v>40</v>
      </c>
      <c r="D425">
        <v>2025</v>
      </c>
      <c r="E425">
        <v>-2.9831521216272531E-2</v>
      </c>
      <c r="F425">
        <v>0.34025588112837718</v>
      </c>
      <c r="G425">
        <f t="shared" si="6"/>
        <v>0.37008740234464971</v>
      </c>
      <c r="H425">
        <v>7.280321526767084</v>
      </c>
      <c r="I425" t="s">
        <v>80</v>
      </c>
    </row>
    <row r="426" spans="1:9" x14ac:dyDescent="0.35">
      <c r="A426" t="s">
        <v>69</v>
      </c>
      <c r="B426" t="s">
        <v>65</v>
      </c>
      <c r="C426" t="s">
        <v>38</v>
      </c>
      <c r="D426">
        <v>2025</v>
      </c>
      <c r="E426">
        <v>2.3460653050844331</v>
      </c>
      <c r="F426">
        <v>2.7857852243734129</v>
      </c>
      <c r="G426">
        <f t="shared" si="6"/>
        <v>0.4397199192889798</v>
      </c>
      <c r="H426">
        <v>0.90409953771843354</v>
      </c>
      <c r="I426" t="s">
        <v>80</v>
      </c>
    </row>
    <row r="427" spans="1:9" x14ac:dyDescent="0.35">
      <c r="A427" t="s">
        <v>69</v>
      </c>
      <c r="B427" t="s">
        <v>66</v>
      </c>
      <c r="C427" t="s">
        <v>40</v>
      </c>
      <c r="D427">
        <v>2025</v>
      </c>
      <c r="E427">
        <v>1.947420292593427</v>
      </c>
      <c r="F427">
        <v>2.7857852243734129</v>
      </c>
      <c r="G427">
        <f t="shared" si="6"/>
        <v>0.83836493177998594</v>
      </c>
      <c r="H427">
        <v>0.90409953771843354</v>
      </c>
      <c r="I427" t="s">
        <v>80</v>
      </c>
    </row>
    <row r="428" spans="1:9" x14ac:dyDescent="0.35">
      <c r="A428" t="s">
        <v>69</v>
      </c>
      <c r="B428" t="s">
        <v>71</v>
      </c>
      <c r="C428" t="s">
        <v>38</v>
      </c>
      <c r="D428">
        <v>2025</v>
      </c>
      <c r="E428">
        <v>2.8680409593299978</v>
      </c>
      <c r="F428">
        <v>2.7857852243734129</v>
      </c>
      <c r="G428">
        <f t="shared" si="6"/>
        <v>-8.2255734956584892E-2</v>
      </c>
      <c r="H428">
        <v>0.90409953771843354</v>
      </c>
      <c r="I428" t="s">
        <v>80</v>
      </c>
    </row>
    <row r="429" spans="1:9" x14ac:dyDescent="0.35">
      <c r="A429" t="s">
        <v>69</v>
      </c>
      <c r="B429" t="s">
        <v>72</v>
      </c>
      <c r="C429" t="s">
        <v>40</v>
      </c>
      <c r="D429">
        <v>2025</v>
      </c>
      <c r="E429">
        <v>2.5510068501240162</v>
      </c>
      <c r="F429">
        <v>2.7857852243734129</v>
      </c>
      <c r="G429">
        <f t="shared" si="6"/>
        <v>0.23477837424939674</v>
      </c>
      <c r="H429">
        <v>0.90409953771843354</v>
      </c>
      <c r="I429" t="s">
        <v>80</v>
      </c>
    </row>
    <row r="430" spans="1:9" x14ac:dyDescent="0.35">
      <c r="A430" t="s">
        <v>70</v>
      </c>
      <c r="B430" t="s">
        <v>65</v>
      </c>
      <c r="C430" t="s">
        <v>38</v>
      </c>
      <c r="D430">
        <v>2025</v>
      </c>
      <c r="E430">
        <v>1.544507858030109</v>
      </c>
      <c r="F430">
        <v>0.79990149121373022</v>
      </c>
      <c r="G430">
        <f t="shared" si="6"/>
        <v>-0.74460636681637882</v>
      </c>
      <c r="H430">
        <v>1.3132536844973679</v>
      </c>
      <c r="I430" t="s">
        <v>80</v>
      </c>
    </row>
    <row r="431" spans="1:9" x14ac:dyDescent="0.35">
      <c r="A431" t="s">
        <v>70</v>
      </c>
      <c r="B431" t="s">
        <v>66</v>
      </c>
      <c r="C431" t="s">
        <v>40</v>
      </c>
      <c r="D431">
        <v>2025</v>
      </c>
      <c r="E431">
        <v>1.3606562692519699</v>
      </c>
      <c r="F431">
        <v>0.79990149121373022</v>
      </c>
      <c r="G431">
        <f t="shared" si="6"/>
        <v>-0.5607547780382397</v>
      </c>
      <c r="H431">
        <v>1.3132536844973679</v>
      </c>
      <c r="I431" t="s">
        <v>80</v>
      </c>
    </row>
    <row r="432" spans="1:9" x14ac:dyDescent="0.35">
      <c r="A432" t="s">
        <v>70</v>
      </c>
      <c r="B432" t="s">
        <v>71</v>
      </c>
      <c r="C432" t="s">
        <v>38</v>
      </c>
      <c r="D432">
        <v>2025</v>
      </c>
      <c r="E432">
        <v>7.5720238361931536E-2</v>
      </c>
      <c r="F432">
        <v>0.79990149121373022</v>
      </c>
      <c r="G432">
        <f t="shared" si="6"/>
        <v>0.72418125285179868</v>
      </c>
      <c r="H432">
        <v>1.3132536844973679</v>
      </c>
      <c r="I432" t="s">
        <v>80</v>
      </c>
    </row>
    <row r="433" spans="1:9" x14ac:dyDescent="0.35">
      <c r="A433" t="s">
        <v>70</v>
      </c>
      <c r="B433" t="s">
        <v>72</v>
      </c>
      <c r="C433" t="s">
        <v>40</v>
      </c>
      <c r="D433">
        <v>2025</v>
      </c>
      <c r="E433">
        <v>0.97596362509042578</v>
      </c>
      <c r="F433">
        <v>0.79990149121373022</v>
      </c>
      <c r="G433">
        <f t="shared" si="6"/>
        <v>-0.17606213387669556</v>
      </c>
      <c r="H433">
        <v>1.3132536844973679</v>
      </c>
      <c r="I433" t="s">
        <v>80</v>
      </c>
    </row>
    <row r="434" spans="1:9" x14ac:dyDescent="0.35">
      <c r="A434" t="s">
        <v>73</v>
      </c>
      <c r="B434" t="s">
        <v>65</v>
      </c>
      <c r="C434" t="s">
        <v>38</v>
      </c>
      <c r="D434">
        <v>2025</v>
      </c>
      <c r="E434">
        <v>0.82258828244963222</v>
      </c>
      <c r="F434">
        <v>0.88561946045636819</v>
      </c>
      <c r="G434">
        <f t="shared" si="6"/>
        <v>6.3031178006735966E-2</v>
      </c>
      <c r="H434">
        <v>10.19774333808712</v>
      </c>
      <c r="I434" t="s">
        <v>80</v>
      </c>
    </row>
    <row r="435" spans="1:9" x14ac:dyDescent="0.35">
      <c r="A435" t="s">
        <v>73</v>
      </c>
      <c r="B435" t="s">
        <v>66</v>
      </c>
      <c r="C435" t="s">
        <v>40</v>
      </c>
      <c r="D435">
        <v>2025</v>
      </c>
      <c r="E435">
        <v>1.2594069979400271</v>
      </c>
      <c r="F435">
        <v>0.88561946045636819</v>
      </c>
      <c r="G435">
        <f t="shared" si="6"/>
        <v>-0.37378753748365889</v>
      </c>
      <c r="H435">
        <v>10.19774333808712</v>
      </c>
      <c r="I435" t="s">
        <v>80</v>
      </c>
    </row>
    <row r="436" spans="1:9" x14ac:dyDescent="0.35">
      <c r="A436" t="s">
        <v>73</v>
      </c>
      <c r="B436" t="s">
        <v>71</v>
      </c>
      <c r="C436" t="s">
        <v>38</v>
      </c>
      <c r="D436">
        <v>2025</v>
      </c>
      <c r="E436">
        <v>0.69714532745484004</v>
      </c>
      <c r="F436">
        <v>0.88561946045636819</v>
      </c>
      <c r="G436">
        <f t="shared" si="6"/>
        <v>0.18847413300152815</v>
      </c>
      <c r="H436">
        <v>10.19774333808712</v>
      </c>
      <c r="I436" t="s">
        <v>80</v>
      </c>
    </row>
    <row r="437" spans="1:9" x14ac:dyDescent="0.35">
      <c r="A437" t="s">
        <v>73</v>
      </c>
      <c r="B437" t="s">
        <v>72</v>
      </c>
      <c r="C437" t="s">
        <v>40</v>
      </c>
      <c r="D437">
        <v>2025</v>
      </c>
      <c r="E437">
        <v>0.57266269658549085</v>
      </c>
      <c r="F437">
        <v>0.88561946045636819</v>
      </c>
      <c r="G437">
        <f t="shared" si="6"/>
        <v>0.31295676387087734</v>
      </c>
      <c r="H437">
        <v>10.19774333808712</v>
      </c>
      <c r="I437" t="s">
        <v>80</v>
      </c>
    </row>
    <row r="438" spans="1:9" x14ac:dyDescent="0.35">
      <c r="A438" t="s">
        <v>76</v>
      </c>
      <c r="B438" t="s">
        <v>65</v>
      </c>
      <c r="C438" t="s">
        <v>38</v>
      </c>
      <c r="D438">
        <v>2025</v>
      </c>
      <c r="E438">
        <v>1.551316113361789</v>
      </c>
      <c r="F438">
        <v>1.5629801711020599</v>
      </c>
      <c r="G438">
        <f t="shared" si="6"/>
        <v>1.1664057740270906E-2</v>
      </c>
      <c r="H438">
        <v>2.036323027173855</v>
      </c>
      <c r="I438" t="s">
        <v>80</v>
      </c>
    </row>
    <row r="439" spans="1:9" x14ac:dyDescent="0.35">
      <c r="A439" t="s">
        <v>76</v>
      </c>
      <c r="B439" t="s">
        <v>66</v>
      </c>
      <c r="C439" t="s">
        <v>40</v>
      </c>
      <c r="D439">
        <v>2025</v>
      </c>
      <c r="E439">
        <v>1.4664182247055459</v>
      </c>
      <c r="F439">
        <v>1.5629801711020599</v>
      </c>
      <c r="G439">
        <f t="shared" si="6"/>
        <v>9.6561946396513942E-2</v>
      </c>
      <c r="H439">
        <v>2.036323027173855</v>
      </c>
      <c r="I439" t="s">
        <v>80</v>
      </c>
    </row>
    <row r="440" spans="1:9" x14ac:dyDescent="0.35">
      <c r="A440" t="s">
        <v>76</v>
      </c>
      <c r="B440" t="s">
        <v>71</v>
      </c>
      <c r="C440" t="s">
        <v>38</v>
      </c>
      <c r="D440">
        <v>2025</v>
      </c>
      <c r="E440">
        <v>1.6966708374271939</v>
      </c>
      <c r="F440">
        <v>1.5629801711020599</v>
      </c>
      <c r="G440">
        <f t="shared" si="6"/>
        <v>-0.13369066632513404</v>
      </c>
      <c r="H440">
        <v>2.036323027173855</v>
      </c>
      <c r="I440" t="s">
        <v>80</v>
      </c>
    </row>
    <row r="441" spans="1:9" x14ac:dyDescent="0.35">
      <c r="A441" t="s">
        <v>76</v>
      </c>
      <c r="B441" t="s">
        <v>72</v>
      </c>
      <c r="C441" t="s">
        <v>40</v>
      </c>
      <c r="D441">
        <v>2025</v>
      </c>
      <c r="E441">
        <v>1.282511180567347</v>
      </c>
      <c r="F441">
        <v>1.5629801711020599</v>
      </c>
      <c r="G441">
        <f t="shared" si="6"/>
        <v>0.28046899053471286</v>
      </c>
      <c r="H441">
        <v>2.036323027173855</v>
      </c>
      <c r="I441" t="s">
        <v>80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J61"/>
  <sheetViews>
    <sheetView workbookViewId="0"/>
  </sheetViews>
  <sheetFormatPr defaultRowHeight="14.5" x14ac:dyDescent="0.35"/>
  <cols>
    <col min="1" max="10" width="20" customWidth="1"/>
  </cols>
  <sheetData>
    <row r="1" spans="1:10" x14ac:dyDescent="0.35">
      <c r="A1" s="2" t="s">
        <v>29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  <c r="G1" s="2" t="s">
        <v>35</v>
      </c>
      <c r="H1" s="2" t="s">
        <v>8</v>
      </c>
      <c r="I1" s="2" t="s">
        <v>78</v>
      </c>
      <c r="J1" s="2" t="s">
        <v>81</v>
      </c>
    </row>
    <row r="2" spans="1:10" x14ac:dyDescent="0.35">
      <c r="A2" t="s">
        <v>36</v>
      </c>
      <c r="B2" t="s">
        <v>57</v>
      </c>
      <c r="C2" t="s">
        <v>38</v>
      </c>
      <c r="D2">
        <v>2020</v>
      </c>
      <c r="E2">
        <v>-7.0511951651758391</v>
      </c>
      <c r="F2">
        <v>-6.5900132771165296</v>
      </c>
      <c r="G2">
        <f t="shared" ref="G2:G33" si="0">IF(OR(F2="",E2=""),"",F2-E2)</f>
        <v>0.46118188805930949</v>
      </c>
      <c r="H2">
        <v>0.12677194132347211</v>
      </c>
      <c r="I2" t="s">
        <v>79</v>
      </c>
      <c r="J2">
        <v>2020</v>
      </c>
    </row>
    <row r="3" spans="1:10" x14ac:dyDescent="0.35">
      <c r="A3" t="s">
        <v>36</v>
      </c>
      <c r="B3" t="s">
        <v>58</v>
      </c>
      <c r="C3" t="s">
        <v>40</v>
      </c>
      <c r="D3">
        <v>2020</v>
      </c>
      <c r="E3">
        <v>-5.5131277655310118</v>
      </c>
      <c r="F3">
        <v>-6.5900132771165296</v>
      </c>
      <c r="G3">
        <f t="shared" si="0"/>
        <v>-1.0768855115855178</v>
      </c>
      <c r="H3">
        <v>0.12677194132347211</v>
      </c>
      <c r="I3" t="s">
        <v>79</v>
      </c>
      <c r="J3">
        <v>2020</v>
      </c>
    </row>
    <row r="4" spans="1:10" x14ac:dyDescent="0.35">
      <c r="A4" t="s">
        <v>67</v>
      </c>
      <c r="B4" t="s">
        <v>57</v>
      </c>
      <c r="C4" t="s">
        <v>38</v>
      </c>
      <c r="D4">
        <v>2020</v>
      </c>
      <c r="E4">
        <v>-8.420158667688538</v>
      </c>
      <c r="F4">
        <v>-4.9116764965584894</v>
      </c>
      <c r="G4">
        <f t="shared" si="0"/>
        <v>3.5084821711300487</v>
      </c>
      <c r="H4">
        <v>0.8845732944795045</v>
      </c>
      <c r="I4" t="s">
        <v>79</v>
      </c>
      <c r="J4">
        <v>2020</v>
      </c>
    </row>
    <row r="5" spans="1:10" x14ac:dyDescent="0.35">
      <c r="A5" t="s">
        <v>67</v>
      </c>
      <c r="B5" t="s">
        <v>58</v>
      </c>
      <c r="C5" t="s">
        <v>40</v>
      </c>
      <c r="D5">
        <v>2020</v>
      </c>
      <c r="E5">
        <v>-7.1575995247655024</v>
      </c>
      <c r="F5">
        <v>-4.9116764965584894</v>
      </c>
      <c r="G5">
        <f t="shared" si="0"/>
        <v>2.2459230282070131</v>
      </c>
      <c r="H5">
        <v>0.8845732944795045</v>
      </c>
      <c r="I5" t="s">
        <v>79</v>
      </c>
      <c r="J5">
        <v>2020</v>
      </c>
    </row>
    <row r="6" spans="1:10" x14ac:dyDescent="0.35">
      <c r="A6" t="s">
        <v>69</v>
      </c>
      <c r="B6" t="s">
        <v>57</v>
      </c>
      <c r="C6" t="s">
        <v>38</v>
      </c>
      <c r="D6">
        <v>2020</v>
      </c>
      <c r="E6">
        <v>-12.410533977614319</v>
      </c>
      <c r="F6">
        <v>-11.58616521695834</v>
      </c>
      <c r="G6">
        <f t="shared" si="0"/>
        <v>0.82436876065597886</v>
      </c>
      <c r="H6">
        <v>0.60415892118981396</v>
      </c>
      <c r="I6" t="s">
        <v>79</v>
      </c>
      <c r="J6">
        <v>2020</v>
      </c>
    </row>
    <row r="7" spans="1:10" x14ac:dyDescent="0.35">
      <c r="A7" t="s">
        <v>69</v>
      </c>
      <c r="B7" t="s">
        <v>58</v>
      </c>
      <c r="C7" t="s">
        <v>40</v>
      </c>
      <c r="D7">
        <v>2020</v>
      </c>
      <c r="E7">
        <v>-9.3843459766278272</v>
      </c>
      <c r="F7">
        <v>-11.58616521695834</v>
      </c>
      <c r="G7">
        <f t="shared" si="0"/>
        <v>-2.2018192403305132</v>
      </c>
      <c r="H7">
        <v>0.60415892118981396</v>
      </c>
      <c r="I7" t="s">
        <v>79</v>
      </c>
      <c r="J7">
        <v>2020</v>
      </c>
    </row>
    <row r="8" spans="1:10" x14ac:dyDescent="0.35">
      <c r="A8" t="s">
        <v>74</v>
      </c>
      <c r="B8" t="s">
        <v>57</v>
      </c>
      <c r="C8" t="s">
        <v>38</v>
      </c>
      <c r="D8">
        <v>2020</v>
      </c>
      <c r="E8">
        <v>-2.3373996171914708</v>
      </c>
      <c r="F8">
        <v>6.9863814303713827</v>
      </c>
      <c r="G8">
        <f t="shared" si="0"/>
        <v>9.3237810475628535</v>
      </c>
      <c r="H8">
        <v>8.2963646418187362E-2</v>
      </c>
      <c r="I8" t="s">
        <v>79</v>
      </c>
      <c r="J8">
        <v>2020</v>
      </c>
    </row>
    <row r="9" spans="1:10" x14ac:dyDescent="0.35">
      <c r="A9" t="s">
        <v>74</v>
      </c>
      <c r="B9" t="s">
        <v>58</v>
      </c>
      <c r="C9" t="s">
        <v>40</v>
      </c>
      <c r="D9">
        <v>2020</v>
      </c>
      <c r="E9">
        <v>-7.9470480138547073</v>
      </c>
      <c r="F9">
        <v>6.9863814303713827</v>
      </c>
      <c r="G9">
        <f t="shared" si="0"/>
        <v>14.933429444226089</v>
      </c>
      <c r="H9">
        <v>8.2963646418187362E-2</v>
      </c>
      <c r="I9" t="s">
        <v>79</v>
      </c>
      <c r="J9">
        <v>2020</v>
      </c>
    </row>
    <row r="10" spans="1:10" x14ac:dyDescent="0.35">
      <c r="A10" t="s">
        <v>75</v>
      </c>
      <c r="B10" t="s">
        <v>57</v>
      </c>
      <c r="C10" t="s">
        <v>38</v>
      </c>
      <c r="D10">
        <v>2020</v>
      </c>
      <c r="E10">
        <v>-9.8515454699187543</v>
      </c>
      <c r="F10">
        <v>-9.3783767522421471</v>
      </c>
      <c r="G10">
        <f t="shared" si="0"/>
        <v>0.47316871767660729</v>
      </c>
      <c r="H10">
        <v>0.10567749457490171</v>
      </c>
      <c r="I10" t="s">
        <v>79</v>
      </c>
      <c r="J10">
        <v>2020</v>
      </c>
    </row>
    <row r="11" spans="1:10" x14ac:dyDescent="0.35">
      <c r="A11" t="s">
        <v>75</v>
      </c>
      <c r="B11" t="s">
        <v>58</v>
      </c>
      <c r="C11" t="s">
        <v>40</v>
      </c>
      <c r="D11">
        <v>2020</v>
      </c>
      <c r="E11">
        <v>-9.517990850094149</v>
      </c>
      <c r="F11">
        <v>-9.3783767522421471</v>
      </c>
      <c r="G11">
        <f t="shared" si="0"/>
        <v>0.13961409785200196</v>
      </c>
      <c r="H11">
        <v>0.10567749457490171</v>
      </c>
      <c r="I11" t="s">
        <v>79</v>
      </c>
      <c r="J11">
        <v>2020</v>
      </c>
    </row>
    <row r="12" spans="1:10" x14ac:dyDescent="0.35">
      <c r="A12" t="s">
        <v>77</v>
      </c>
      <c r="B12" t="s">
        <v>57</v>
      </c>
      <c r="C12" t="s">
        <v>38</v>
      </c>
      <c r="D12">
        <v>2020</v>
      </c>
      <c r="E12">
        <v>-9.2905567939445373</v>
      </c>
      <c r="F12">
        <v>-8.5609032033360464</v>
      </c>
      <c r="G12">
        <f t="shared" si="0"/>
        <v>0.72965359060849089</v>
      </c>
      <c r="H12">
        <v>0.25858418693050872</v>
      </c>
      <c r="I12" t="s">
        <v>79</v>
      </c>
      <c r="J12">
        <v>2020</v>
      </c>
    </row>
    <row r="13" spans="1:10" x14ac:dyDescent="0.35">
      <c r="A13" t="s">
        <v>77</v>
      </c>
      <c r="B13" t="s">
        <v>58</v>
      </c>
      <c r="C13" t="s">
        <v>40</v>
      </c>
      <c r="D13">
        <v>2020</v>
      </c>
      <c r="E13">
        <v>-6.7651809613411107</v>
      </c>
      <c r="F13">
        <v>-8.5609032033360464</v>
      </c>
      <c r="G13">
        <f t="shared" si="0"/>
        <v>-1.7957222419949357</v>
      </c>
      <c r="H13">
        <v>0.25858418693050872</v>
      </c>
      <c r="I13" t="s">
        <v>79</v>
      </c>
      <c r="J13">
        <v>2020</v>
      </c>
    </row>
    <row r="14" spans="1:10" x14ac:dyDescent="0.35">
      <c r="A14" t="s">
        <v>36</v>
      </c>
      <c r="B14" t="s">
        <v>61</v>
      </c>
      <c r="C14" t="s">
        <v>38</v>
      </c>
      <c r="D14">
        <v>2022</v>
      </c>
      <c r="E14">
        <v>4.6469116666415733</v>
      </c>
      <c r="F14">
        <v>5.2899005620960757</v>
      </c>
      <c r="G14">
        <f t="shared" si="0"/>
        <v>0.64298889545450244</v>
      </c>
      <c r="H14">
        <v>0.16058654708636669</v>
      </c>
      <c r="I14" t="s">
        <v>79</v>
      </c>
      <c r="J14">
        <v>2022</v>
      </c>
    </row>
    <row r="15" spans="1:10" x14ac:dyDescent="0.35">
      <c r="A15" t="s">
        <v>36</v>
      </c>
      <c r="B15" t="s">
        <v>62</v>
      </c>
      <c r="C15" t="s">
        <v>40</v>
      </c>
      <c r="D15">
        <v>2022</v>
      </c>
      <c r="E15">
        <v>3.9196460068068979</v>
      </c>
      <c r="F15">
        <v>5.2899005620960757</v>
      </c>
      <c r="G15">
        <f t="shared" si="0"/>
        <v>1.3702545552891778</v>
      </c>
      <c r="H15">
        <v>0.16058654708636669</v>
      </c>
      <c r="I15" t="s">
        <v>79</v>
      </c>
      <c r="J15">
        <v>2022</v>
      </c>
    </row>
    <row r="16" spans="1:10" x14ac:dyDescent="0.35">
      <c r="A16" t="s">
        <v>69</v>
      </c>
      <c r="B16" t="s">
        <v>61</v>
      </c>
      <c r="C16" t="s">
        <v>38</v>
      </c>
      <c r="D16">
        <v>2022</v>
      </c>
      <c r="E16">
        <v>4.547669246739372</v>
      </c>
      <c r="F16">
        <v>6.1757125573772758</v>
      </c>
      <c r="G16">
        <f t="shared" si="0"/>
        <v>1.6280433106379038</v>
      </c>
      <c r="H16">
        <v>0.7506448684246857</v>
      </c>
      <c r="I16" t="s">
        <v>79</v>
      </c>
      <c r="J16">
        <v>2022</v>
      </c>
    </row>
    <row r="17" spans="1:10" x14ac:dyDescent="0.35">
      <c r="A17" t="s">
        <v>69</v>
      </c>
      <c r="B17" t="s">
        <v>62</v>
      </c>
      <c r="C17" t="s">
        <v>40</v>
      </c>
      <c r="D17">
        <v>2022</v>
      </c>
      <c r="E17">
        <v>4.0260894815609127</v>
      </c>
      <c r="F17">
        <v>6.1757125573772758</v>
      </c>
      <c r="G17">
        <f t="shared" si="0"/>
        <v>2.149623075816363</v>
      </c>
      <c r="H17">
        <v>0.7506448684246857</v>
      </c>
      <c r="I17" t="s">
        <v>79</v>
      </c>
      <c r="J17">
        <v>2022</v>
      </c>
    </row>
    <row r="18" spans="1:10" x14ac:dyDescent="0.35">
      <c r="A18" t="s">
        <v>74</v>
      </c>
      <c r="B18" t="s">
        <v>61</v>
      </c>
      <c r="C18" t="s">
        <v>38</v>
      </c>
      <c r="D18">
        <v>2022</v>
      </c>
      <c r="E18">
        <v>7.8710837662645083</v>
      </c>
      <c r="F18">
        <v>7.9894443369245964</v>
      </c>
      <c r="G18">
        <f t="shared" si="0"/>
        <v>0.11836057066008809</v>
      </c>
      <c r="H18">
        <v>0.12710526929016649</v>
      </c>
      <c r="I18" t="s">
        <v>79</v>
      </c>
      <c r="J18">
        <v>2022</v>
      </c>
    </row>
    <row r="19" spans="1:10" x14ac:dyDescent="0.35">
      <c r="A19" t="s">
        <v>74</v>
      </c>
      <c r="B19" t="s">
        <v>62</v>
      </c>
      <c r="C19" t="s">
        <v>40</v>
      </c>
      <c r="D19">
        <v>2022</v>
      </c>
      <c r="E19">
        <v>5.3816861962496354</v>
      </c>
      <c r="F19">
        <v>7.9894443369245964</v>
      </c>
      <c r="G19">
        <f t="shared" si="0"/>
        <v>2.607758140674961</v>
      </c>
      <c r="H19">
        <v>0.12710526929016649</v>
      </c>
      <c r="I19" t="s">
        <v>79</v>
      </c>
      <c r="J19">
        <v>2022</v>
      </c>
    </row>
    <row r="20" spans="1:10" x14ac:dyDescent="0.35">
      <c r="A20" t="s">
        <v>75</v>
      </c>
      <c r="B20" t="s">
        <v>61</v>
      </c>
      <c r="C20" t="s">
        <v>38</v>
      </c>
      <c r="D20">
        <v>2022</v>
      </c>
      <c r="E20">
        <v>3.8268920279536989</v>
      </c>
      <c r="F20">
        <v>4.8546134866977511</v>
      </c>
      <c r="G20">
        <f t="shared" si="0"/>
        <v>1.0277214587440522</v>
      </c>
      <c r="H20">
        <v>0.18202263906573379</v>
      </c>
      <c r="I20" t="s">
        <v>79</v>
      </c>
      <c r="J20">
        <v>2022</v>
      </c>
    </row>
    <row r="21" spans="1:10" x14ac:dyDescent="0.35">
      <c r="A21" t="s">
        <v>75</v>
      </c>
      <c r="B21" t="s">
        <v>62</v>
      </c>
      <c r="C21" t="s">
        <v>40</v>
      </c>
      <c r="D21">
        <v>2022</v>
      </c>
      <c r="E21">
        <v>2.4256542804822261</v>
      </c>
      <c r="F21">
        <v>4.8546134866977511</v>
      </c>
      <c r="G21">
        <f t="shared" si="0"/>
        <v>2.428959206215525</v>
      </c>
      <c r="H21">
        <v>0.18202263906573379</v>
      </c>
      <c r="I21" t="s">
        <v>79</v>
      </c>
      <c r="J21">
        <v>2022</v>
      </c>
    </row>
    <row r="22" spans="1:10" x14ac:dyDescent="0.35">
      <c r="A22" t="s">
        <v>77</v>
      </c>
      <c r="B22" t="s">
        <v>61</v>
      </c>
      <c r="C22" t="s">
        <v>38</v>
      </c>
      <c r="D22">
        <v>2022</v>
      </c>
      <c r="E22">
        <v>6.5861251608809734</v>
      </c>
      <c r="F22">
        <v>6.7526124502433778</v>
      </c>
      <c r="G22">
        <f t="shared" si="0"/>
        <v>0.16648728936240431</v>
      </c>
      <c r="H22">
        <v>0.42339525951042151</v>
      </c>
      <c r="I22" t="s">
        <v>79</v>
      </c>
      <c r="J22">
        <v>2022</v>
      </c>
    </row>
    <row r="23" spans="1:10" x14ac:dyDescent="0.35">
      <c r="A23" t="s">
        <v>77</v>
      </c>
      <c r="B23" t="s">
        <v>62</v>
      </c>
      <c r="C23" t="s">
        <v>40</v>
      </c>
      <c r="D23">
        <v>2022</v>
      </c>
      <c r="E23">
        <v>5.8054687081874778</v>
      </c>
      <c r="F23">
        <v>6.7526124502433778</v>
      </c>
      <c r="G23">
        <f t="shared" si="0"/>
        <v>0.94714374205589991</v>
      </c>
      <c r="H23">
        <v>0.42339525951042151</v>
      </c>
      <c r="I23" t="s">
        <v>79</v>
      </c>
      <c r="J23">
        <v>2022</v>
      </c>
    </row>
    <row r="24" spans="1:10" x14ac:dyDescent="0.35">
      <c r="A24" t="s">
        <v>36</v>
      </c>
      <c r="B24" t="s">
        <v>71</v>
      </c>
      <c r="C24" t="s">
        <v>38</v>
      </c>
      <c r="D24">
        <v>2025</v>
      </c>
      <c r="E24">
        <v>0.31436230025780892</v>
      </c>
      <c r="F24">
        <v>0.95241300208403867</v>
      </c>
      <c r="G24">
        <f t="shared" si="0"/>
        <v>0.6380507018262298</v>
      </c>
      <c r="H24">
        <v>0.17315909372686161</v>
      </c>
      <c r="I24" t="s">
        <v>79</v>
      </c>
      <c r="J24">
        <v>2025</v>
      </c>
    </row>
    <row r="25" spans="1:10" x14ac:dyDescent="0.35">
      <c r="A25" t="s">
        <v>36</v>
      </c>
      <c r="B25" t="s">
        <v>72</v>
      </c>
      <c r="C25" t="s">
        <v>40</v>
      </c>
      <c r="D25">
        <v>2025</v>
      </c>
      <c r="E25">
        <v>-0.28270783018636841</v>
      </c>
      <c r="F25">
        <v>0.95241300208403867</v>
      </c>
      <c r="G25">
        <f t="shared" si="0"/>
        <v>1.235120832270407</v>
      </c>
      <c r="H25">
        <v>0.17315909372686161</v>
      </c>
      <c r="I25" t="s">
        <v>79</v>
      </c>
      <c r="J25">
        <v>2025</v>
      </c>
    </row>
    <row r="26" spans="1:10" x14ac:dyDescent="0.35">
      <c r="A26" t="s">
        <v>74</v>
      </c>
      <c r="B26" t="s">
        <v>71</v>
      </c>
      <c r="C26" t="s">
        <v>38</v>
      </c>
      <c r="D26">
        <v>2025</v>
      </c>
      <c r="E26">
        <v>10.65081995793598</v>
      </c>
      <c r="F26">
        <v>7.7791754385506806</v>
      </c>
      <c r="G26">
        <f t="shared" si="0"/>
        <v>-2.8716445193852991</v>
      </c>
      <c r="H26">
        <v>0.1147657704770987</v>
      </c>
      <c r="I26" t="s">
        <v>79</v>
      </c>
      <c r="J26">
        <v>2025</v>
      </c>
    </row>
    <row r="27" spans="1:10" x14ac:dyDescent="0.35">
      <c r="A27" t="s">
        <v>74</v>
      </c>
      <c r="B27" t="s">
        <v>72</v>
      </c>
      <c r="C27" t="s">
        <v>40</v>
      </c>
      <c r="D27">
        <v>2025</v>
      </c>
      <c r="E27">
        <v>3.377198218825495</v>
      </c>
      <c r="F27">
        <v>7.7791754385506806</v>
      </c>
      <c r="G27">
        <f t="shared" si="0"/>
        <v>4.4019772197251861</v>
      </c>
      <c r="H27">
        <v>0.1147657704770987</v>
      </c>
      <c r="I27" t="s">
        <v>79</v>
      </c>
      <c r="J27">
        <v>2025</v>
      </c>
    </row>
    <row r="28" spans="1:10" x14ac:dyDescent="0.35">
      <c r="A28" t="s">
        <v>75</v>
      </c>
      <c r="B28" t="s">
        <v>71</v>
      </c>
      <c r="C28" t="s">
        <v>38</v>
      </c>
      <c r="D28">
        <v>2025</v>
      </c>
      <c r="E28">
        <v>0.35981622121454843</v>
      </c>
      <c r="F28">
        <v>0.66135842759176278</v>
      </c>
      <c r="G28">
        <f t="shared" si="0"/>
        <v>0.30154220637721435</v>
      </c>
      <c r="H28">
        <v>0.40820851895901789</v>
      </c>
      <c r="I28" t="s">
        <v>79</v>
      </c>
      <c r="J28">
        <v>2025</v>
      </c>
    </row>
    <row r="29" spans="1:10" x14ac:dyDescent="0.35">
      <c r="A29" t="s">
        <v>75</v>
      </c>
      <c r="B29" t="s">
        <v>72</v>
      </c>
      <c r="C29" t="s">
        <v>40</v>
      </c>
      <c r="D29">
        <v>2025</v>
      </c>
      <c r="E29">
        <v>0.66447930597219873</v>
      </c>
      <c r="F29">
        <v>0.66135842759176278</v>
      </c>
      <c r="G29">
        <f t="shared" si="0"/>
        <v>-3.1208783804359541E-3</v>
      </c>
      <c r="H29">
        <v>0.40820851895901789</v>
      </c>
      <c r="I29" t="s">
        <v>79</v>
      </c>
      <c r="J29">
        <v>2025</v>
      </c>
    </row>
    <row r="30" spans="1:10" x14ac:dyDescent="0.35">
      <c r="A30" t="s">
        <v>77</v>
      </c>
      <c r="B30" t="s">
        <v>71</v>
      </c>
      <c r="C30" t="s">
        <v>38</v>
      </c>
      <c r="D30">
        <v>2025</v>
      </c>
      <c r="E30">
        <v>1.898720252436026</v>
      </c>
      <c r="F30">
        <v>1.8442000090405599</v>
      </c>
      <c r="G30">
        <f t="shared" si="0"/>
        <v>-5.4520243395466128E-2</v>
      </c>
      <c r="H30">
        <v>0.1926127574837464</v>
      </c>
      <c r="I30" t="s">
        <v>79</v>
      </c>
      <c r="J30">
        <v>2025</v>
      </c>
    </row>
    <row r="31" spans="1:10" x14ac:dyDescent="0.35">
      <c r="A31" t="s">
        <v>77</v>
      </c>
      <c r="B31" t="s">
        <v>72</v>
      </c>
      <c r="C31" t="s">
        <v>40</v>
      </c>
      <c r="D31">
        <v>2025</v>
      </c>
      <c r="E31">
        <v>1.7505876843593839</v>
      </c>
      <c r="F31">
        <v>1.8442000090405599</v>
      </c>
      <c r="G31">
        <f t="shared" si="0"/>
        <v>9.3612324681175973E-2</v>
      </c>
      <c r="H31">
        <v>0.1926127574837464</v>
      </c>
      <c r="I31" t="s">
        <v>79</v>
      </c>
      <c r="J31">
        <v>2025</v>
      </c>
    </row>
    <row r="32" spans="1:10" x14ac:dyDescent="0.35">
      <c r="A32" t="s">
        <v>68</v>
      </c>
      <c r="B32" t="s">
        <v>57</v>
      </c>
      <c r="C32" t="s">
        <v>38</v>
      </c>
      <c r="D32">
        <v>2020</v>
      </c>
      <c r="E32">
        <v>-5.5682040725027582</v>
      </c>
      <c r="F32">
        <v>-4.5019012679871278</v>
      </c>
      <c r="G32">
        <f t="shared" si="0"/>
        <v>1.0663028045156304</v>
      </c>
      <c r="H32">
        <v>4.1207891005128294</v>
      </c>
      <c r="I32" t="s">
        <v>80</v>
      </c>
      <c r="J32">
        <v>2020</v>
      </c>
    </row>
    <row r="33" spans="1:10" x14ac:dyDescent="0.35">
      <c r="A33" t="s">
        <v>68</v>
      </c>
      <c r="B33" t="s">
        <v>58</v>
      </c>
      <c r="C33" t="s">
        <v>40</v>
      </c>
      <c r="D33">
        <v>2020</v>
      </c>
      <c r="E33">
        <v>-6.4695771848944261</v>
      </c>
      <c r="F33">
        <v>-4.5019012679871278</v>
      </c>
      <c r="G33">
        <f t="shared" si="0"/>
        <v>1.9676759169072984</v>
      </c>
      <c r="H33">
        <v>4.1207891005128294</v>
      </c>
      <c r="I33" t="s">
        <v>80</v>
      </c>
      <c r="J33">
        <v>2020</v>
      </c>
    </row>
    <row r="34" spans="1:10" x14ac:dyDescent="0.35">
      <c r="A34" t="s">
        <v>70</v>
      </c>
      <c r="B34" t="s">
        <v>57</v>
      </c>
      <c r="C34" t="s">
        <v>38</v>
      </c>
      <c r="D34">
        <v>2020</v>
      </c>
      <c r="E34">
        <v>-4.2712767573150012</v>
      </c>
      <c r="F34">
        <v>-2.5216639551613449</v>
      </c>
      <c r="G34">
        <f t="shared" ref="G34:G61" si="1">IF(OR(F34="",E34=""),"",F34-E34)</f>
        <v>1.7496128021536563</v>
      </c>
      <c r="H34">
        <v>1.637512686458964</v>
      </c>
      <c r="I34" t="s">
        <v>80</v>
      </c>
      <c r="J34">
        <v>2020</v>
      </c>
    </row>
    <row r="35" spans="1:10" x14ac:dyDescent="0.35">
      <c r="A35" t="s">
        <v>70</v>
      </c>
      <c r="B35" t="s">
        <v>58</v>
      </c>
      <c r="C35" t="s">
        <v>40</v>
      </c>
      <c r="D35">
        <v>2020</v>
      </c>
      <c r="E35">
        <v>-6.3340086382144829</v>
      </c>
      <c r="F35">
        <v>-2.5216639551613449</v>
      </c>
      <c r="G35">
        <f t="shared" si="1"/>
        <v>3.812344683053138</v>
      </c>
      <c r="H35">
        <v>1.637512686458964</v>
      </c>
      <c r="I35" t="s">
        <v>80</v>
      </c>
      <c r="J35">
        <v>2020</v>
      </c>
    </row>
    <row r="36" spans="1:10" x14ac:dyDescent="0.35">
      <c r="A36" t="s">
        <v>73</v>
      </c>
      <c r="B36" t="s">
        <v>57</v>
      </c>
      <c r="C36" t="s">
        <v>38</v>
      </c>
      <c r="D36">
        <v>2020</v>
      </c>
      <c r="E36">
        <v>-9.3511426009976422</v>
      </c>
      <c r="F36">
        <v>-7.9120138942178206</v>
      </c>
      <c r="G36">
        <f t="shared" si="1"/>
        <v>1.4391287067798215</v>
      </c>
      <c r="H36">
        <v>6.3305576015426448</v>
      </c>
      <c r="I36" t="s">
        <v>80</v>
      </c>
      <c r="J36">
        <v>2020</v>
      </c>
    </row>
    <row r="37" spans="1:10" x14ac:dyDescent="0.35">
      <c r="A37" t="s">
        <v>73</v>
      </c>
      <c r="B37" t="s">
        <v>58</v>
      </c>
      <c r="C37" t="s">
        <v>40</v>
      </c>
      <c r="D37">
        <v>2020</v>
      </c>
      <c r="E37">
        <v>-8.2482980854368328</v>
      </c>
      <c r="F37">
        <v>-7.9120138942178206</v>
      </c>
      <c r="G37">
        <f t="shared" si="1"/>
        <v>0.33628419121901221</v>
      </c>
      <c r="H37">
        <v>6.3305576015426448</v>
      </c>
      <c r="I37" t="s">
        <v>80</v>
      </c>
      <c r="J37">
        <v>2020</v>
      </c>
    </row>
    <row r="38" spans="1:10" x14ac:dyDescent="0.35">
      <c r="A38" t="s">
        <v>76</v>
      </c>
      <c r="B38" t="s">
        <v>57</v>
      </c>
      <c r="C38" t="s">
        <v>38</v>
      </c>
      <c r="D38">
        <v>2020</v>
      </c>
      <c r="E38">
        <v>-5.3222217587985954</v>
      </c>
      <c r="F38">
        <v>-3.9039509434828492</v>
      </c>
      <c r="G38">
        <f t="shared" si="1"/>
        <v>1.4182708153157462</v>
      </c>
      <c r="H38">
        <v>1.670735682705939</v>
      </c>
      <c r="I38" t="s">
        <v>80</v>
      </c>
      <c r="J38">
        <v>2020</v>
      </c>
    </row>
    <row r="39" spans="1:10" x14ac:dyDescent="0.35">
      <c r="A39" t="s">
        <v>76</v>
      </c>
      <c r="B39" t="s">
        <v>58</v>
      </c>
      <c r="C39" t="s">
        <v>40</v>
      </c>
      <c r="D39">
        <v>2020</v>
      </c>
      <c r="E39">
        <v>-6.8478963820636896</v>
      </c>
      <c r="F39">
        <v>-3.9039509434828492</v>
      </c>
      <c r="G39">
        <f t="shared" si="1"/>
        <v>2.9439454385808403</v>
      </c>
      <c r="H39">
        <v>1.670735682705939</v>
      </c>
      <c r="I39" t="s">
        <v>80</v>
      </c>
      <c r="J39">
        <v>2020</v>
      </c>
    </row>
    <row r="40" spans="1:10" x14ac:dyDescent="0.35">
      <c r="A40" t="s">
        <v>67</v>
      </c>
      <c r="B40" t="s">
        <v>61</v>
      </c>
      <c r="C40" t="s">
        <v>38</v>
      </c>
      <c r="D40">
        <v>2022</v>
      </c>
      <c r="E40">
        <v>2.8171147512312089</v>
      </c>
      <c r="F40">
        <v>3.945716681463399</v>
      </c>
      <c r="G40">
        <f t="shared" si="1"/>
        <v>1.1286019302321901</v>
      </c>
      <c r="H40">
        <v>0.90172560603950691</v>
      </c>
      <c r="I40" t="s">
        <v>80</v>
      </c>
      <c r="J40">
        <v>2022</v>
      </c>
    </row>
    <row r="41" spans="1:10" x14ac:dyDescent="0.35">
      <c r="A41" t="s">
        <v>67</v>
      </c>
      <c r="B41" t="s">
        <v>62</v>
      </c>
      <c r="C41" t="s">
        <v>40</v>
      </c>
      <c r="D41">
        <v>2022</v>
      </c>
      <c r="E41">
        <v>2.0165795618690252</v>
      </c>
      <c r="F41">
        <v>3.945716681463399</v>
      </c>
      <c r="G41">
        <f t="shared" si="1"/>
        <v>1.9291371195943738</v>
      </c>
      <c r="H41">
        <v>0.90172560603950691</v>
      </c>
      <c r="I41" t="s">
        <v>80</v>
      </c>
      <c r="J41">
        <v>2022</v>
      </c>
    </row>
    <row r="42" spans="1:10" x14ac:dyDescent="0.35">
      <c r="A42" t="s">
        <v>68</v>
      </c>
      <c r="B42" t="s">
        <v>61</v>
      </c>
      <c r="C42" t="s">
        <v>38</v>
      </c>
      <c r="D42">
        <v>2022</v>
      </c>
      <c r="E42">
        <v>1.55845355711639</v>
      </c>
      <c r="F42">
        <v>1.931834126476093</v>
      </c>
      <c r="G42">
        <f t="shared" si="1"/>
        <v>0.37338056935970299</v>
      </c>
      <c r="H42">
        <v>8.1761583775401121</v>
      </c>
      <c r="I42" t="s">
        <v>80</v>
      </c>
      <c r="J42">
        <v>2022</v>
      </c>
    </row>
    <row r="43" spans="1:10" x14ac:dyDescent="0.35">
      <c r="A43" t="s">
        <v>68</v>
      </c>
      <c r="B43" t="s">
        <v>62</v>
      </c>
      <c r="C43" t="s">
        <v>40</v>
      </c>
      <c r="D43">
        <v>2022</v>
      </c>
      <c r="E43">
        <v>1.5579683422439761</v>
      </c>
      <c r="F43">
        <v>1.931834126476093</v>
      </c>
      <c r="G43">
        <f t="shared" si="1"/>
        <v>0.37386578423211692</v>
      </c>
      <c r="H43">
        <v>8.1761583775401121</v>
      </c>
      <c r="I43" t="s">
        <v>80</v>
      </c>
      <c r="J43">
        <v>2022</v>
      </c>
    </row>
    <row r="44" spans="1:10" x14ac:dyDescent="0.35">
      <c r="A44" t="s">
        <v>70</v>
      </c>
      <c r="B44" t="s">
        <v>61</v>
      </c>
      <c r="C44" t="s">
        <v>38</v>
      </c>
      <c r="D44">
        <v>2022</v>
      </c>
      <c r="E44">
        <v>2.327853537647107</v>
      </c>
      <c r="F44">
        <v>0.76006291556467176</v>
      </c>
      <c r="G44">
        <f t="shared" si="1"/>
        <v>-1.5677906220824354</v>
      </c>
      <c r="H44">
        <v>1.409708663565979</v>
      </c>
      <c r="I44" t="s">
        <v>80</v>
      </c>
      <c r="J44">
        <v>2022</v>
      </c>
    </row>
    <row r="45" spans="1:10" x14ac:dyDescent="0.35">
      <c r="A45" t="s">
        <v>70</v>
      </c>
      <c r="B45" t="s">
        <v>62</v>
      </c>
      <c r="C45" t="s">
        <v>40</v>
      </c>
      <c r="D45">
        <v>2022</v>
      </c>
      <c r="E45">
        <v>1.603112304026943</v>
      </c>
      <c r="F45">
        <v>0.76006291556467176</v>
      </c>
      <c r="G45">
        <f t="shared" si="1"/>
        <v>-0.84304938846227129</v>
      </c>
      <c r="H45">
        <v>1.409708663565979</v>
      </c>
      <c r="I45" t="s">
        <v>80</v>
      </c>
      <c r="J45">
        <v>2022</v>
      </c>
    </row>
    <row r="46" spans="1:10" x14ac:dyDescent="0.35">
      <c r="A46" t="s">
        <v>73</v>
      </c>
      <c r="B46" t="s">
        <v>61</v>
      </c>
      <c r="C46" t="s">
        <v>38</v>
      </c>
      <c r="D46">
        <v>2022</v>
      </c>
      <c r="E46">
        <v>2.6294584401195249</v>
      </c>
      <c r="F46">
        <v>2.761671160127166</v>
      </c>
      <c r="G46">
        <f t="shared" si="1"/>
        <v>0.13221272000764106</v>
      </c>
      <c r="H46">
        <v>9.6347394516842577</v>
      </c>
      <c r="I46" t="s">
        <v>80</v>
      </c>
      <c r="J46">
        <v>2022</v>
      </c>
    </row>
    <row r="47" spans="1:10" x14ac:dyDescent="0.35">
      <c r="A47" t="s">
        <v>73</v>
      </c>
      <c r="B47" t="s">
        <v>62</v>
      </c>
      <c r="C47" t="s">
        <v>40</v>
      </c>
      <c r="D47">
        <v>2022</v>
      </c>
      <c r="E47">
        <v>3.0989524183168582</v>
      </c>
      <c r="F47">
        <v>2.761671160127166</v>
      </c>
      <c r="G47">
        <f t="shared" si="1"/>
        <v>-0.33728125818969223</v>
      </c>
      <c r="H47">
        <v>9.6347394516842577</v>
      </c>
      <c r="I47" t="s">
        <v>80</v>
      </c>
      <c r="J47">
        <v>2022</v>
      </c>
    </row>
    <row r="48" spans="1:10" x14ac:dyDescent="0.35">
      <c r="A48" t="s">
        <v>76</v>
      </c>
      <c r="B48" t="s">
        <v>61</v>
      </c>
      <c r="C48" t="s">
        <v>38</v>
      </c>
      <c r="D48">
        <v>2022</v>
      </c>
      <c r="E48">
        <v>4.6490196630740721</v>
      </c>
      <c r="F48">
        <v>4.8892912104023152</v>
      </c>
      <c r="G48">
        <f t="shared" si="1"/>
        <v>0.24027154732824307</v>
      </c>
      <c r="H48">
        <v>1.8443544310864439</v>
      </c>
      <c r="I48" t="s">
        <v>80</v>
      </c>
      <c r="J48">
        <v>2022</v>
      </c>
    </row>
    <row r="49" spans="1:10" x14ac:dyDescent="0.35">
      <c r="A49" t="s">
        <v>76</v>
      </c>
      <c r="B49" t="s">
        <v>62</v>
      </c>
      <c r="C49" t="s">
        <v>40</v>
      </c>
      <c r="D49">
        <v>2022</v>
      </c>
      <c r="E49">
        <v>3.271330674458595</v>
      </c>
      <c r="F49">
        <v>4.8892912104023152</v>
      </c>
      <c r="G49">
        <f t="shared" si="1"/>
        <v>1.6179605359437201</v>
      </c>
      <c r="H49">
        <v>1.8443544310864439</v>
      </c>
      <c r="I49" t="s">
        <v>80</v>
      </c>
      <c r="J49">
        <v>2022</v>
      </c>
    </row>
    <row r="50" spans="1:10" x14ac:dyDescent="0.35">
      <c r="A50" t="s">
        <v>67</v>
      </c>
      <c r="B50" t="s">
        <v>71</v>
      </c>
      <c r="C50" t="s">
        <v>38</v>
      </c>
      <c r="D50">
        <v>2025</v>
      </c>
      <c r="E50">
        <v>0.99784735760106713</v>
      </c>
      <c r="F50">
        <v>0.97833513074895262</v>
      </c>
      <c r="G50">
        <f t="shared" si="1"/>
        <v>-1.9512226852114511E-2</v>
      </c>
      <c r="H50">
        <v>1.388852621215412</v>
      </c>
      <c r="I50" t="s">
        <v>80</v>
      </c>
      <c r="J50">
        <v>2025</v>
      </c>
    </row>
    <row r="51" spans="1:10" x14ac:dyDescent="0.35">
      <c r="A51" t="s">
        <v>67</v>
      </c>
      <c r="B51" t="s">
        <v>72</v>
      </c>
      <c r="C51" t="s">
        <v>40</v>
      </c>
      <c r="D51">
        <v>2025</v>
      </c>
      <c r="E51">
        <v>0.76893815941332377</v>
      </c>
      <c r="F51">
        <v>0.97833513074895262</v>
      </c>
      <c r="G51">
        <f t="shared" si="1"/>
        <v>0.20939697133562885</v>
      </c>
      <c r="H51">
        <v>1.388852621215412</v>
      </c>
      <c r="I51" t="s">
        <v>80</v>
      </c>
      <c r="J51">
        <v>2025</v>
      </c>
    </row>
    <row r="52" spans="1:10" x14ac:dyDescent="0.35">
      <c r="A52" t="s">
        <v>68</v>
      </c>
      <c r="B52" t="s">
        <v>71</v>
      </c>
      <c r="C52" t="s">
        <v>38</v>
      </c>
      <c r="D52">
        <v>2025</v>
      </c>
      <c r="E52">
        <v>0.17068748819852869</v>
      </c>
      <c r="F52">
        <v>0.34025588112837718</v>
      </c>
      <c r="G52">
        <f t="shared" si="1"/>
        <v>0.16956839292984849</v>
      </c>
      <c r="H52">
        <v>7.280321526767084</v>
      </c>
      <c r="I52" t="s">
        <v>80</v>
      </c>
      <c r="J52">
        <v>2025</v>
      </c>
    </row>
    <row r="53" spans="1:10" x14ac:dyDescent="0.35">
      <c r="A53" t="s">
        <v>68</v>
      </c>
      <c r="B53" t="s">
        <v>72</v>
      </c>
      <c r="C53" t="s">
        <v>40</v>
      </c>
      <c r="D53">
        <v>2025</v>
      </c>
      <c r="E53">
        <v>-2.9831521216272531E-2</v>
      </c>
      <c r="F53">
        <v>0.34025588112837718</v>
      </c>
      <c r="G53">
        <f t="shared" si="1"/>
        <v>0.37008740234464971</v>
      </c>
      <c r="H53">
        <v>7.280321526767084</v>
      </c>
      <c r="I53" t="s">
        <v>80</v>
      </c>
      <c r="J53">
        <v>2025</v>
      </c>
    </row>
    <row r="54" spans="1:10" x14ac:dyDescent="0.35">
      <c r="A54" t="s">
        <v>69</v>
      </c>
      <c r="B54" t="s">
        <v>71</v>
      </c>
      <c r="C54" t="s">
        <v>38</v>
      </c>
      <c r="D54">
        <v>2025</v>
      </c>
      <c r="E54">
        <v>2.8680409593299978</v>
      </c>
      <c r="F54">
        <v>2.7857852243734129</v>
      </c>
      <c r="G54">
        <f t="shared" si="1"/>
        <v>-8.2255734956584892E-2</v>
      </c>
      <c r="H54">
        <v>0.90409953771843354</v>
      </c>
      <c r="I54" t="s">
        <v>80</v>
      </c>
      <c r="J54">
        <v>2025</v>
      </c>
    </row>
    <row r="55" spans="1:10" x14ac:dyDescent="0.35">
      <c r="A55" t="s">
        <v>69</v>
      </c>
      <c r="B55" t="s">
        <v>72</v>
      </c>
      <c r="C55" t="s">
        <v>40</v>
      </c>
      <c r="D55">
        <v>2025</v>
      </c>
      <c r="E55">
        <v>2.5510068501240162</v>
      </c>
      <c r="F55">
        <v>2.7857852243734129</v>
      </c>
      <c r="G55">
        <f t="shared" si="1"/>
        <v>0.23477837424939674</v>
      </c>
      <c r="H55">
        <v>0.90409953771843354</v>
      </c>
      <c r="I55" t="s">
        <v>80</v>
      </c>
      <c r="J55">
        <v>2025</v>
      </c>
    </row>
    <row r="56" spans="1:10" x14ac:dyDescent="0.35">
      <c r="A56" t="s">
        <v>70</v>
      </c>
      <c r="B56" t="s">
        <v>71</v>
      </c>
      <c r="C56" t="s">
        <v>38</v>
      </c>
      <c r="D56">
        <v>2025</v>
      </c>
      <c r="E56">
        <v>7.5720238361931536E-2</v>
      </c>
      <c r="F56">
        <v>0.79990149121373022</v>
      </c>
      <c r="G56">
        <f t="shared" si="1"/>
        <v>0.72418125285179868</v>
      </c>
      <c r="H56">
        <v>1.3132536844973679</v>
      </c>
      <c r="I56" t="s">
        <v>80</v>
      </c>
      <c r="J56">
        <v>2025</v>
      </c>
    </row>
    <row r="57" spans="1:10" x14ac:dyDescent="0.35">
      <c r="A57" t="s">
        <v>70</v>
      </c>
      <c r="B57" t="s">
        <v>72</v>
      </c>
      <c r="C57" t="s">
        <v>40</v>
      </c>
      <c r="D57">
        <v>2025</v>
      </c>
      <c r="E57">
        <v>0.97596362509042578</v>
      </c>
      <c r="F57">
        <v>0.79990149121373022</v>
      </c>
      <c r="G57">
        <f t="shared" si="1"/>
        <v>-0.17606213387669556</v>
      </c>
      <c r="H57">
        <v>1.3132536844973679</v>
      </c>
      <c r="I57" t="s">
        <v>80</v>
      </c>
      <c r="J57">
        <v>2025</v>
      </c>
    </row>
    <row r="58" spans="1:10" x14ac:dyDescent="0.35">
      <c r="A58" t="s">
        <v>73</v>
      </c>
      <c r="B58" t="s">
        <v>71</v>
      </c>
      <c r="C58" t="s">
        <v>38</v>
      </c>
      <c r="D58">
        <v>2025</v>
      </c>
      <c r="E58">
        <v>0.69714532745484004</v>
      </c>
      <c r="F58">
        <v>0.88561946045636819</v>
      </c>
      <c r="G58">
        <f t="shared" si="1"/>
        <v>0.18847413300152815</v>
      </c>
      <c r="H58">
        <v>10.19774333808712</v>
      </c>
      <c r="I58" t="s">
        <v>80</v>
      </c>
      <c r="J58">
        <v>2025</v>
      </c>
    </row>
    <row r="59" spans="1:10" x14ac:dyDescent="0.35">
      <c r="A59" t="s">
        <v>73</v>
      </c>
      <c r="B59" t="s">
        <v>72</v>
      </c>
      <c r="C59" t="s">
        <v>40</v>
      </c>
      <c r="D59">
        <v>2025</v>
      </c>
      <c r="E59">
        <v>0.57266269658549085</v>
      </c>
      <c r="F59">
        <v>0.88561946045636819</v>
      </c>
      <c r="G59">
        <f t="shared" si="1"/>
        <v>0.31295676387087734</v>
      </c>
      <c r="H59">
        <v>10.19774333808712</v>
      </c>
      <c r="I59" t="s">
        <v>80</v>
      </c>
      <c r="J59">
        <v>2025</v>
      </c>
    </row>
    <row r="60" spans="1:10" x14ac:dyDescent="0.35">
      <c r="A60" t="s">
        <v>76</v>
      </c>
      <c r="B60" t="s">
        <v>71</v>
      </c>
      <c r="C60" t="s">
        <v>38</v>
      </c>
      <c r="D60">
        <v>2025</v>
      </c>
      <c r="E60">
        <v>1.6966708374271939</v>
      </c>
      <c r="F60">
        <v>1.5629801711020599</v>
      </c>
      <c r="G60">
        <f t="shared" si="1"/>
        <v>-0.13369066632513404</v>
      </c>
      <c r="H60">
        <v>2.036323027173855</v>
      </c>
      <c r="I60" t="s">
        <v>80</v>
      </c>
      <c r="J60">
        <v>2025</v>
      </c>
    </row>
    <row r="61" spans="1:10" x14ac:dyDescent="0.35">
      <c r="A61" t="s">
        <v>76</v>
      </c>
      <c r="B61" t="s">
        <v>72</v>
      </c>
      <c r="C61" t="s">
        <v>40</v>
      </c>
      <c r="D61">
        <v>2025</v>
      </c>
      <c r="E61">
        <v>1.282511180567347</v>
      </c>
      <c r="F61">
        <v>1.5629801711020599</v>
      </c>
      <c r="G61">
        <f t="shared" si="1"/>
        <v>0.28046899053471286</v>
      </c>
      <c r="H61">
        <v>2.036323027173855</v>
      </c>
      <c r="I61" t="s">
        <v>80</v>
      </c>
      <c r="J61">
        <v>2025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"/>
  <sheetViews>
    <sheetView workbookViewId="0"/>
  </sheetViews>
  <sheetFormatPr defaultRowHeight="14.5" x14ac:dyDescent="0.35"/>
  <sheetData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summary</vt:lpstr>
      <vt:lpstr>data_ict_share_full</vt:lpstr>
      <vt:lpstr>chart_ict_share_full</vt:lpstr>
      <vt:lpstr>data_ict_share_since2020</vt:lpstr>
      <vt:lpstr>chart_ict_share_since2020</vt:lpstr>
      <vt:lpstr>data_ict_share_till2019</vt:lpstr>
      <vt:lpstr>chart_ict_share_till2019</vt:lpstr>
      <vt:lpstr>data_hs_export_share_full</vt:lpstr>
      <vt:lpstr>chart_hs_export_share_full</vt:lpstr>
      <vt:lpstr>data_hs_export_share_since2020</vt:lpstr>
      <vt:lpstr>chart_hs_export_share_since2020</vt:lpstr>
      <vt:lpstr>data_hs_export_share_till2019</vt:lpstr>
      <vt:lpstr>chart_hs_export_share_till2019</vt:lpstr>
      <vt:lpstr>data_stock_corr_full</vt:lpstr>
      <vt:lpstr>chart_stock_corr_full</vt:lpstr>
      <vt:lpstr>data_stock_corr_since2020</vt:lpstr>
      <vt:lpstr>chart_stock_corr_since2020</vt:lpstr>
      <vt:lpstr>data_stock_corr_till2019</vt:lpstr>
      <vt:lpstr>chart_stock_corr_till2019</vt:lpstr>
      <vt:lpstr>data_ai_inv_share_full</vt:lpstr>
      <vt:lpstr>chart_ai_inv_share_full</vt:lpstr>
      <vt:lpstr>data_ai_inv_share_since2020</vt:lpstr>
      <vt:lpstr>chart_ai_inv_share_since2020</vt:lpstr>
      <vt:lpstr>data_ai_inv_share_till2019</vt:lpstr>
      <vt:lpstr>chart_ai_inv_share_till2019</vt:lpstr>
      <vt:lpstr>data_cluster_ict_share</vt:lpstr>
      <vt:lpstr>chart_cluster_ict_share</vt:lpstr>
      <vt:lpstr>data_ict_share_yrs</vt:lpstr>
      <vt:lpstr>chart_ict_share_yrs</vt:lpstr>
      <vt:lpstr>data_cluster_hs_export</vt:lpstr>
      <vt:lpstr>chart_cluster_hs_export</vt:lpstr>
      <vt:lpstr>data_hs_export_share_yrs</vt:lpstr>
      <vt:lpstr>chart_hs_export_share_yrs</vt:lpstr>
      <vt:lpstr>data_cluster_stock_corr</vt:lpstr>
      <vt:lpstr>chart_cluster_stock_corr</vt:lpstr>
      <vt:lpstr>data_stock_corr_yrs</vt:lpstr>
      <vt:lpstr>chart_stock_corr_yrs</vt:lpstr>
      <vt:lpstr>data_cluster_ai_inv_share</vt:lpstr>
      <vt:lpstr>chart_cluster_ai_inv_share</vt:lpstr>
      <vt:lpstr>data_ai_inv_share_yrs</vt:lpstr>
      <vt:lpstr>chart_ai_inv_share_yrs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Jan Willem van den End</cp:lastModifiedBy>
  <dcterms:created xsi:type="dcterms:W3CDTF">2026-09-13T16:22:57Z</dcterms:created>
  <dcterms:modified xsi:type="dcterms:W3CDTF">2026-09-13T19:44:56Z</dcterms:modified>
</cp:coreProperties>
</file>