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8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9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0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2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3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4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5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6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8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19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ict_share_full" sheetId="2" state="visible" r:id="rId2"/>
    <sheet name="chart_ict_share_full" sheetId="3" state="visible" r:id="rId3"/>
    <sheet name="data_ict_share_since2020" sheetId="4" state="visible" r:id="rId4"/>
    <sheet name="chart_ict_share_since2020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0" sheetId="10" state="visible" r:id="rId10"/>
    <sheet name="chart_hs_export_share_since2020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0" sheetId="16" state="visible" r:id="rId16"/>
    <sheet name="chart_stock_corr_since2020" sheetId="17" state="visible" r:id="rId17"/>
    <sheet name="data_stock_corr_till2019" sheetId="18" state="visible" r:id="rId18"/>
    <sheet name="chart_stock_corr_till2019" sheetId="19" state="visible" r:id="rId19"/>
    <sheet name="data_ai_inv_share_full" sheetId="20" state="visible" r:id="rId20"/>
    <sheet name="chart_ai_inv_share_full" sheetId="21" state="visible" r:id="rId21"/>
    <sheet name="data_ai_inv_share_since2020" sheetId="22" state="visible" r:id="rId22"/>
    <sheet name="chart_ai_inv_share_since2020" sheetId="23" state="visible" r:id="rId23"/>
    <sheet name="data_ai_inv_share_till2019" sheetId="24" state="visible" r:id="rId24"/>
    <sheet name="chart_ai_inv_share_till2019" sheetId="25" state="visible" r:id="rId25"/>
    <sheet name="data_cluster_ict_share" sheetId="26" state="visible" r:id="rId26"/>
    <sheet name="chart_cluster_ict_share" sheetId="27" state="visible" r:id="rId27"/>
    <sheet name="data_ict_share_yrs" sheetId="28" state="visible" r:id="rId28"/>
    <sheet name="chart_ict_share_yrs" sheetId="29" state="visible" r:id="rId29"/>
    <sheet name="data_cluster_hs_export" sheetId="30" state="visible" r:id="rId30"/>
    <sheet name="chart_cluster_hs_export" sheetId="31" state="visible" r:id="rId31"/>
    <sheet name="data_hs_export_share_yrs" sheetId="32" state="visible" r:id="rId32"/>
    <sheet name="chart_hs_export_share_yrs" sheetId="33" state="visible" r:id="rId33"/>
    <sheet name="data_cluster_stock_corr" sheetId="34" state="visible" r:id="rId34"/>
    <sheet name="chart_cluster_stock_corr" sheetId="35" state="visible" r:id="rId35"/>
    <sheet name="data_stock_corr_yrs" sheetId="36" state="visible" r:id="rId36"/>
    <sheet name="chart_stock_corr_yrs" sheetId="37" state="visible" r:id="rId37"/>
    <sheet name="data_cluster_ai_inv_share" sheetId="38" state="visible" r:id="rId38"/>
    <sheet name="chart_cluster_ai_inv_share" sheetId="39" state="visible" r:id="rId39"/>
    <sheet name="data_ai_inv_share_yrs" sheetId="40" state="visible" r:id="rId40"/>
    <sheet name="chart_ai_inv_share_yrs" sheetId="41" state="visible" r:id="rId4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0.6046)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0.6046)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***</t>
        </is>
      </c>
      <c r="G12" s="2" t="inlineStr">
        <is>
          <t>below</t>
        </is>
      </c>
      <c r="H12" s="2" t="inlineStr">
        <is>
          <t>above</t>
        </is>
      </c>
    </row>
    <row r="13">
      <c r="A13" s="2" t="inlineStr">
        <is>
          <t>share positive surprises</t>
        </is>
      </c>
      <c r="B13" s="6">
        <f>COUNTIF('data_cluster_ict_share'!$G$2:$G$549,"&gt;0")/COUNT('data_cluster_ict_share'!$G$2:$G$549)</f>
        <v/>
      </c>
      <c r="C13" s="6">
        <f>COUNTIF('data_cluster_ict_share'!$G$2:$G$275,"&gt;0")/COUNT('data_cluster_ict_share'!$G$2:$G$275)</f>
        <v/>
      </c>
      <c r="D13" s="6">
        <f>COUNTIF('data_cluster_ict_share'!$G$276:$G$549,"&gt;0")/COUNT('data_cluster_ict_share'!$G$276:$G$549)</f>
        <v/>
      </c>
      <c r="F13" s="6">
        <f>COUNTIF('data_ict_share_yrs'!$G$2:$G$61,"&gt;0")/COUNT('data_ict_share_yrs'!$G$2:$G$61)</f>
        <v/>
      </c>
      <c r="G13" s="6">
        <f>COUNTIF('data_ict_share_yrs'!$G$2:$G$31,"&gt;0")/COUNT('data_ict_share_yrs'!$G$2:$G$31)</f>
        <v/>
      </c>
      <c r="H13" s="6">
        <f>COUNTIF('data_ict_share_yrs'!$G$32:$G$61,"&gt;0")/COUNT('data_ict_share_yrs'!$G$32:$G$61)</f>
        <v/>
      </c>
    </row>
    <row r="14">
      <c r="A14" s="2" t="inlineStr">
        <is>
          <t>share positive surprises (NL)</t>
        </is>
      </c>
      <c r="B14" s="6">
        <f>IFERROR(COUNTIFS('data_cluster_ict_share'!$A$2:$A$549,"NL",'data_cluster_ict_share'!$G$2:$G$549,"&gt;0")/COUNTIFS('data_cluster_ict_share'!$A$2:$A$549,"NL"),"n/a")</f>
        <v/>
      </c>
      <c r="C14" s="6">
        <f>IFERROR(COUNTIFS('data_cluster_ict_share'!$A$2:$A$275,"NL",'data_cluster_ict_share'!$G$2:$G$275,"&gt;0")/COUNTIFS('data_cluster_ict_share'!$A$2:$A$275,"NL"),"n/a")</f>
        <v/>
      </c>
      <c r="D14" s="6">
        <f>IFERROR(COUNTIFS('data_cluster_ict_share'!$A$276:$A$549,"NL",'data_cluster_ict_share'!$G$276:$G$549,"&gt;0")/COUNTIFS('data_cluster_ict_share'!$A$276:$A$549,"NL"),"n/a")</f>
        <v/>
      </c>
      <c r="F14" s="6">
        <f>IFERROR(COUNTIFS('data_ict_share_yrs'!$A$2:$A$61,"NL",'data_ict_share_yrs'!$G$2:$G$61,"&gt;0")/COUNTIFS('data_ict_share_yrs'!$A$2:$A$61,"NL"),"n/a")</f>
        <v/>
      </c>
      <c r="G14" s="6">
        <f>IFERROR(COUNTIFS('data_ict_share_yrs'!$A$2:$A$31,"NL",'data_ict_share_yrs'!$G$2:$G$31,"&gt;0")/COUNTIFS('data_ict_share_yrs'!$A$2:$A$31,"NL"),"n/a")</f>
        <v/>
      </c>
      <c r="H14" s="6">
        <f>IFERROR(COUNTIFS('data_ict_share_yrs'!$A$32:$A$61,"NL",'data_ict_share_yrs'!$G$32:$G$61,"&gt;0")/COUNTIFS('data_ict_share_yrs'!$A$32:$A$61,"NL"),"n/a")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***</t>
        </is>
      </c>
      <c r="G16" s="2" t="inlineStr">
        <is>
          <t>below</t>
        </is>
      </c>
      <c r="H16" s="2" t="inlineStr">
        <is>
          <t>above</t>
        </is>
      </c>
    </row>
    <row r="17">
      <c r="A17" s="2" t="inlineStr">
        <is>
          <t>share positive surprises</t>
        </is>
      </c>
      <c r="B17" s="6">
        <f>COUNTIF('data_cluster_hs_export'!$G$2:$G$581,"&gt;0")/COUNT('data_cluster_hs_export'!$G$2:$G$581)</f>
        <v/>
      </c>
      <c r="C17" s="6">
        <f>COUNTIF('data_cluster_hs_export'!$G$2:$G$293,"&gt;0")/COUNT('data_cluster_hs_export'!$G$2:$G$293)</f>
        <v/>
      </c>
      <c r="D17" s="6">
        <f>COUNTIF('data_cluster_hs_export'!$G$294:$G$581,"&gt;0")/COUNT('data_cluster_hs_export'!$G$294:$G$581)</f>
        <v/>
      </c>
      <c r="F17" s="6">
        <f>COUNTIF('data_hs_export_share_yrs'!$G$2:$G$61,"&gt;0")/COUNT('data_hs_export_share_yrs'!$G$2:$G$61)</f>
        <v/>
      </c>
      <c r="G17" s="6">
        <f>COUNTIF('data_hs_export_share_yrs'!$G$2:$G$31,"&gt;0")/COUNT('data_hs_export_share_yrs'!$G$2:$G$31)</f>
        <v/>
      </c>
      <c r="H17" s="6">
        <f>COUNTIF('data_hs_export_share_yrs'!$G$32:$G$61,"&gt;0")/COUNT('data_hs_export_share_yrs'!$G$32:$G$61)</f>
        <v/>
      </c>
    </row>
    <row r="18">
      <c r="A18" s="2" t="inlineStr">
        <is>
          <t>share positive surprises (NL)</t>
        </is>
      </c>
      <c r="B18" s="6">
        <f>IFERROR(COUNTIFS('data_cluster_hs_export'!$A$2:$A$581,"NL",'data_cluster_hs_export'!$G$2:$G$581,"&gt;0")/COUNTIFS('data_cluster_hs_export'!$A$2:$A$581,"NL"),"n/a")</f>
        <v/>
      </c>
      <c r="C18" s="6">
        <f>IFERROR(COUNTIFS('data_cluster_hs_export'!$A$2:$A$293,"NL",'data_cluster_hs_export'!$G$2:$G$293,"&gt;0")/COUNTIFS('data_cluster_hs_export'!$A$2:$A$293,"NL"),"n/a")</f>
        <v/>
      </c>
      <c r="D18" s="6">
        <f>IFERROR(COUNTIFS('data_cluster_hs_export'!$A$294:$A$581,"NL",'data_cluster_hs_export'!$G$294:$G$581,"&gt;0")/COUNTIFS('data_cluster_hs_export'!$A$294:$A$581,"NL"),"n/a")</f>
        <v/>
      </c>
      <c r="F18" s="6">
        <f>IFERROR(COUNTIFS('data_hs_export_share_yrs'!$A$2:$A$61,"NL",'data_hs_export_share_yrs'!$G$2:$G$61,"&gt;0")/COUNTIFS('data_hs_export_share_yrs'!$A$2:$A$61,"NL"),"n/a")</f>
        <v/>
      </c>
      <c r="G18" s="6">
        <f>IFERROR(COUNTIFS('data_hs_export_share_yrs'!$A$2:$A$31,"NL",'data_hs_export_share_yrs'!$G$2:$G$31,"&gt;0")/COUNTIFS('data_hs_export_share_yrs'!$A$2:$A$31,"NL"),"n/a")</f>
        <v/>
      </c>
      <c r="H18" s="6">
        <f>IFERROR(COUNTIFS('data_hs_export_share_yrs'!$A$32:$A$61,"NL",'data_hs_export_share_yrs'!$G$32:$G$61,"&gt;0")/COUNTIFS('data_hs_export_share_yrs'!$A$32:$A$61,"NL"),"n/a")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***</t>
        </is>
      </c>
      <c r="G20" s="2" t="inlineStr">
        <is>
          <t>below</t>
        </is>
      </c>
      <c r="H20" s="2" t="inlineStr">
        <is>
          <t>above</t>
        </is>
      </c>
    </row>
    <row r="21">
      <c r="A21" s="2" t="inlineStr">
        <is>
          <t>share positive surprises</t>
        </is>
      </c>
      <c r="B21" s="6">
        <f>COUNTIF('data_cluster_stock_corr'!$G$2:$G$573,"&gt;0")/COUNT('data_cluster_stock_corr'!$G$2:$G$573)</f>
        <v/>
      </c>
      <c r="C21" s="6">
        <f>COUNTIF('data_cluster_stock_corr'!$G$2:$G$289,"&gt;0")/COUNT('data_cluster_stock_corr'!$G$2:$G$289)</f>
        <v/>
      </c>
      <c r="D21" s="6">
        <f>COUNTIF('data_cluster_stock_corr'!$G$290:$G$573,"&gt;0")/COUNT('data_cluster_stock_corr'!$G$290:$G$573)</f>
        <v/>
      </c>
      <c r="F21" s="6">
        <f>COUNTIF('data_stock_corr_yrs'!$G$2:$G$61,"&gt;0")/COUNT('data_stock_corr_yrs'!$G$2:$G$61)</f>
        <v/>
      </c>
      <c r="G21" s="6">
        <f>COUNTIF('data_stock_corr_yrs'!$G$2:$G$31,"&gt;0")/COUNT('data_stock_corr_yrs'!$G$2:$G$31)</f>
        <v/>
      </c>
      <c r="H21" s="6">
        <f>COUNTIF('data_stock_corr_yrs'!$G$32:$G$61,"&gt;0")/COUNT('data_stock_corr_yrs'!$G$32:$G$61)</f>
        <v/>
      </c>
    </row>
    <row r="22">
      <c r="A22" s="2" t="inlineStr">
        <is>
          <t>share positive surprises (NL)</t>
        </is>
      </c>
      <c r="B22" s="6">
        <f>IFERROR(COUNTIFS('data_cluster_stock_corr'!$A$2:$A$573,"NL",'data_cluster_stock_corr'!$G$2:$G$573,"&gt;0")/COUNTIFS('data_cluster_stock_corr'!$A$2:$A$573,"NL"),"n/a")</f>
        <v/>
      </c>
      <c r="C22" s="6">
        <f>IFERROR(COUNTIFS('data_cluster_stock_corr'!$A$2:$A$289,"NL",'data_cluster_stock_corr'!$G$2:$G$289,"&gt;0")/COUNTIFS('data_cluster_stock_corr'!$A$2:$A$289,"NL"),"n/a")</f>
        <v/>
      </c>
      <c r="D22" s="6">
        <f>IFERROR(COUNTIFS('data_cluster_stock_corr'!$A$290:$A$573,"NL",'data_cluster_stock_corr'!$G$290:$G$573,"&gt;0")/COUNTIFS('data_cluster_stock_corr'!$A$290:$A$573,"NL"),"n/a")</f>
        <v/>
      </c>
      <c r="F22" s="6">
        <f>IFERROR(COUNTIFS('data_stock_corr_yrs'!$A$2:$A$61,"NL",'data_stock_corr_yrs'!$G$2:$G$61,"&gt;0")/COUNTIFS('data_stock_corr_yrs'!$A$2:$A$61,"NL"),"n/a")</f>
        <v/>
      </c>
      <c r="G22" s="6">
        <f>IFERROR(COUNTIFS('data_stock_corr_yrs'!$A$2:$A$31,"NL",'data_stock_corr_yrs'!$G$2:$G$31,"&gt;0")/COUNTIFS('data_stock_corr_yrs'!$A$2:$A$31,"NL"),"n/a")</f>
        <v/>
      </c>
      <c r="H22" s="6">
        <f>IFERROR(COUNTIFS('data_stock_corr_yrs'!$A$32:$A$61,"NL",'data_stock_corr_yrs'!$G$32:$G$61,"&gt;0")/COUNTIFS('data_stock_corr_yrs'!$A$32:$A$61,"NL"),"n/a")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 **</t>
        </is>
      </c>
      <c r="F24" s="2" t="inlineStr">
        <is>
          <t>full sample ***</t>
        </is>
      </c>
      <c r="G24" s="2" t="inlineStr">
        <is>
          <t>below</t>
        </is>
      </c>
      <c r="H24" s="2" t="inlineStr">
        <is>
          <t>above</t>
        </is>
      </c>
    </row>
    <row r="25">
      <c r="A25" s="2" t="inlineStr">
        <is>
          <t>share positive surprises</t>
        </is>
      </c>
      <c r="B25" s="6">
        <f>COUNTIF('data_cluster_ai_inv_share'!$G$2:$G$441,"&gt;0")/COUNT('data_cluster_ai_inv_share'!$G$2:$G$441)</f>
        <v/>
      </c>
      <c r="C25" s="6">
        <f>COUNTIF('data_cluster_ai_inv_share'!$G$2:$G$221,"&gt;0")/COUNT('data_cluster_ai_inv_share'!$G$2:$G$221)</f>
        <v/>
      </c>
      <c r="D25" s="6">
        <f>COUNTIF('data_cluster_ai_inv_share'!$G$222:$G$441,"&gt;0")/COUNT('data_cluster_ai_inv_share'!$G$222:$G$441)</f>
        <v/>
      </c>
      <c r="F25" s="6">
        <f>COUNTIF('data_ai_inv_share_yrs'!$G$2:$G$61,"&gt;0")/COUNT('data_ai_inv_share_yrs'!$G$2:$G$61)</f>
        <v/>
      </c>
      <c r="G25" s="6">
        <f>COUNTIF('data_ai_inv_share_yrs'!$G$2:$G$31,"&gt;0")/COUNT('data_ai_inv_share_yrs'!$G$2:$G$31)</f>
        <v/>
      </c>
      <c r="H25" s="6">
        <f>COUNTIF('data_ai_inv_share_yrs'!$G$32:$G$61,"&gt;0")/COUNT('data_ai_inv_share_yrs'!$G$32:$G$61)</f>
        <v/>
      </c>
    </row>
    <row r="26">
      <c r="A26" s="2" t="inlineStr">
        <is>
          <t>share positive surprises (NL)</t>
        </is>
      </c>
      <c r="B26" s="6">
        <f>IFERROR(COUNTIFS('data_cluster_ai_inv_share'!$A$2:$A$441,"NL",'data_cluster_ai_inv_share'!$G$2:$G$441,"&gt;0")/COUNTIFS('data_cluster_ai_inv_share'!$A$2:$A$441,"NL"),"n/a")</f>
        <v/>
      </c>
      <c r="C26" s="6">
        <f>IFERROR(COUNTIFS('data_cluster_ai_inv_share'!$A$2:$A$221,"NL",'data_cluster_ai_inv_share'!$G$2:$G$221,"&gt;0")/COUNTIFS('data_cluster_ai_inv_share'!$A$2:$A$221,"NL"),"n/a")</f>
        <v/>
      </c>
      <c r="D26" s="6">
        <f>IFERROR(COUNTIFS('data_cluster_ai_inv_share'!$A$222:$A$441,"NL",'data_cluster_ai_inv_share'!$G$222:$G$441,"&gt;0")/COUNTIFS('data_cluster_ai_inv_share'!$A$222:$A$441,"NL"),"n/a")</f>
        <v/>
      </c>
      <c r="F26" s="6">
        <f>IFERROR(COUNTIFS('data_ai_inv_share_yrs'!$A$2:$A$61,"NL",'data_ai_inv_share_yrs'!$G$2:$G$61,"&gt;0")/COUNTIFS('data_ai_inv_share_yrs'!$A$2:$A$61,"NL"),"n/a")</f>
        <v/>
      </c>
      <c r="G26" s="6">
        <f>IFERROR(COUNTIFS('data_ai_inv_share_yrs'!$A$2:$A$31,"NL",'data_ai_inv_share_yrs'!$G$2:$G$31,"&gt;0")/COUNTIFS('data_ai_inv_share_yrs'!$A$2:$A$31,"NL"),"n/a")</f>
        <v/>
      </c>
      <c r="H26" s="6">
        <f>IFERROR(COUNTIFS('data_ai_inv_share_yrs'!$A$32:$A$61,"NL",'data_ai_inv_share_yrs'!$G$32:$G$61,"&gt;0")/COUNTIFS('data_ai_inv_share_yrs'!$A$32:$A$61,"NL"),"n/a")</f>
        <v/>
      </c>
    </row>
    <row r="30">
      <c r="A30" s="4" t="inlineStr">
        <is>
          <t>Panel regressions: growth_surprise = const + country FE + time FE + beta*X</t>
        </is>
      </c>
    </row>
    <row r="31">
      <c r="A31" s="7" t="inlineStr">
        <is>
          <t>(two-way fixed effects, OLS via dummy variables; plain/homoskedastic standard errors -- NOT Driscoll-Kraay robust)</t>
        </is>
      </c>
    </row>
    <row r="33">
      <c r="A33" s="2" t="inlineStr">
        <is>
          <t>Explanatory variable</t>
        </is>
      </c>
      <c r="B33" s="2" t="inlineStr">
        <is>
          <t>beta</t>
        </is>
      </c>
      <c r="C33" s="2" t="inlineStr">
        <is>
          <t>SE</t>
        </is>
      </c>
      <c r="D33" s="2" t="inlineStr">
        <is>
          <t>t-stat</t>
        </is>
      </c>
      <c r="E33" s="2" t="inlineStr">
        <is>
          <t>p-value</t>
        </is>
      </c>
      <c r="F33" s="2" t="inlineStr">
        <is>
          <t>R-squared</t>
        </is>
      </c>
      <c r="G33" s="2" t="inlineStr">
        <is>
          <t>N (obs)</t>
        </is>
      </c>
      <c r="H33" s="2" t="inlineStr">
        <is>
          <t>N (countries)</t>
        </is>
      </c>
      <c r="I33" s="2" t="inlineStr">
        <is>
          <t>N (years)</t>
        </is>
      </c>
    </row>
    <row r="34">
      <c r="A34" t="inlineStr">
        <is>
          <t>ICT investment share (data_ict_share_full)</t>
        </is>
      </c>
      <c r="B34" t="n">
        <v>13.8305</v>
      </c>
      <c r="C34" t="n">
        <v>4.0057</v>
      </c>
      <c r="D34" t="n">
        <v>3.453</v>
      </c>
      <c r="E34" t="n">
        <v>0.0005999999999999999</v>
      </c>
      <c r="F34" t="n">
        <v>0.2987</v>
      </c>
      <c r="G34" t="n">
        <v>548</v>
      </c>
      <c r="H34" t="n">
        <v>10</v>
      </c>
      <c r="I34" t="n">
        <v>15</v>
      </c>
    </row>
    <row r="35">
      <c r="A35" t="inlineStr">
        <is>
          <t>AI/ICT-related HS export share (data_hs_export_share_full)</t>
        </is>
      </c>
      <c r="B35" t="n">
        <v>19.3539</v>
      </c>
      <c r="C35" t="n">
        <v>37.8954</v>
      </c>
      <c r="D35" t="n">
        <v>0.511</v>
      </c>
      <c r="E35" t="n">
        <v>0.6098</v>
      </c>
      <c r="F35" t="n">
        <v>0.2824</v>
      </c>
      <c r="G35" t="n">
        <v>580</v>
      </c>
      <c r="H35" t="n">
        <v>10</v>
      </c>
      <c r="I35" t="n">
        <v>15</v>
      </c>
    </row>
    <row r="36">
      <c r="A36" t="inlineStr">
        <is>
          <t>National vs. semiconductor index correlation (data_stock_corr_full)</t>
        </is>
      </c>
      <c r="B36" t="n">
        <v>0.0921</v>
      </c>
      <c r="C36" t="n">
        <v>0.7732</v>
      </c>
      <c r="D36" t="n">
        <v>0.119</v>
      </c>
      <c r="E36" t="n">
        <v>0.9052</v>
      </c>
      <c r="F36" t="n">
        <v>0.2763</v>
      </c>
      <c r="G36" t="n">
        <v>552</v>
      </c>
      <c r="H36" t="n">
        <v>10</v>
      </c>
      <c r="I36" t="n">
        <v>15</v>
      </c>
    </row>
    <row r="39">
      <c r="A39" s="4" t="inlineStr">
        <is>
          <t>Panel regressions (SHOCK YEARS ONLY): growth_surprise = const + country FE + time FE + beta*X</t>
        </is>
      </c>
    </row>
    <row r="40">
      <c r="A40" s="7" t="inlineStr">
        <is>
          <t>(same specification as above, restricted to the 2020/2022/2025 shock-years sample -- CAUTION: far fewer observations and degrees of freedom than the full-sample regression, so treat these standard errors with extra caution)</t>
        </is>
      </c>
    </row>
    <row r="42">
      <c r="A42" s="2" t="inlineStr">
        <is>
          <t>Explanatory variable</t>
        </is>
      </c>
      <c r="B42" s="2" t="inlineStr">
        <is>
          <t>beta</t>
        </is>
      </c>
      <c r="C42" s="2" t="inlineStr">
        <is>
          <t>SE</t>
        </is>
      </c>
      <c r="D42" s="2" t="inlineStr">
        <is>
          <t>t-stat</t>
        </is>
      </c>
      <c r="E42" s="2" t="inlineStr">
        <is>
          <t>p-value</t>
        </is>
      </c>
      <c r="F42" s="2" t="inlineStr">
        <is>
          <t>R-squared</t>
        </is>
      </c>
      <c r="G42" s="2" t="inlineStr">
        <is>
          <t>N (obs)</t>
        </is>
      </c>
      <c r="H42" s="2" t="inlineStr">
        <is>
          <t>N (countries)</t>
        </is>
      </c>
      <c r="I42" s="2" t="inlineStr">
        <is>
          <t>N (years)</t>
        </is>
      </c>
    </row>
    <row r="43">
      <c r="A43" t="inlineStr">
        <is>
          <t>ICT investment share (data_ict_share_yrs)</t>
        </is>
      </c>
      <c r="B43" t="n">
        <v>30.5973</v>
      </c>
      <c r="C43" t="n">
        <v>6.5552</v>
      </c>
      <c r="D43" t="n">
        <v>4.668</v>
      </c>
      <c r="E43" t="n">
        <v>0</v>
      </c>
      <c r="F43" t="n">
        <v>0.5644</v>
      </c>
      <c r="G43" t="n">
        <v>60</v>
      </c>
      <c r="H43" t="n">
        <v>10</v>
      </c>
      <c r="I43" t="n">
        <v>3</v>
      </c>
    </row>
    <row r="44">
      <c r="A44" t="inlineStr">
        <is>
          <t>AI/ICT-related HS export share (data_hs_export_share_yrs)</t>
        </is>
      </c>
      <c r="B44" t="n">
        <v>60.4857</v>
      </c>
      <c r="C44" t="n">
        <v>151.7438</v>
      </c>
      <c r="D44" t="n">
        <v>0.399</v>
      </c>
      <c r="E44" t="n">
        <v>0.6919999999999999</v>
      </c>
      <c r="F44" t="n">
        <v>0.3646</v>
      </c>
      <c r="G44" t="n">
        <v>60</v>
      </c>
      <c r="H44" t="n">
        <v>10</v>
      </c>
      <c r="I44" t="n">
        <v>3</v>
      </c>
    </row>
    <row r="45">
      <c r="A45" t="inlineStr">
        <is>
          <t>National vs. semiconductor index correlation (data_stock_corr_yrs)</t>
        </is>
      </c>
      <c r="B45" t="n">
        <v>-3.3272</v>
      </c>
      <c r="C45" t="n">
        <v>2.3361</v>
      </c>
      <c r="D45" t="n">
        <v>-1.424</v>
      </c>
      <c r="E45" t="n">
        <v>0.161</v>
      </c>
      <c r="F45" t="n">
        <v>0.3888</v>
      </c>
      <c r="G45" t="n">
        <v>60</v>
      </c>
      <c r="H45" t="n">
        <v>10</v>
      </c>
      <c r="I45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0.008566243939262494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0.008566243939262494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0.008566243939262494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0.008566243939262494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0.008943056702231925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0.008943056702231925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0.008943056702231925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0.008943056702231925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0.001832777504202993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0.001832777504202993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0.001832777504202993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0.001832777504202993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0.001483770068217442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0.001483770068217442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0.001483770068217442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0.001483770068217442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0.001280220910107982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0.001280220910107982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0.001280220910107982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0.001280220910107982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0.001372182399148419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0.001372182399148419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0.001372182399148419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0.001372182399148419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0.001372182399148419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0.001372182399148419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0.001372182399148419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0.001372182399148419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0.004824955488743948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0.004824955488743948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0.004824955488743948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0.004824955488743948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0.005380680042740654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0.005380680042740654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0.005380680042740654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0.005380680042740654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0.006243357630701184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0.006243357630701184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0.006243357630701184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0.006243357630701184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0.006820962708531293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0.006820962708531293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0.006820962708531293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0.006820962708531293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0.007839231144125004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0.007839231144125004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0.007839231144125004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0.007839231144125004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0.007735675507701605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0.007735675507701605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0.007735675507701605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0.007735675507701605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0.007605494542872103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0.007605494542872103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0.007605494542872103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0.007605494542872103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0.008268380967259965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0.008268380967259965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0.008268380967259965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0.008268380967259965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0.0009860279111288427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0.0009860279111288427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0.0009402975419223672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0.0009402975419223672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0.0009402975419223672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0.0009402975419223672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0.0009163700818761272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0.0009163700818761272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0.0009163700818761272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0.0009163700818761272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0.0009267980245679168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0.0009267980245679168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0.0009267980245679168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0.0009267980245679168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0.0008849578540893249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0.0008849578540893249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0.0008849578540893249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0.0008849578540893249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0.001019463325685038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0.001019463325685038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0.001019463325685038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0.001019463325685038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0.001030961216508944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0.001030961216508944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0.001030961216508944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0.001030961216508944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0.0009497812540900702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0.0009497812540900702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0.0009497812540900702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0.0009497812540900702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0.002221772318620354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0.002221772318620354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0.002221772318620354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0.002221772318620354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0.002272974309156311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0.002272974309156311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0.002272974309156311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0.002272974309156311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0.002299560867557549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0.002299560867557549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0.002299560867557549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0.002299560867557549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0.002384238340499143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0.002384238340499143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0.002384238340499143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0.002384238340499143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0.002622466362910951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0.002622466362910951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0.002622466362910951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0.002622466362910951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0.002488410901101196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0.002488410901101196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0.002488410901101196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0.002488410901101196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0.002488410901101196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0.002488410901101196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0.002488410901101196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0.002488410901101196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0.002824804133814965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0.002824804133814965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0.002824804133814965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0.002824804133814965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0.002764353769076867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0.002764353769076867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0.002764353769076867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0.002764353769076867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0.003249572382640057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0.003249572382640057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0.003249572382640057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0.003249572382640057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0.003049990416659623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0.003049990416659623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0.003049990416659623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0.003049990416659623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0.01532593479956511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0.01532593479956511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0.01379857452669039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0.01379857452669039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0.01379857452669039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0.01379857452669039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0.009227892508504672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0.009227892508504672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0.009227892508504672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0.009227892508504672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0.007446751783709424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0.007446751783709424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0.007446751783709424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0.007446751783709424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0.007243894594535597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0.007243894594535597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0.007243894594535597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0.007243894594535597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0.00704815528865374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0.00704815528865374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0.00704815528865374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0.00704815528865374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0.001245355609992455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0.001245355609992455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0.001245355609992455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0.001245355609992455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0.001167618803147618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0.001167618803147618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0.001167618803147618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0.001167618803147618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0.00162386443036395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0.00162386443036395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0.00162386443036395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0.00162386443036395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0.03522180816929609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0.03522180816929609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0.02909052542154895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0.02909052542154895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0.02909052542154895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0.02909052542154895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0.03268592275656068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0.03268592275656068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0.03268592275656068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0.03268592275656068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0.03189886959772775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0.03189886959772775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0.03189886959772775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0.03189886959772775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0.03601788437187469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0.03601788437187469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0.03601788437187469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0.03601788437187469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0.03705475449991772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0.03705475449991772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0.03705475449991772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0.03705475449991772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0.04222962087867847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0.04222962087867847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0.04222962087867847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0.04222962087867847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0.0007222621990231433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0.0007222621990231433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0.0007222621990231433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0.0007222621990231433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0.0006126876536365637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0.0006126876536365637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0.0006126876536365637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0.0006126876536365637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0.000667117171235748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0.000667117171235748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0.000667117171235748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0.000667117171235748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0.000539584455573183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0.000539584455573183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0.000539584455573183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0.000539584455573183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0.000533620216220976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0.000533620216220976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0.000533620216220976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0.000533620216220976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0.0004958960203764667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0.0004958960203764667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0.0004958960203764667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0.0004958960203764667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0.0008125064480951907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0.0008125064480951907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0.0008125064480951907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0.0008125064480951907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0.001131457114366643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0.001131457114366643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0.001131457114366643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0.001131457114366643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0.001543056079090352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0.001543056079090352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0.001543056079090352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0.001543056079090352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0.001072680533025191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0.001072680533025191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0.001072680533025191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0.001072680533025191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0.000998040117186402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0.000998040117186402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0.000998040117186402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0.000998040117186402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0.008566243939262494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0.008566243939262494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0.008566243939262494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0.008566243939262494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0.008943056702231925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0.008943056702231925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0.008943056702231925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0.008943056702231925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0.001280220910107982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0.001280220910107982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0.001280220910107982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0.001280220910107982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0.001372182399148419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0.001372182399148419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0.001372182399148419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0.001372182399148419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0.001372182399148419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0.001372182399148419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0.001372182399148419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0.001372182399148419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0.007839231144125004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0.007839231144125004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0.007839231144125004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0.007839231144125004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0.007735675507701605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0.007735675507701605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0.007735675507701605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0.007735675507701605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0.008268380967259965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0.008268380967259965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0.008268380967259965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0.008268380967259965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0.0009497812540900702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0.0009497812540900702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0.0009497812540900702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0.0009497812540900702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0.002622466362910951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0.002622466362910951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0.002622466362910951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0.002622466362910951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0.002488410901101196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0.002488410901101196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0.002488410901101196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0.002488410901101196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0.002488410901101196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0.002488410901101196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0.002488410901101196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0.002488410901101196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0.003049990416659623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0.003049990416659623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0.003049990416659623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0.003049990416659623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0.007446751783709424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0.007446751783709424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0.007446751783709424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0.007446751783709424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0.007243894594535597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0.007243894594535597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0.007243894594535597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0.007243894594535597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0.00704815528865374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0.00704815528865374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0.00704815528865374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0.00704815528865374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0.00162386443036395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0.00162386443036395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0.00162386443036395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0.00162386443036395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0.04222962087867847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0.04222962087867847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0.04222962087867847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0.04222962087867847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0.001131457114366643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0.001131457114366643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0.001131457114366643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0.001131457114366643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0.001543056079090352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0.001543056079090352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0.001543056079090352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0.001543056079090352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0.001072680533025191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0.001072680533025191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0.001072680533025191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0.001072680533025191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0.000998040117186402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0.000998040117186402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0.000998040117186402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0.000998040117186402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0.001832777504202993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0.001832777504202993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0.001832777504202993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0.001832777504202993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0.001483770068217442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0.001483770068217442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0.001483770068217442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0.001483770068217442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0.004824955488743948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0.004824955488743948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0.004824955488743948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0.004824955488743948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0.006243357630701184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0.006243357630701184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0.006243357630701184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0.006243357630701184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0.006820962708531293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0.006820962708531293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0.006820962708531293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0.006820962708531293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0.0009860279111288427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0.0009860279111288427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0.0009402975419223672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0.0009402975419223672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0.0009402975419223672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0.0009402975419223672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0.0009163700818761272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0.0009163700818761272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0.0009163700818761272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0.0009163700818761272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0.0009267980245679168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0.0009267980245679168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0.0009267980245679168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0.0009267980245679168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0.0008849578540893249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0.0008849578540893249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0.0008849578540893249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0.0008849578540893249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0.001019463325685038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0.001019463325685038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0.001019463325685038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0.001019463325685038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0.001030961216508944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0.001030961216508944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0.001030961216508944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0.001030961216508944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0.002221772318620354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0.002221772318620354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0.002221772318620354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0.002221772318620354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0.002272974309156311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0.002272974309156311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0.002272974309156311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0.002272974309156311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0.002299560867557549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0.002299560867557549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0.002299560867557549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0.002299560867557549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0.002384238340499143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0.002384238340499143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0.002384238340499143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0.002384238340499143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0.002824804133814965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0.002824804133814965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0.002824804133814965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0.002824804133814965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0.002764353769076867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0.002764353769076867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0.002764353769076867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0.002764353769076867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0.003249572382640057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0.003249572382640057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0.003249572382640057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0.003249572382640057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0.01532593479956511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0.01532593479956511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0.01379857452669039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0.01379857452669039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0.01379857452669039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0.01379857452669039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0.001245355609992455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0.001245355609992455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0.001245355609992455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0.001245355609992455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0.001167618803147618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0.001167618803147618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0.001167618803147618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0.001167618803147618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0.03522180816929609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0.03522180816929609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0.02909052542154895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0.02909052542154895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0.02909052542154895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0.02909052542154895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0.03189886959772775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0.03189886959772775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0.03189886959772775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0.03189886959772775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0.03601788437187469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0.03601788437187469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0.03601788437187469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0.03601788437187469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0.03705475449991772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0.03705475449991772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0.03705475449991772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0.03705475449991772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0.0007222621990231433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0.0007222621990231433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0.0007222621990231433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0.0007222621990231433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0.0006126876536365637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0.0006126876536365637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0.0006126876536365637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0.0006126876536365637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0.000667117171235748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0.000667117171235748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0.000667117171235748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0.000667117171235748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0.000539584455573183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0.000539584455573183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0.000539584455573183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0.000539584455573183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0.000533620216220976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0.000533620216220976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0.000533620216220976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0.000533620216220976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0.0004958960203764667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0.0004958960203764667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0.0004958960203764667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0.0004958960203764667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0.0008125064480951907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0.0008125064480951907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0.0008125064480951907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0.0008125064480951907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0.3559829624806633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0.3559829624806633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0.3121540842173101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0.3121540842173101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-0.1018077058059029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-0.1018077058059029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0.09086950763092645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0.09086950763092645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0.2906032720380992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0.2906032720380992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-0.02225989615286217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-0.02225989615286217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0.3539575313263112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0.3539575313263112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0.134751907544934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0.134751907544934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0.6040816483706614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0.6040816483706614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0.09300678985233143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0.09300678985233143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0.3559829624806633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0.3559829624806633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0.3121540842173101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0.3121540842173101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-0.1018077058059029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-0.1018077058059029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0.09086950763092645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0.09086950763092645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0.2906032720380992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0.2906032720380992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-0.02225989615286217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-0.02225989615286217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0.3539575313263112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0.3539575313263112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0.134751907544934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0.134751907544934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0.6040816483706614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0.6040816483706614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0.09300678985233143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0.09300678985233143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0.007677311344148788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0.007677311344148788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0.05302296885575991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0.05302296885575991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0.05302296885575991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0.05302296885575991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0.05958946952274857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0.05958946952274857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0.05958946952274857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0.05958946952274857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0.09617746962626114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0.09617746962626114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0.09617746962626114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0.09617746962626114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0.1056000115914431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0.1056000115914431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0.1056000115914431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0.1056000115914431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0.1267719413234721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0.1267719413234721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0.1267719413234721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0.1267719413234721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0.1660956920665198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0.1660956920665198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0.1660956920665198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0.1660956920665198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0.1605865470863667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0.1605865470863667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0.1605865470863667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0.1605865470863667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0.3483225405944791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0.3483225405944791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0.3483225405944791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0.3483225405944791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0.3091063485621471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0.3091063485621471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0.3091063485621471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0.3091063485621471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0.1731590937268616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0.1731590937268616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0.1731590937268616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0.1731590937268616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0.4897775056791635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0.4897775056791635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0.4897775056791635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0.4897775056791635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0.1513774400939549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0.1513774400939549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0.1513774400939549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0.1513774400939549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0.6652571018505543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0.6652571018505543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0.6652571018505543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0.6652571018505543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0.3128311611119584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0.3128311611119584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0.3128311611119584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0.3128311611119584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0.3549253133620803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0.3549253133620803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0.3549253133620803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0.3549253133620803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0.8845732944795045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0.8845732944795045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0.8845732944795045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0.8845732944795045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0.7822299027838661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0.7822299027838661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0.7822299027838661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0.7822299027838661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0.9017256060395069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0.9017256060395069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0.9017256060395069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0.9017256060395069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0.7009977438789824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0.7009977438789824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0.7009977438789824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0.7009977438789824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1.124032332732111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1.124032332732111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1.124032332732111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1.124032332732111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1.388852621215412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1.388852621215412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1.388852621215412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1.388852621215412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1.103176680510146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1.103176680510146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1.103176680510146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1.103176680510146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1.727810237069963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1.727810237069963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1.727810237069963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1.727810237069963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2.483110415051906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2.483110415051906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2.483110415051906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2.483110415051906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2.636304398649018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2.636304398649018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2.636304398649018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2.636304398649018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3.777613174838668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3.777613174838668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3.777613174838668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3.777613174838668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4.120789100512829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4.120789100512829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4.120789100512829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4.120789100512829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6.815691930724731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6.815691930724731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6.815691930724731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6.815691930724731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8.176158377540112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8.176158377540112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8.176158377540112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8.176158377540112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7.687018411363156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7.687018411363156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7.687018411363156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7.687018411363156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7.109230495453148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7.109230495453148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7.109230495453148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7.109230495453148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7.280321526767084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7.280321526767084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7.280321526767084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7.280321526767084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0.2475573113650236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0.2475573113650236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0.2475573113650236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0.2475573113650236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0.3267107684318054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0.3267107684318054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0.3267107684318054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0.3267107684318054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0.3105367112400245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0.3105367112400245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0.3105367112400245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0.3105367112400245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0.3714231777604068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0.3714231777604068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0.3714231777604068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0.3714231777604068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0.4611968442438833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0.4611968442438833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0.4611968442438833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0.4611968442438833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0.604158921189814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0.604158921189814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0.604158921189814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0.604158921189814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0.9567497242089777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0.9567497242089777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0.9567497242089777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0.9567497242089777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0.7506448684246857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0.7506448684246857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0.7506448684246857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0.7506448684246857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0.9908078367736068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0.9908078367736068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0.9908078367736068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0.9908078367736068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0.8048560270887087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0.8048560270887087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0.8048560270887087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0.8048560270887087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0.9040995377184335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0.9040995377184335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0.9040995377184335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0.9040995377184335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0.60506274617036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0.60506274617036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0.60506274617036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0.60506274617036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0.5247310895755896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0.5247310895755896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0.5247310895755896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0.5247310895755896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1.015792257233931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1.015792257233931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1.015792257233931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1.015792257233931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1.179774587977132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1.179774587977132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1.179774587977132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1.179774587977132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1.607545862030811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1.607545862030811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1.607545862030811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1.607545862030811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1.637512686458964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1.637512686458964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1.637512686458964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1.637512686458964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1.529733934023222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1.529733934023222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1.529733934023222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1.529733934023222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1.409708663565979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1.409708663565979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1.409708663565979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1.409708663565979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1.308722193926259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1.308722193926259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1.308722193926259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1.308722193926259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2.465185230482875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2.465185230482875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2.465185230482875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2.465185230482875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1.313253684497368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1.313253684497368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1.313253684497368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1.313253684497368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1.724983349119061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1.724983349119061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1.724983349119061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1.724983349119061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3.57108006486078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3.57108006486078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3.57108006486078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3.57108006486078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5.225476812197871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5.225476812197871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5.225476812197871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5.225476812197871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5.44193097188617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5.44193097188617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5.44193097188617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5.44193097188617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5.17349329356537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5.17349329356537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5.17349329356537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5.17349329356537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6.330557601542645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6.330557601542645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6.330557601542645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6.330557601542645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7.379051811415314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7.379051811415314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7.379051811415314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7.379051811415314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9.634739451684258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9.634739451684258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9.634739451684258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9.634739451684258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10.29193780166767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10.29193780166767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10.29193780166767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10.29193780166767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11.0988927927906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11.0988927927906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11.0988927927906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11.0988927927906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10.19774333808712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10.19774333808712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10.19774333808712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10.19774333808712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0.04072421986613106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0.04072421986613106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0.04072421986613106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0.04072421986613106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0.04946154241423438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0.04946154241423438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0.04946154241423438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0.04946154241423438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0.07323097595720542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0.07323097595720542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0.07323097595720542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0.07323097595720542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0.064420530915232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0.064420530915232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0.064420530915232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0.064420530915232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0.08451228512832766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0.08451228512832766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0.08451228512832766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0.08451228512832766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0.08296364641818736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0.08296364641818736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0.08296364641818736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0.08296364641818736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0.1125684434133815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0.1125684434133815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0.1125684434133815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0.1125684434133815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0.1271052692901665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0.1271052692901665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0.1271052692901665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0.1271052692901665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0.08284304382170493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0.08284304382170493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0.08284304382170493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0.08284304382170493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0.1177447291038284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0.1177447291038284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0.1177447291038284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0.1177447291038284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0.1147657704770987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0.1147657704770987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0.1147657704770987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0.1147657704770987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0.06449572170475472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0.06449572170475472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0.06449572170475472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0.06449572170475472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0.04895947464224041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0.04895947464224041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0.04895947464224041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0.04895947464224041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0.04787299148058688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0.04787299148058688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0.04787299148058688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0.04787299148058688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0.07975220988389074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0.07975220988389074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0.07975220988389074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0.07975220988389074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0.07456030390779872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0.07456030390779872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0.07456030390779872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0.07456030390779872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0.1056774945749017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0.1056774945749017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0.1056774945749017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0.1056774945749017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0.194316468208229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0.194316468208229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0.194316468208229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0.194316468208229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0.1820226390657338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0.1820226390657338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0.1820226390657338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0.1820226390657338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0.177052568927489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0.177052568927489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0.177052568927489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0.177052568927489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0.2745598324981645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0.2745598324981645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0.2745598324981645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0.2745598324981645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0.4082085189590179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0.4082085189590179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0.4082085189590179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0.4082085189590179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0.6446922739568922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0.6446922739568922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0.6446922739568922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0.6446922739568922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0.8886943821939181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0.8886943821939181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0.8886943821939181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0.8886943821939181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0.9137555620110694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0.9137555620110694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0.9137555620110694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0.9137555620110694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1.074386415797439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1.074386415797439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1.074386415797439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1.074386415797439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1.104616251936025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1.104616251936025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1.104616251936025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1.104616251936025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1.670735682705939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1.670735682705939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1.670735682705939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1.670735682705939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1.619800877878083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1.619800877878083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1.619800877878083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1.619800877878083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1.844354431086444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1.844354431086444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1.844354431086444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1.844354431086444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1.85880803934477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1.85880803934477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1.85880803934477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1.85880803934477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1.822594343533637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1.822594343533637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1.822594343533637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1.822594343533637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2.036323027173855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2.036323027173855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2.036323027173855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2.036323027173855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0.1369123206057954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0.1369123206057954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0.1369123206057954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0.1369123206057954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0.1511138104945635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0.1511138104945635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0.1511138104945635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0.1511138104945635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0.1244056097882334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0.1244056097882334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0.1244056097882334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0.1244056097882334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0.2212089622811068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0.2212089622811068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0.2212089622811068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0.2212089622811068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0.3946502189430213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0.3946502189430213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0.3946502189430213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0.3946502189430213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0.2585841869305087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0.2585841869305087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0.2585841869305087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0.2585841869305087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0.4234387647338496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0.4234387647338496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0.4234387647338496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0.4234387647338496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0.4233952595104215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0.4233952595104215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0.4233952595104215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0.4233952595104215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0.2332189462001916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0.2332189462001916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0.2332189462001916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0.2332189462001916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0.3009952407635847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0.3009952407635847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0.3009952407635847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0.3009952407635847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0.1926127574837464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0.1926127574837464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0.1926127574837464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0.1926127574837464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0.1267719413234721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0.1267719413234721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0.1267719413234721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0.1267719413234721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0.1660956920665198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0.1660956920665198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0.1660956920665198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0.1660956920665198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0.1605865470863667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0.1605865470863667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0.1605865470863667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0.1605865470863667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0.3483225405944791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0.3483225405944791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0.3483225405944791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0.3483225405944791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0.3091063485621471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0.3091063485621471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0.3091063485621471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0.3091063485621471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0.1731590937268616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0.1731590937268616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0.1731590937268616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0.1731590937268616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0.8845732944795045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0.8845732944795045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0.8845732944795045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0.8845732944795045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0.7822299027838661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0.7822299027838661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0.7822299027838661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0.7822299027838661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0.9017256060395069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0.9017256060395069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0.9017256060395069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0.9017256060395069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0.7009977438789824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0.7009977438789824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0.7009977438789824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0.7009977438789824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1.124032332732111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1.124032332732111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1.124032332732111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1.124032332732111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1.388852621215412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1.388852621215412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1.388852621215412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1.388852621215412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4.120789100512829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4.120789100512829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4.120789100512829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4.120789100512829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6.815691930724731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6.815691930724731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6.815691930724731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6.815691930724731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8.176158377540112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8.176158377540112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8.176158377540112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8.176158377540112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7.687018411363156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7.687018411363156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7.687018411363156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7.687018411363156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7.109230495453148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7.109230495453148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7.109230495453148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7.109230495453148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7.280321526767084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7.280321526767084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7.280321526767084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7.280321526767084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0.604158921189814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0.604158921189814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0.604158921189814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0.604158921189814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0.9567497242089777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0.9567497242089777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0.9567497242089777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0.9567497242089777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0.7506448684246857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0.7506448684246857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0.7506448684246857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0.7506448684246857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0.9908078367736068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0.9908078367736068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0.9908078367736068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0.9908078367736068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0.8048560270887087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0.8048560270887087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0.8048560270887087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0.8048560270887087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0.9040995377184335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0.9040995377184335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0.9040995377184335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0.9040995377184335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1.637512686458964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1.637512686458964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1.637512686458964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1.637512686458964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1.529733934023222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1.529733934023222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1.529733934023222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1.529733934023222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1.409708663565979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1.409708663565979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1.409708663565979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1.409708663565979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1.308722193926259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1.308722193926259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1.308722193926259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1.308722193926259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2.465185230482875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2.465185230482875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2.465185230482875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2.465185230482875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1.313253684497368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1.313253684497368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1.313253684497368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1.313253684497368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6.330557601542645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6.330557601542645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6.330557601542645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6.330557601542645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7.379051811415314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7.379051811415314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7.379051811415314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7.379051811415314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9.634739451684258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9.634739451684258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9.634739451684258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9.634739451684258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10.29193780166767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10.29193780166767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10.29193780166767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10.29193780166767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11.0988927927906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11.0988927927906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11.0988927927906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11.0988927927906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10.19774333808712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10.19774333808712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10.19774333808712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10.19774333808712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0.08296364641818736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0.08296364641818736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0.08296364641818736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0.08296364641818736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0.1125684434133815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0.1125684434133815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0.1125684434133815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0.1125684434133815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0.1271052692901665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0.1271052692901665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0.1271052692901665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0.1271052692901665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0.08284304382170493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0.08284304382170493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0.08284304382170493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0.08284304382170493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0.1177447291038284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0.1177447291038284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0.1177447291038284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0.1177447291038284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0.1147657704770987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0.1147657704770987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0.1147657704770987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0.1147657704770987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0.1056774945749017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0.1056774945749017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0.1056774945749017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0.1056774945749017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0.194316468208229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0.194316468208229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0.194316468208229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0.194316468208229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0.1820226390657338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0.1820226390657338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0.1820226390657338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0.1820226390657338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0.177052568927489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0.177052568927489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0.177052568927489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0.177052568927489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0.2745598324981645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0.2745598324981645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0.2745598324981645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0.2745598324981645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0.4082085189590179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0.4082085189590179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0.4082085189590179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0.4082085189590179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1.670735682705939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1.670735682705939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1.670735682705939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1.670735682705939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1.619800877878083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1.619800877878083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1.619800877878083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1.619800877878083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1.844354431086444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1.844354431086444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1.844354431086444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1.844354431086444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1.85880803934477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1.85880803934477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1.85880803934477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1.85880803934477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1.822594343533637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1.822594343533637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1.822594343533637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1.822594343533637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2.036323027173855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2.036323027173855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2.036323027173855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2.036323027173855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0.2585841869305087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0.2585841869305087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0.2585841869305087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0.2585841869305087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0.4234387647338496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0.4234387647338496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0.4234387647338496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0.4234387647338496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0.4233952595104215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0.4233952595104215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0.4233952595104215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0.4233952595104215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0.2332189462001916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0.2332189462001916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0.2332189462001916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0.2332189462001916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0.3009952407635847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0.3009952407635847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0.3009952407635847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0.3009952407635847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0.1926127574837464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0.1926127574837464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0.1926127574837464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0.1926127574837464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0.007677311344148788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0.007677311344148788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0.05302296885575991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0.05302296885575991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0.05302296885575991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0.05302296885575991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0.05958946952274857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0.05958946952274857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0.05958946952274857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0.05958946952274857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0.09617746962626114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0.09617746962626114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0.09617746962626114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0.09617746962626114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0.1056000115914431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0.1056000115914431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0.1056000115914431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0.1056000115914431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0.4897775056791635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0.4897775056791635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0.4897775056791635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0.4897775056791635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0.1513774400939549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0.1513774400939549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0.1513774400939549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0.1513774400939549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0.6652571018505543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0.6652571018505543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0.6652571018505543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0.6652571018505543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0.3128311611119584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0.3128311611119584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0.3128311611119584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0.3128311611119584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0.3549253133620803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0.3549253133620803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0.3549253133620803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0.3549253133620803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1.103176680510146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1.103176680510146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1.103176680510146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1.103176680510146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1.727810237069963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1.727810237069963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1.727810237069963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1.727810237069963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2.483110415051906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2.483110415051906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2.483110415051906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2.483110415051906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2.636304398649018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2.636304398649018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2.636304398649018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2.636304398649018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3.777613174838668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3.777613174838668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3.777613174838668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3.777613174838668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0.2475573113650236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0.2475573113650236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0.2475573113650236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0.2475573113650236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0.3267107684318054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0.3267107684318054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0.3267107684318054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0.3267107684318054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0.3105367112400245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0.3105367112400245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0.3105367112400245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0.3105367112400245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0.3714231777604068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0.3714231777604068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0.3714231777604068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0.3714231777604068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0.4611968442438833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0.4611968442438833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0.4611968442438833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0.4611968442438833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0.60506274617036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0.60506274617036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0.60506274617036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0.60506274617036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0.5247310895755896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0.5247310895755896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0.5247310895755896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0.5247310895755896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1.015792257233931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1.015792257233931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1.015792257233931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1.015792257233931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1.179774587977132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1.179774587977132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1.179774587977132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1.179774587977132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1.607545862030811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1.607545862030811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1.607545862030811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1.607545862030811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1.724983349119061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1.724983349119061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1.724983349119061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1.724983349119061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3.57108006486078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3.57108006486078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3.57108006486078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3.57108006486078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5.225476812197871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5.225476812197871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5.225476812197871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5.225476812197871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5.44193097188617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5.44193097188617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5.44193097188617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5.44193097188617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5.17349329356537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5.17349329356537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5.17349329356537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5.17349329356537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0.04072421986613106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0.04072421986613106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0.04072421986613106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0.04072421986613106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0.04946154241423438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0.04946154241423438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0.04946154241423438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0.04946154241423438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0.07323097595720542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0.07323097595720542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0.07323097595720542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0.07323097595720542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0.064420530915232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0.064420530915232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0.064420530915232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0.064420530915232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0.08451228512832766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0.08451228512832766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0.08451228512832766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0.08451228512832766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0.06449572170475472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0.06449572170475472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0.06449572170475472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0.06449572170475472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0.04895947464224041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0.04895947464224041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0.04895947464224041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0.04895947464224041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0.04787299148058688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0.04787299148058688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0.04787299148058688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0.04787299148058688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0.07975220988389074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0.07975220988389074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0.07975220988389074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0.07975220988389074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0.07456030390779872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0.07456030390779872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0.07456030390779872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0.07456030390779872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0.6446922739568922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0.6446922739568922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0.6446922739568922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0.6446922739568922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0.8886943821939181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0.8886943821939181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0.8886943821939181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0.8886943821939181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0.9137555620110694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0.9137555620110694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0.9137555620110694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0.9137555620110694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1.074386415797439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1.074386415797439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1.074386415797439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1.074386415797439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1.104616251936025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1.104616251936025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1.104616251936025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1.104616251936025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0.1369123206057954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0.1369123206057954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0.1369123206057954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0.1369123206057954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0.1511138104945635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0.1511138104945635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0.1511138104945635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0.1511138104945635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0.1244056097882334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0.1244056097882334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0.1244056097882334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0.1244056097882334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0.2212089622811068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0.2212089622811068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0.2212089622811068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0.2212089622811068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0.3946502189430213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0.3946502189430213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0.3946502189430213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0.3946502189430213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0.0009860279111288427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0.0009860279111288427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0.002221772318620354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0.002221772318620354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0.002221772318620354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0.002221772318620354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0.001245355609992455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0.001245355609992455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0.001245355609992455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0.001245355609992455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0.0007222621990231433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0.0007222621990231433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0.0007222621990231433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0.0007222621990231433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0.0009402975419223672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0.0009402975419223672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0.0009402975419223672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0.0009402975419223672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0.002272974309156311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0.002272974309156311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0.002272974309156311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0.002272974309156311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0.0006126876536365637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0.0006126876536365637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0.0006126876536365637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0.0006126876536365637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0.001832777504202993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0.001832777504202993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0.001832777504202993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0.001832777504202993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0.0009163700818761272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0.0009163700818761272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0.0009163700818761272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0.0009163700818761272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0.002299560867557549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0.002299560867557549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0.002299560867557549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0.002299560867557549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0.001167618803147618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0.001167618803147618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0.001167618803147618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0.001167618803147618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0.000667117171235748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0.000667117171235748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0.000667117171235748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0.000667117171235748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0.0009267980245679168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0.0009267980245679168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0.0009267980245679168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0.0009267980245679168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0.002384238340499143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0.002384238340499143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0.002384238340499143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0.002384238340499143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0.000539584455573183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0.000539584455573183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0.000539584455573183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0.000539584455573183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0.0008849578540893249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0.0008849578540893249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0.0008849578540893249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0.0008849578540893249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0.000533620216220976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0.000533620216220976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0.000533620216220976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0.000533620216220976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0.0004958960203764667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0.0004958960203764667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0.0004958960203764667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0.0004958960203764667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0.001019463325685038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0.001019463325685038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0.001019463325685038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0.001019463325685038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0.001483770068217442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0.001483770068217442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0.001483770068217442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0.001483770068217442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0.001030961216508944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0.001030961216508944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0.001030961216508944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0.001030961216508944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0.0008125064480951907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0.0008125064480951907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0.0008125064480951907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0.0008125064480951907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0.001280220910107982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0.001280220910107982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0.001280220910107982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0.001280220910107982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0.00162386443036395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0.00162386443036395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0.00162386443036395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0.00162386443036395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0.001131457114366643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0.001131457114366643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0.001131457114366643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0.001131457114366643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0.0009497812540900702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0.0009497812540900702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0.0009497812540900702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0.0009497812540900702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0.002622466362910951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0.002622466362910951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0.002622466362910951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0.002622466362910951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0.001543056079090352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0.001543056079090352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0.001543056079090352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0.001543056079090352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0.001072680533025191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0.001072680533025191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0.001072680533025191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0.001072680533025191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0.000998040117186402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0.000998040117186402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0.000998040117186402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0.000998040117186402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0.001372182399148419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0.001372182399148419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0.001372182399148419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0.001372182399148419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0.002488410901101196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0.002488410901101196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0.002488410901101196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0.002488410901101196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0.001372182399148419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0.001372182399148419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0.001372182399148419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0.001372182399148419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0.002488410901101196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0.002488410901101196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0.002488410901101196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0.002488410901101196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0.01532593479956511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0.01532593479956511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0.03522180816929609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0.03522180816929609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0.005150103845771746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0.005150103845771746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0.005150103845771746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0.005150103845771746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0.004824955488743948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0.004824955488743948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0.004824955488743948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0.004824955488743948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0.002824804133814965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0.002824804133814965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0.002824804133814965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0.002824804133814965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0.02909052542154895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0.02909052542154895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0.02909052542154895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0.02909052542154895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0.00524140280385746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0.00524140280385746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0.00524140280385746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0.00524140280385746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0.01379857452669039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0.01379857452669039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0.01379857452669039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0.01379857452669039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0.03268592275656068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0.03268592275656068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0.03268592275656068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0.03268592275656068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0.005380680042740654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0.005380680042740654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0.005380680042740654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0.005380680042740654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0.002764353769076867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0.002764353769076867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0.002764353769076867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0.002764353769076867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0.005341623295385426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0.005341623295385426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0.005341623295385426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0.005341623295385426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0.006243357630701184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0.006243357630701184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0.006243357630701184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0.006243357630701184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0.03189886959772775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0.03189886959772775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0.03189886959772775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0.03189886959772775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0.006820962708531293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0.006820962708531293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0.006820962708531293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0.006820962708531293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0.003249572382640057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0.003249572382640057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0.003249572382640057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0.003249572382640057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0.03601788437187469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0.03601788437187469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0.03601788437187469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0.03601788437187469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0.006350496657154401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0.006350496657154401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0.006350496657154401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0.006350496657154401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0.03705475449991772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0.03705475449991772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0.03705475449991772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0.03705475449991772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0.008566243939262494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0.008566243939262494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0.008566243939262494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0.008566243939262494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0.007839231144125004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0.007839231144125004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0.007839231144125004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0.007839231144125004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0.003049990416659623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0.003049990416659623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0.003049990416659623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0.003049990416659623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0.009227892508504672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0.009227892508504672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0.009227892508504672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0.009227892508504672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0.008943056702231925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0.008943056702231925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0.008943056702231925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0.008943056702231925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0.007735675507701605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0.007735675507701605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0.007735675507701605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0.007735675507701605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0.007446751783709424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0.007446751783709424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0.007446751783709424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0.007446751783709424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0.04222962087867847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0.04222962087867847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0.04222962087867847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0.04222962087867847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0.007605494542872103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0.007605494542872103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0.007605494542872103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0.007605494542872103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0.007243894594535597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0.007243894594535597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0.007243894594535597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0.007243894594535597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0.008268380967259965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0.008268380967259965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0.008268380967259965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0.008268380967259965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0.00704815528865374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0.00704815528865374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0.00704815528865374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0.00704815528865374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0.001280220910107982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0.001280220910107982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0.00162386443036395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0.00162386443036395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0.001131457114366643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0.001131457114366643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0.001072680533025191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0.001072680533025191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0.001372182399148419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0.001372182399148419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0.002488410901101196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0.002488410901101196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0.008566243939262494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0.008566243939262494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0.007839231144125004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0.007839231144125004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0.003049990416659623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0.003049990416659623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0.009227892508504672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0.009227892508504672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0.007605494542872103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0.007605494542872103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0.007243894594535597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0.007243894594535597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0.3559829624806633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0.3559829624806633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0.3121540842173101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0.3121540842173101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-0.1018077058059029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-0.1018077058059029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0.09086950763092645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0.09086950763092645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0.2906032720380992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0.2906032720380992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-0.02225989615286217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-0.02225989615286217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0.3539575313263112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0.3539575313263112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0.134751907544934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0.134751907544934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0.6040816483706614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0.6040816483706614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0.09300678985233143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0.09300678985233143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0.007677311344148788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0.007677311344148788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0.4897775056791635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0.4897775056791635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0.4897775056791635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0.4897775056791635</v>
      </c>
      <c r="I9" t="inlineStr">
        <is>
          <t>Below median</t>
        </is>
      </c>
    </row>
    <row r="10">
      <c r="A10" t="inlineStr">
        <is>
          <t>ES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1.729820895323719</v>
      </c>
      <c r="F10" t="n">
        <v>3.980574024380553</v>
      </c>
      <c r="G10">
        <f>IF(OR(F10="",E10=""),"",F10-E10)</f>
        <v/>
      </c>
      <c r="H10" t="n">
        <v>0.2475573113650236</v>
      </c>
      <c r="I10" t="inlineStr">
        <is>
          <t>Below median</t>
        </is>
      </c>
    </row>
    <row r="11">
      <c r="A11" t="inlineStr">
        <is>
          <t>ES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2.057855009699994</v>
      </c>
      <c r="F11" t="n">
        <v>3.980574024380553</v>
      </c>
      <c r="G11">
        <f>IF(OR(F11="",E11=""),"",F11-E11)</f>
        <v/>
      </c>
      <c r="H11" t="n">
        <v>0.2475573113650236</v>
      </c>
      <c r="I11" t="inlineStr">
        <is>
          <t>Below median</t>
        </is>
      </c>
    </row>
    <row r="12">
      <c r="A12" t="inlineStr">
        <is>
          <t>ES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3.133021754661636</v>
      </c>
      <c r="F12" t="n">
        <v>3.980574024380553</v>
      </c>
      <c r="G12">
        <f>IF(OR(F12="",E12=""),"",F12-E12)</f>
        <v/>
      </c>
      <c r="H12" t="n">
        <v>0.2475573113650236</v>
      </c>
      <c r="I12" t="inlineStr">
        <is>
          <t>Below median</t>
        </is>
      </c>
    </row>
    <row r="13">
      <c r="A13" t="inlineStr">
        <is>
          <t>ES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2.816302349956712</v>
      </c>
      <c r="F13" t="n">
        <v>3.980574024380553</v>
      </c>
      <c r="G13">
        <f>IF(OR(F13="",E13=""),"",F13-E13)</f>
        <v/>
      </c>
      <c r="H13" t="n">
        <v>0.2475573113650236</v>
      </c>
      <c r="I13" t="inlineStr">
        <is>
          <t>Below median</t>
        </is>
      </c>
    </row>
    <row r="14">
      <c r="A14" t="inlineStr">
        <is>
          <t>IE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3.622166591088383</v>
      </c>
      <c r="F14" t="n">
        <v>21.95074465450742</v>
      </c>
      <c r="G14">
        <f>IF(OR(F14="",E14=""),"",F14-E14)</f>
        <v/>
      </c>
      <c r="H14" t="n">
        <v>0.04072421986613106</v>
      </c>
      <c r="I14" t="inlineStr">
        <is>
          <t>Below median</t>
        </is>
      </c>
    </row>
    <row r="15">
      <c r="A15" t="inlineStr">
        <is>
          <t>IE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2.99572233370986</v>
      </c>
      <c r="F15" t="n">
        <v>21.95074465450742</v>
      </c>
      <c r="G15">
        <f>IF(OR(F15="",E15=""),"",F15-E15)</f>
        <v/>
      </c>
      <c r="H15" t="n">
        <v>0.04072421986613106</v>
      </c>
      <c r="I15" t="inlineStr">
        <is>
          <t>Below median</t>
        </is>
      </c>
    </row>
    <row r="16">
      <c r="A16" t="inlineStr">
        <is>
          <t>IE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6.044934494316778</v>
      </c>
      <c r="F16" t="n">
        <v>21.95074465450742</v>
      </c>
      <c r="G16">
        <f>IF(OR(F16="",E16=""),"",F16-E16)</f>
        <v/>
      </c>
      <c r="H16" t="n">
        <v>0.04072421986613106</v>
      </c>
      <c r="I16" t="inlineStr">
        <is>
          <t>Below median</t>
        </is>
      </c>
    </row>
    <row r="17">
      <c r="A17" t="inlineStr">
        <is>
          <t>IE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3.607041892993634</v>
      </c>
      <c r="F17" t="n">
        <v>21.95074465450742</v>
      </c>
      <c r="G17">
        <f>IF(OR(F17="",E17=""),"",F17-E17)</f>
        <v/>
      </c>
      <c r="H17" t="n">
        <v>0.04072421986613106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0.6287297389490742</v>
      </c>
      <c r="F18" t="n">
        <v>0.7428515339022007</v>
      </c>
      <c r="G18">
        <f>IF(OR(F18="",E18=""),"",F18-E18)</f>
        <v/>
      </c>
      <c r="H18" t="n">
        <v>0.06449572170475472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1.229987574853153</v>
      </c>
      <c r="F19" t="n">
        <v>0.7428515339022007</v>
      </c>
      <c r="G19">
        <f>IF(OR(F19="",E19=""),"",F19-E19)</f>
        <v/>
      </c>
      <c r="H19" t="n">
        <v>0.06449572170475472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0.8666535098946104</v>
      </c>
      <c r="F20" t="n">
        <v>0.7428515339022007</v>
      </c>
      <c r="G20">
        <f>IF(OR(F20="",E20=""),"",F20-E20)</f>
        <v/>
      </c>
      <c r="H20" t="n">
        <v>0.06449572170475472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0.6068597463795955</v>
      </c>
      <c r="F21" t="n">
        <v>0.7428515339022007</v>
      </c>
      <c r="G21">
        <f>IF(OR(F21="",E21=""),"",F21-E21)</f>
        <v/>
      </c>
      <c r="H21" t="n">
        <v>0.06449572170475472</v>
      </c>
      <c r="I21" t="inlineStr">
        <is>
          <t>Below median</t>
        </is>
      </c>
    </row>
    <row r="22">
      <c r="A22" t="inlineStr">
        <is>
          <t>PT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1.29819266835165</v>
      </c>
      <c r="F22" t="n">
        <v>1.577275555295227</v>
      </c>
      <c r="G22">
        <f>IF(OR(F22="",E22=""),"",F22-E22)</f>
        <v/>
      </c>
      <c r="H22" t="n">
        <v>0.1369123206057954</v>
      </c>
      <c r="I22" t="inlineStr">
        <is>
          <t>Below median</t>
        </is>
      </c>
    </row>
    <row r="23">
      <c r="A23" t="inlineStr">
        <is>
          <t>PT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1.493187427376386</v>
      </c>
      <c r="F23" t="n">
        <v>1.577275555295227</v>
      </c>
      <c r="G23">
        <f>IF(OR(F23="",E23=""),"",F23-E23)</f>
        <v/>
      </c>
      <c r="H23" t="n">
        <v>0.1369123206057954</v>
      </c>
      <c r="I23" t="inlineStr">
        <is>
          <t>Below median</t>
        </is>
      </c>
    </row>
    <row r="24">
      <c r="A24" t="inlineStr">
        <is>
          <t>PT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1.741329419958926</v>
      </c>
      <c r="F24" t="n">
        <v>1.577275555295227</v>
      </c>
      <c r="G24">
        <f>IF(OR(F24="",E24=""),"",F24-E24)</f>
        <v/>
      </c>
      <c r="H24" t="n">
        <v>0.1369123206057954</v>
      </c>
      <c r="I24" t="inlineStr">
        <is>
          <t>Below median</t>
        </is>
      </c>
    </row>
    <row r="25">
      <c r="A25" t="inlineStr">
        <is>
          <t>PT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1.641885396577547</v>
      </c>
      <c r="F25" t="n">
        <v>1.577275555295227</v>
      </c>
      <c r="G25">
        <f>IF(OR(F25="",E25=""),"",F25-E25)</f>
        <v/>
      </c>
      <c r="H25" t="n">
        <v>0.1369123206057954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1.457100965016367</v>
      </c>
      <c r="F26" t="n">
        <v>2.149538672873777</v>
      </c>
      <c r="G26">
        <f>IF(OR(F26="",E26=""),"",F26-E26)</f>
        <v/>
      </c>
      <c r="H26" t="n">
        <v>0.05302296885575991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1.452866121230345</v>
      </c>
      <c r="F27" t="n">
        <v>2.149538672873777</v>
      </c>
      <c r="G27">
        <f>IF(OR(F27="",E27=""),"",F27-E27)</f>
        <v/>
      </c>
      <c r="H27" t="n">
        <v>0.05302296885575991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1.493056987075114</v>
      </c>
      <c r="F28" t="n">
        <v>2.149538672873777</v>
      </c>
      <c r="G28">
        <f>IF(OR(F28="",E28=""),"",F28-E28)</f>
        <v/>
      </c>
      <c r="H28" t="n">
        <v>0.05302296885575991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1.475667362159894</v>
      </c>
      <c r="F29" t="n">
        <v>2.149538672873777</v>
      </c>
      <c r="G29">
        <f>IF(OR(F29="",E29=""),"",F29-E29)</f>
        <v/>
      </c>
      <c r="H29" t="n">
        <v>0.05302296885575991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1.305005005659998</v>
      </c>
      <c r="F30" t="n">
        <v>1.186394667984409</v>
      </c>
      <c r="G30">
        <f>IF(OR(F30="",E30=""),"",F30-E30)</f>
        <v/>
      </c>
      <c r="H30" t="n">
        <v>0.1513774400939549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1.466822845081617</v>
      </c>
      <c r="F31" t="n">
        <v>1.186394667984409</v>
      </c>
      <c r="G31">
        <f>IF(OR(F31="",E31=""),"",F31-E31)</f>
        <v/>
      </c>
      <c r="H31" t="n">
        <v>0.1513774400939549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1.233699257987553</v>
      </c>
      <c r="F32" t="n">
        <v>1.186394667984409</v>
      </c>
      <c r="G32">
        <f>IF(OR(F32="",E32=""),"",F32-E32)</f>
        <v/>
      </c>
      <c r="H32" t="n">
        <v>0.1513774400939549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1.197250966203911</v>
      </c>
      <c r="F33" t="n">
        <v>1.186394667984409</v>
      </c>
      <c r="G33">
        <f>IF(OR(F33="",E33=""),"",F33-E33)</f>
        <v/>
      </c>
      <c r="H33" t="n">
        <v>0.1513774400939549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2.666458784768477</v>
      </c>
      <c r="F34" t="n">
        <v>2.87337241117204</v>
      </c>
      <c r="G34">
        <f>IF(OR(F34="",E34=""),"",F34-E34)</f>
        <v/>
      </c>
      <c r="H34" t="n">
        <v>0.3267107684318054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2.580427716628497</v>
      </c>
      <c r="F35" t="n">
        <v>2.87337241117204</v>
      </c>
      <c r="G35">
        <f>IF(OR(F35="",E35=""),"",F35-E35)</f>
        <v/>
      </c>
      <c r="H35" t="n">
        <v>0.3267107684318054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3.197748162237923</v>
      </c>
      <c r="F36" t="n">
        <v>2.87337241117204</v>
      </c>
      <c r="G36">
        <f>IF(OR(F36="",E36=""),"",F36-E36)</f>
        <v/>
      </c>
      <c r="H36" t="n">
        <v>0.3267107684318054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2.593468798334264</v>
      </c>
      <c r="F37" t="n">
        <v>2.87337241117204</v>
      </c>
      <c r="G37">
        <f>IF(OR(F37="",E37=""),"",F37-E37)</f>
        <v/>
      </c>
      <c r="H37" t="n">
        <v>0.3267107684318054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0.6607877668668882</v>
      </c>
      <c r="F38" t="n">
        <v>2.539463068065904</v>
      </c>
      <c r="G38">
        <f>IF(OR(F38="",E38=""),"",F38-E38)</f>
        <v/>
      </c>
      <c r="H38" t="n">
        <v>0.5247310895755896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1.029139259030432</v>
      </c>
      <c r="F39" t="n">
        <v>2.539463068065904</v>
      </c>
      <c r="G39">
        <f>IF(OR(F39="",E39=""),"",F39-E39)</f>
        <v/>
      </c>
      <c r="H39" t="n">
        <v>0.5247310895755896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0.8211412144474739</v>
      </c>
      <c r="F40" t="n">
        <v>2.539463068065904</v>
      </c>
      <c r="G40">
        <f>IF(OR(F40="",E40=""),"",F40-E40)</f>
        <v/>
      </c>
      <c r="H40" t="n">
        <v>0.5247310895755896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0.6804118321451558</v>
      </c>
      <c r="F41" t="n">
        <v>2.539463068065904</v>
      </c>
      <c r="G41">
        <f>IF(OR(F41="",E41=""),"",F41-E41)</f>
        <v/>
      </c>
      <c r="H41" t="n">
        <v>0.5247310895755896</v>
      </c>
      <c r="I41" t="inlineStr">
        <is>
          <t>Below median</t>
        </is>
      </c>
    </row>
    <row r="42">
      <c r="A42" t="inlineStr">
        <is>
          <t>IE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4.484124334232487</v>
      </c>
      <c r="F42" t="n">
        <v>1.172546278585649</v>
      </c>
      <c r="G42">
        <f>IF(OR(F42="",E42=""),"",F42-E42)</f>
        <v/>
      </c>
      <c r="H42" t="n">
        <v>0.04946154241423438</v>
      </c>
      <c r="I42" t="inlineStr">
        <is>
          <t>Below median</t>
        </is>
      </c>
    </row>
    <row r="43">
      <c r="A43" t="inlineStr">
        <is>
          <t>IE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3.476457466822014</v>
      </c>
      <c r="F43" t="n">
        <v>1.172546278585649</v>
      </c>
      <c r="G43">
        <f>IF(OR(F43="",E43=""),"",F43-E43)</f>
        <v/>
      </c>
      <c r="H43" t="n">
        <v>0.04946154241423438</v>
      </c>
      <c r="I43" t="inlineStr">
        <is>
          <t>Below median</t>
        </is>
      </c>
    </row>
    <row r="44">
      <c r="A44" t="inlineStr">
        <is>
          <t>IE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4.088441116262898</v>
      </c>
      <c r="F44" t="n">
        <v>1.172546278585649</v>
      </c>
      <c r="G44">
        <f>IF(OR(F44="",E44=""),"",F44-E44)</f>
        <v/>
      </c>
      <c r="H44" t="n">
        <v>0.04946154241423438</v>
      </c>
      <c r="I44" t="inlineStr">
        <is>
          <t>Below median</t>
        </is>
      </c>
    </row>
    <row r="45">
      <c r="A45" t="inlineStr">
        <is>
          <t>IE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4.868709807176286</v>
      </c>
      <c r="F45" t="n">
        <v>1.172546278585649</v>
      </c>
      <c r="G45">
        <f>IF(OR(F45="",E45=""),"",F45-E45)</f>
        <v/>
      </c>
      <c r="H45" t="n">
        <v>0.04946154241423438</v>
      </c>
      <c r="I45" t="inlineStr">
        <is>
          <t>Below median</t>
        </is>
      </c>
    </row>
    <row r="46">
      <c r="A46" t="inlineStr">
        <is>
          <t>IT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1.451276186737127</v>
      </c>
      <c r="F46" t="n">
        <v>1.34543552139666</v>
      </c>
      <c r="G46">
        <f>IF(OR(F46="",E46=""),"",F46-E46)</f>
        <v/>
      </c>
      <c r="H46" t="n">
        <v>0.04895947464224041</v>
      </c>
      <c r="I46" t="inlineStr">
        <is>
          <t>Below median</t>
        </is>
      </c>
    </row>
    <row r="47">
      <c r="A47" t="inlineStr">
        <is>
          <t>IT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1.410977849936668</v>
      </c>
      <c r="F47" t="n">
        <v>1.34543552139666</v>
      </c>
      <c r="G47">
        <f>IF(OR(F47="",E47=""),"",F47-E47)</f>
        <v/>
      </c>
      <c r="H47" t="n">
        <v>0.04895947464224041</v>
      </c>
      <c r="I47" t="inlineStr">
        <is>
          <t>Below median</t>
        </is>
      </c>
    </row>
    <row r="48">
      <c r="A48" t="inlineStr">
        <is>
          <t>IT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0.7078428394543756</v>
      </c>
      <c r="F48" t="n">
        <v>1.34543552139666</v>
      </c>
      <c r="G48">
        <f>IF(OR(F48="",E48=""),"",F48-E48)</f>
        <v/>
      </c>
      <c r="H48" t="n">
        <v>0.04895947464224041</v>
      </c>
      <c r="I48" t="inlineStr">
        <is>
          <t>Below median</t>
        </is>
      </c>
    </row>
    <row r="49">
      <c r="A49" t="inlineStr">
        <is>
          <t>IT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1.090462780977397</v>
      </c>
      <c r="F49" t="n">
        <v>1.34543552139666</v>
      </c>
      <c r="G49">
        <f>IF(OR(F49="",E49=""),"",F49-E49)</f>
        <v/>
      </c>
      <c r="H49" t="n">
        <v>0.04895947464224041</v>
      </c>
      <c r="I49" t="inlineStr">
        <is>
          <t>Below median</t>
        </is>
      </c>
    </row>
    <row r="50">
      <c r="A50" t="inlineStr">
        <is>
          <t>PT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1.659048842216615</v>
      </c>
      <c r="F50" t="n">
        <v>1.984392220411279</v>
      </c>
      <c r="G50">
        <f>IF(OR(F50="",E50=""),"",F50-E50)</f>
        <v/>
      </c>
      <c r="H50" t="n">
        <v>0.1511138104945635</v>
      </c>
      <c r="I50" t="inlineStr">
        <is>
          <t>Below median</t>
        </is>
      </c>
    </row>
    <row r="51">
      <c r="A51" t="inlineStr">
        <is>
          <t>PT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1.838363161189682</v>
      </c>
      <c r="F51" t="n">
        <v>1.984392220411279</v>
      </c>
      <c r="G51">
        <f>IF(OR(F51="",E51=""),"",F51-E51)</f>
        <v/>
      </c>
      <c r="H51" t="n">
        <v>0.1511138104945635</v>
      </c>
      <c r="I51" t="inlineStr">
        <is>
          <t>Below median</t>
        </is>
      </c>
    </row>
    <row r="52">
      <c r="A52" t="inlineStr">
        <is>
          <t>PT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0.9293018187913837</v>
      </c>
      <c r="F52" t="n">
        <v>1.984392220411279</v>
      </c>
      <c r="G52">
        <f>IF(OR(F52="",E52=""),"",F52-E52)</f>
        <v/>
      </c>
      <c r="H52" t="n">
        <v>0.1511138104945635</v>
      </c>
      <c r="I52" t="inlineStr">
        <is>
          <t>Below median</t>
        </is>
      </c>
    </row>
    <row r="53">
      <c r="A53" t="inlineStr">
        <is>
          <t>PT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1.458222731677794</v>
      </c>
      <c r="F53" t="n">
        <v>1.984392220411279</v>
      </c>
      <c r="G53">
        <f>IF(OR(F53="",E53=""),"",F53-E53)</f>
        <v/>
      </c>
      <c r="H53" t="n">
        <v>0.1511138104945635</v>
      </c>
      <c r="I53" t="inlineStr">
        <is>
          <t>Below median</t>
        </is>
      </c>
    </row>
    <row r="54">
      <c r="A54" t="inlineStr">
        <is>
          <t>AT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1.581849149762027</v>
      </c>
      <c r="F54" t="n">
        <v>2.368013278827778</v>
      </c>
      <c r="G54">
        <f>IF(OR(F54="",E54=""),"",F54-E54)</f>
        <v/>
      </c>
      <c r="H54" t="n">
        <v>0.05958946952274857</v>
      </c>
      <c r="I54" t="inlineStr">
        <is>
          <t>Below median</t>
        </is>
      </c>
    </row>
    <row r="55">
      <c r="A55" t="inlineStr">
        <is>
          <t>AT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1.626978361111475</v>
      </c>
      <c r="F55" t="n">
        <v>2.368013278827778</v>
      </c>
      <c r="G55">
        <f>IF(OR(F55="",E55=""),"",F55-E55)</f>
        <v/>
      </c>
      <c r="H55" t="n">
        <v>0.05958946952274857</v>
      </c>
      <c r="I55" t="inlineStr">
        <is>
          <t>Below median</t>
        </is>
      </c>
    </row>
    <row r="56">
      <c r="A56" t="inlineStr">
        <is>
          <t>AT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2.571658656771847</v>
      </c>
      <c r="F56" t="n">
        <v>2.368013278827778</v>
      </c>
      <c r="G56">
        <f>IF(OR(F56="",E56=""),"",F56-E56)</f>
        <v/>
      </c>
      <c r="H56" t="n">
        <v>0.05958946952274857</v>
      </c>
      <c r="I56" t="inlineStr">
        <is>
          <t>Below median</t>
        </is>
      </c>
    </row>
    <row r="57">
      <c r="A57" t="inlineStr">
        <is>
          <t>AT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1.728692467241477</v>
      </c>
      <c r="F57" t="n">
        <v>2.368013278827778</v>
      </c>
      <c r="G57">
        <f>IF(OR(F57="",E57=""),"",F57-E57)</f>
        <v/>
      </c>
      <c r="H57" t="n">
        <v>0.05958946952274857</v>
      </c>
      <c r="I57" t="inlineStr">
        <is>
          <t>Below median</t>
        </is>
      </c>
    </row>
    <row r="58">
      <c r="A58" t="inlineStr">
        <is>
          <t>ES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2.255443360388365</v>
      </c>
      <c r="F58" t="n">
        <v>2.855001546118654</v>
      </c>
      <c r="G58">
        <f>IF(OR(F58="",E58=""),"",F58-E58)</f>
        <v/>
      </c>
      <c r="H58" t="n">
        <v>0.3105367112400245</v>
      </c>
      <c r="I58" t="inlineStr">
        <is>
          <t>Below median</t>
        </is>
      </c>
    </row>
    <row r="59">
      <c r="A59" t="inlineStr">
        <is>
          <t>ES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2.504994257853732</v>
      </c>
      <c r="F59" t="n">
        <v>2.855001546118654</v>
      </c>
      <c r="G59">
        <f>IF(OR(F59="",E59=""),"",F59-E59)</f>
        <v/>
      </c>
      <c r="H59" t="n">
        <v>0.3105367112400245</v>
      </c>
      <c r="I59" t="inlineStr">
        <is>
          <t>Below median</t>
        </is>
      </c>
    </row>
    <row r="60">
      <c r="A60" t="inlineStr">
        <is>
          <t>ES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3.068359604619419</v>
      </c>
      <c r="F60" t="n">
        <v>2.855001546118654</v>
      </c>
      <c r="G60">
        <f>IF(OR(F60="",E60=""),"",F60-E60)</f>
        <v/>
      </c>
      <c r="H60" t="n">
        <v>0.3105367112400245</v>
      </c>
      <c r="I60" t="inlineStr">
        <is>
          <t>Below median</t>
        </is>
      </c>
    </row>
    <row r="61">
      <c r="A61" t="inlineStr">
        <is>
          <t>ES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2.763295099061525</v>
      </c>
      <c r="F61" t="n">
        <v>2.855001546118654</v>
      </c>
      <c r="G61">
        <f>IF(OR(F61="",E61=""),"",F61-E61)</f>
        <v/>
      </c>
      <c r="H61" t="n">
        <v>0.3105367112400245</v>
      </c>
      <c r="I61" t="inlineStr">
        <is>
          <t>Below median</t>
        </is>
      </c>
    </row>
    <row r="62">
      <c r="A62" t="inlineStr">
        <is>
          <t>IE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3.60142096481646</v>
      </c>
      <c r="F62" t="n">
        <v>9.624294995761334</v>
      </c>
      <c r="G62">
        <f>IF(OR(F62="",E62=""),"",F62-E62)</f>
        <v/>
      </c>
      <c r="H62" t="n">
        <v>0.07323097595720542</v>
      </c>
      <c r="I62" t="inlineStr">
        <is>
          <t>Below median</t>
        </is>
      </c>
    </row>
    <row r="63">
      <c r="A63" t="inlineStr">
        <is>
          <t>IE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3.671798756063094</v>
      </c>
      <c r="F63" t="n">
        <v>9.624294995761334</v>
      </c>
      <c r="G63">
        <f>IF(OR(F63="",E63=""),"",F63-E63)</f>
        <v/>
      </c>
      <c r="H63" t="n">
        <v>0.07323097595720542</v>
      </c>
      <c r="I63" t="inlineStr">
        <is>
          <t>Below median</t>
        </is>
      </c>
    </row>
    <row r="64">
      <c r="A64" t="inlineStr">
        <is>
          <t>IE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4.826302521879056</v>
      </c>
      <c r="F64" t="n">
        <v>9.624294995761334</v>
      </c>
      <c r="G64">
        <f>IF(OR(F64="",E64=""),"",F64-E64)</f>
        <v/>
      </c>
      <c r="H64" t="n">
        <v>0.07323097595720542</v>
      </c>
      <c r="I64" t="inlineStr">
        <is>
          <t>Below median</t>
        </is>
      </c>
    </row>
    <row r="65">
      <c r="A65" t="inlineStr">
        <is>
          <t>IE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3.95094524465267</v>
      </c>
      <c r="F65" t="n">
        <v>9.624294995761334</v>
      </c>
      <c r="G65">
        <f>IF(OR(F65="",E65=""),"",F65-E65)</f>
        <v/>
      </c>
      <c r="H65" t="n">
        <v>0.07323097595720542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0.9028836169022947</v>
      </c>
      <c r="F66" t="n">
        <v>1.677771433336312</v>
      </c>
      <c r="G66">
        <f>IF(OR(F66="",E66=""),"",F66-E66)</f>
        <v/>
      </c>
      <c r="H66" t="n">
        <v>0.04787299148058688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1.33546021526687</v>
      </c>
      <c r="F67" t="n">
        <v>1.677771433336312</v>
      </c>
      <c r="G67">
        <f>IF(OR(F67="",E67=""),"",F67-E67)</f>
        <v/>
      </c>
      <c r="H67" t="n">
        <v>0.04787299148058688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1.454734323287576</v>
      </c>
      <c r="F68" t="n">
        <v>1.677771433336312</v>
      </c>
      <c r="G68">
        <f>IF(OR(F68="",E68=""),"",F68-E68)</f>
        <v/>
      </c>
      <c r="H68" t="n">
        <v>0.04787299148058688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0.9288636194126232</v>
      </c>
      <c r="F69" t="n">
        <v>1.677771433336312</v>
      </c>
      <c r="G69">
        <f>IF(OR(F69="",E69=""),"",F69-E69)</f>
        <v/>
      </c>
      <c r="H69" t="n">
        <v>0.04787299148058688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1.244384468550153</v>
      </c>
      <c r="F70" t="n">
        <v>3.260896558994415</v>
      </c>
      <c r="G70">
        <f>IF(OR(F70="",E70=""),"",F70-E70)</f>
        <v/>
      </c>
      <c r="H70" t="n">
        <v>0.1244056097882334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1.743981675067907</v>
      </c>
      <c r="F71" t="n">
        <v>3.260896558994415</v>
      </c>
      <c r="G71">
        <f>IF(OR(F71="",E71=""),"",F71-E71)</f>
        <v/>
      </c>
      <c r="H71" t="n">
        <v>0.1244056097882334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2.629384452245875</v>
      </c>
      <c r="F72" t="n">
        <v>3.260896558994415</v>
      </c>
      <c r="G72">
        <f>IF(OR(F72="",E72=""),"",F72-E72)</f>
        <v/>
      </c>
      <c r="H72" t="n">
        <v>0.1244056097882334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1.838683940143615</v>
      </c>
      <c r="F73" t="n">
        <v>3.260896558994415</v>
      </c>
      <c r="G73">
        <f>IF(OR(F73="",E73=""),"",F73-E73)</f>
        <v/>
      </c>
      <c r="H73" t="n">
        <v>0.1244056097882334</v>
      </c>
      <c r="I73" t="inlineStr">
        <is>
          <t>Below median</t>
        </is>
      </c>
    </row>
    <row r="74">
      <c r="A74" t="inlineStr">
        <is>
          <t>AT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2.39313580407825</v>
      </c>
      <c r="F74" t="n">
        <v>2.36224530866489</v>
      </c>
      <c r="G74">
        <f>IF(OR(F74="",E74=""),"",F74-E74)</f>
        <v/>
      </c>
      <c r="H74" t="n">
        <v>0.09617746962626114</v>
      </c>
      <c r="I74" t="inlineStr">
        <is>
          <t>Below median</t>
        </is>
      </c>
    </row>
    <row r="75">
      <c r="A75" t="inlineStr">
        <is>
          <t>AT</t>
        </is>
      </c>
      <c r="B75" t="inlineStr">
        <is>
          <t>Spring2017</t>
        </is>
      </c>
      <c r="C75" t="inlineStr">
        <is>
          <t>Spring</t>
        </is>
      </c>
      <c r="D75" t="n">
        <v>2018</v>
      </c>
      <c r="E75" t="n">
        <v>1.65788346393998</v>
      </c>
      <c r="F75" t="n">
        <v>2.36224530866489</v>
      </c>
      <c r="G75">
        <f>IF(OR(F75="",E75=""),"",F75-E75)</f>
        <v/>
      </c>
      <c r="H75" t="n">
        <v>0.09617746962626114</v>
      </c>
      <c r="I75" t="inlineStr">
        <is>
          <t>Below median</t>
        </is>
      </c>
    </row>
    <row r="76">
      <c r="A76" t="inlineStr">
        <is>
          <t>AT</t>
        </is>
      </c>
      <c r="B76" t="inlineStr">
        <is>
          <t>Autumn2018</t>
        </is>
      </c>
      <c r="C76" t="inlineStr">
        <is>
          <t>Autumn</t>
        </is>
      </c>
      <c r="D76" t="n">
        <v>2018</v>
      </c>
      <c r="E76" t="n">
        <v>2.740700342709967</v>
      </c>
      <c r="F76" t="n">
        <v>2.36224530866489</v>
      </c>
      <c r="G76">
        <f>IF(OR(F76="",E76=""),"",F76-E76)</f>
        <v/>
      </c>
      <c r="H76" t="n">
        <v>0.09617746962626114</v>
      </c>
      <c r="I76" t="inlineStr">
        <is>
          <t>Below median</t>
        </is>
      </c>
    </row>
    <row r="77">
      <c r="A77" t="inlineStr">
        <is>
          <t>AT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2.802963050096263</v>
      </c>
      <c r="F77" t="n">
        <v>2.36224530866489</v>
      </c>
      <c r="G77">
        <f>IF(OR(F77="",E77=""),"",F77-E77)</f>
        <v/>
      </c>
      <c r="H77" t="n">
        <v>0.09617746962626114</v>
      </c>
      <c r="I77" t="inlineStr">
        <is>
          <t>Below median</t>
        </is>
      </c>
    </row>
    <row r="78">
      <c r="A78" t="inlineStr">
        <is>
          <t>BE</t>
        </is>
      </c>
      <c r="B78" t="inlineStr">
        <is>
          <t>Autumn2017</t>
        </is>
      </c>
      <c r="C78" t="inlineStr">
        <is>
          <t>Autumn</t>
        </is>
      </c>
      <c r="D78" t="n">
        <v>2018</v>
      </c>
      <c r="E78" t="n">
        <v>1.802338911935264</v>
      </c>
      <c r="F78" t="n">
        <v>1.860550192705469</v>
      </c>
      <c r="G78">
        <f>IF(OR(F78="",E78=""),"",F78-E78)</f>
        <v/>
      </c>
      <c r="H78" t="n">
        <v>0.3128311611119584</v>
      </c>
      <c r="I78" t="inlineStr">
        <is>
          <t>Below median</t>
        </is>
      </c>
    </row>
    <row r="79">
      <c r="A79" t="inlineStr">
        <is>
          <t>BE</t>
        </is>
      </c>
      <c r="B79" t="inlineStr">
        <is>
          <t>Spring2017</t>
        </is>
      </c>
      <c r="C79" t="inlineStr">
        <is>
          <t>Spring</t>
        </is>
      </c>
      <c r="D79" t="n">
        <v>2018</v>
      </c>
      <c r="E79" t="n">
        <v>1.683052740046365</v>
      </c>
      <c r="F79" t="n">
        <v>1.860550192705469</v>
      </c>
      <c r="G79">
        <f>IF(OR(F79="",E79=""),"",F79-E79)</f>
        <v/>
      </c>
      <c r="H79" t="n">
        <v>0.3128311611119584</v>
      </c>
      <c r="I79" t="inlineStr">
        <is>
          <t>Below median</t>
        </is>
      </c>
    </row>
    <row r="80">
      <c r="A80" t="inlineStr">
        <is>
          <t>BE</t>
        </is>
      </c>
      <c r="B80" t="inlineStr">
        <is>
          <t>Autumn2018</t>
        </is>
      </c>
      <c r="C80" t="inlineStr">
        <is>
          <t>Autumn</t>
        </is>
      </c>
      <c r="D80" t="n">
        <v>2018</v>
      </c>
      <c r="E80" t="n">
        <v>1.532383873463594</v>
      </c>
      <c r="F80" t="n">
        <v>1.860550192705469</v>
      </c>
      <c r="G80">
        <f>IF(OR(F80="",E80=""),"",F80-E80)</f>
        <v/>
      </c>
      <c r="H80" t="n">
        <v>0.3128311611119584</v>
      </c>
      <c r="I80" t="inlineStr">
        <is>
          <t>Below median</t>
        </is>
      </c>
    </row>
    <row r="81">
      <c r="A81" t="inlineStr">
        <is>
          <t>BE</t>
        </is>
      </c>
      <c r="B81" t="inlineStr">
        <is>
          <t>Spring2018</t>
        </is>
      </c>
      <c r="C81" t="inlineStr">
        <is>
          <t>Spring</t>
        </is>
      </c>
      <c r="D81" t="n">
        <v>2018</v>
      </c>
      <c r="E81" t="n">
        <v>1.808334253332</v>
      </c>
      <c r="F81" t="n">
        <v>1.860550192705469</v>
      </c>
      <c r="G81">
        <f>IF(OR(F81="",E81=""),"",F81-E81)</f>
        <v/>
      </c>
      <c r="H81" t="n">
        <v>0.3128311611119584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2.537248870096387</v>
      </c>
      <c r="F82" t="n">
        <v>2.367158610415725</v>
      </c>
      <c r="G82">
        <f>IF(OR(F82="",E82=""),"",F82-E82)</f>
        <v/>
      </c>
      <c r="H82" t="n">
        <v>0.3714231777604068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2.36419385436657</v>
      </c>
      <c r="F83" t="n">
        <v>2.367158610415725</v>
      </c>
      <c r="G83">
        <f>IF(OR(F83="",E83=""),"",F83-E83)</f>
        <v/>
      </c>
      <c r="H83" t="n">
        <v>0.3714231777604068</v>
      </c>
      <c r="I83" t="inlineStr">
        <is>
          <t>Below median</t>
        </is>
      </c>
    </row>
    <row r="84">
      <c r="A84" t="inlineStr">
        <is>
          <t>ES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2.557973061409258</v>
      </c>
      <c r="F84" t="n">
        <v>2.367158610415725</v>
      </c>
      <c r="G84">
        <f>IF(OR(F84="",E84=""),"",F84-E84)</f>
        <v/>
      </c>
      <c r="H84" t="n">
        <v>0.3714231777604068</v>
      </c>
      <c r="I84" t="inlineStr">
        <is>
          <t>Below median</t>
        </is>
      </c>
    </row>
    <row r="85">
      <c r="A85" t="inlineStr">
        <is>
          <t>ES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2.851300772697152</v>
      </c>
      <c r="F85" t="n">
        <v>2.367158610415725</v>
      </c>
      <c r="G85">
        <f>IF(OR(F85="",E85=""),"",F85-E85)</f>
        <v/>
      </c>
      <c r="H85" t="n">
        <v>0.3714231777604068</v>
      </c>
      <c r="I85" t="inlineStr">
        <is>
          <t>Below median</t>
        </is>
      </c>
    </row>
    <row r="86">
      <c r="A86" t="inlineStr">
        <is>
          <t>IE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3.905545251583953</v>
      </c>
      <c r="F86" t="n">
        <v>7.444687452116322</v>
      </c>
      <c r="G86">
        <f>IF(OR(F86="",E86=""),"",F86-E86)</f>
        <v/>
      </c>
      <c r="H86" t="n">
        <v>0.064420530915232</v>
      </c>
      <c r="I86" t="inlineStr">
        <is>
          <t>Below median</t>
        </is>
      </c>
    </row>
    <row r="87">
      <c r="A87" t="inlineStr">
        <is>
          <t>IE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3.64322712666465</v>
      </c>
      <c r="F87" t="n">
        <v>7.444687452116322</v>
      </c>
      <c r="G87">
        <f>IF(OR(F87="",E87=""),"",F87-E87)</f>
        <v/>
      </c>
      <c r="H87" t="n">
        <v>0.064420530915232</v>
      </c>
      <c r="I87" t="inlineStr">
        <is>
          <t>Below median</t>
        </is>
      </c>
    </row>
    <row r="88">
      <c r="A88" t="inlineStr">
        <is>
          <t>IE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7.811776008276849</v>
      </c>
      <c r="F88" t="n">
        <v>7.444687452116322</v>
      </c>
      <c r="G88">
        <f>IF(OR(F88="",E88=""),"",F88-E88)</f>
        <v/>
      </c>
      <c r="H88" t="n">
        <v>0.064420530915232</v>
      </c>
      <c r="I88" t="inlineStr">
        <is>
          <t>Below median</t>
        </is>
      </c>
    </row>
    <row r="89">
      <c r="A89" t="inlineStr">
        <is>
          <t>IE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5.680892802553816</v>
      </c>
      <c r="F89" t="n">
        <v>7.444687452116322</v>
      </c>
      <c r="G89">
        <f>IF(OR(F89="",E89=""),"",F89-E89)</f>
        <v/>
      </c>
      <c r="H89" t="n">
        <v>0.064420530915232</v>
      </c>
      <c r="I89" t="inlineStr">
        <is>
          <t>Below median</t>
        </is>
      </c>
    </row>
    <row r="90">
      <c r="A90" t="inlineStr">
        <is>
          <t>IT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1.301033595779133</v>
      </c>
      <c r="F90" t="n">
        <v>0.6791561609769646</v>
      </c>
      <c r="G90">
        <f>IF(OR(F90="",E90=""),"",F90-E90)</f>
        <v/>
      </c>
      <c r="H90" t="n">
        <v>0.07975220988389074</v>
      </c>
      <c r="I90" t="inlineStr">
        <is>
          <t>Below median</t>
        </is>
      </c>
    </row>
    <row r="91">
      <c r="A91" t="inlineStr">
        <is>
          <t>IT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1.132219430517512</v>
      </c>
      <c r="F91" t="n">
        <v>0.6791561609769646</v>
      </c>
      <c r="G91">
        <f>IF(OR(F91="",E91=""),"",F91-E91)</f>
        <v/>
      </c>
      <c r="H91" t="n">
        <v>0.07975220988389074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1.148974792689472</v>
      </c>
      <c r="F92" t="n">
        <v>0.6791561609769646</v>
      </c>
      <c r="G92">
        <f>IF(OR(F92="",E92=""),"",F92-E92)</f>
        <v/>
      </c>
      <c r="H92" t="n">
        <v>0.07975220988389074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1.453547985332837</v>
      </c>
      <c r="F93" t="n">
        <v>0.6791561609769646</v>
      </c>
      <c r="G93">
        <f>IF(OR(F93="",E93=""),"",F93-E93)</f>
        <v/>
      </c>
      <c r="H93" t="n">
        <v>0.07975220988389074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2.062511215660567</v>
      </c>
      <c r="F94" t="n">
        <v>2.903725267458769</v>
      </c>
      <c r="G94">
        <f>IF(OR(F94="",E94=""),"",F94-E94)</f>
        <v/>
      </c>
      <c r="H94" t="n">
        <v>0.2212089622811068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1.567746193642994</v>
      </c>
      <c r="F95" t="n">
        <v>2.903725267458769</v>
      </c>
      <c r="G95">
        <f>IF(OR(F95="",E95=""),"",F95-E95)</f>
        <v/>
      </c>
      <c r="H95" t="n">
        <v>0.2212089622811068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2.167274815435216</v>
      </c>
      <c r="F96" t="n">
        <v>2.903725267458769</v>
      </c>
      <c r="G96">
        <f>IF(OR(F96="",E96=""),"",F96-E96)</f>
        <v/>
      </c>
      <c r="H96" t="n">
        <v>0.2212089622811068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2.333738005262398</v>
      </c>
      <c r="F97" t="n">
        <v>2.903725267458769</v>
      </c>
      <c r="G97">
        <f>IF(OR(F97="",E97=""),"",F97-E97)</f>
        <v/>
      </c>
      <c r="H97" t="n">
        <v>0.2212089622811068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1.956993039697497</v>
      </c>
      <c r="F98" t="n">
        <v>1.685708482737397</v>
      </c>
      <c r="G98">
        <f>IF(OR(F98="",E98=""),"",F98-E98)</f>
        <v/>
      </c>
      <c r="H98" t="n">
        <v>0.1056000115914431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Spring2018</t>
        </is>
      </c>
      <c r="C99" t="inlineStr">
        <is>
          <t>Spring</t>
        </is>
      </c>
      <c r="D99" t="n">
        <v>2019</v>
      </c>
      <c r="E99" t="n">
        <v>2.158686474515914</v>
      </c>
      <c r="F99" t="n">
        <v>1.685708482737397</v>
      </c>
      <c r="G99">
        <f>IF(OR(F99="",E99=""),"",F99-E99)</f>
        <v/>
      </c>
      <c r="H99" t="n">
        <v>0.1056000115914431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Autumn2019</t>
        </is>
      </c>
      <c r="C100" t="inlineStr">
        <is>
          <t>Autumn</t>
        </is>
      </c>
      <c r="D100" t="n">
        <v>2019</v>
      </c>
      <c r="E100" t="n">
        <v>1.548243112232184</v>
      </c>
      <c r="F100" t="n">
        <v>1.685708482737397</v>
      </c>
      <c r="G100">
        <f>IF(OR(F100="",E100=""),"",F100-E100)</f>
        <v/>
      </c>
      <c r="H100" t="n">
        <v>0.1056000115914431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1.523271063063336</v>
      </c>
      <c r="F101" t="n">
        <v>1.685708482737397</v>
      </c>
      <c r="G101">
        <f>IF(OR(F101="",E101=""),"",F101-E101)</f>
        <v/>
      </c>
      <c r="H101" t="n">
        <v>0.1056000115914431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Autumn2018</t>
        </is>
      </c>
      <c r="C102" t="inlineStr">
        <is>
          <t>Autumn</t>
        </is>
      </c>
      <c r="D102" t="n">
        <v>2019</v>
      </c>
      <c r="E102" t="n">
        <v>1.515238392393714</v>
      </c>
      <c r="F102" t="n">
        <v>2.41352301254788</v>
      </c>
      <c r="G102">
        <f>IF(OR(F102="",E102=""),"",F102-E102)</f>
        <v/>
      </c>
      <c r="H102" t="n">
        <v>0.3549253133620803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Spring2018</t>
        </is>
      </c>
      <c r="C103" t="inlineStr">
        <is>
          <t>Spring</t>
        </is>
      </c>
      <c r="D103" t="n">
        <v>2019</v>
      </c>
      <c r="E103" t="n">
        <v>1.732938056571376</v>
      </c>
      <c r="F103" t="n">
        <v>2.41352301254788</v>
      </c>
      <c r="G103">
        <f>IF(OR(F103="",E103=""),"",F103-E103)</f>
        <v/>
      </c>
      <c r="H103" t="n">
        <v>0.3549253133620803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Autumn2019</t>
        </is>
      </c>
      <c r="C104" t="inlineStr">
        <is>
          <t>Autumn</t>
        </is>
      </c>
      <c r="D104" t="n">
        <v>2019</v>
      </c>
      <c r="E104" t="n">
        <v>1.136502566631536</v>
      </c>
      <c r="F104" t="n">
        <v>2.41352301254788</v>
      </c>
      <c r="G104">
        <f>IF(OR(F104="",E104=""),"",F104-E104)</f>
        <v/>
      </c>
      <c r="H104" t="n">
        <v>0.3549253133620803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Spring2019</t>
        </is>
      </c>
      <c r="C105" t="inlineStr">
        <is>
          <t>Spring</t>
        </is>
      </c>
      <c r="D105" t="n">
        <v>2019</v>
      </c>
      <c r="E105" t="n">
        <v>1.226379558982393</v>
      </c>
      <c r="F105" t="n">
        <v>2.41352301254788</v>
      </c>
      <c r="G105">
        <f>IF(OR(F105="",E105=""),"",F105-E105)</f>
        <v/>
      </c>
      <c r="H105" t="n">
        <v>0.3549253133620803</v>
      </c>
      <c r="I105" t="inlineStr">
        <is>
          <t>Below median</t>
        </is>
      </c>
    </row>
    <row r="106">
      <c r="A106" t="inlineStr">
        <is>
          <t>ES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2.155360816364915</v>
      </c>
      <c r="F106" t="n">
        <v>1.942291048051295</v>
      </c>
      <c r="G106">
        <f>IF(OR(F106="",E106=""),"",F106-E106)</f>
        <v/>
      </c>
      <c r="H106" t="n">
        <v>0.4611968442438833</v>
      </c>
      <c r="I106" t="inlineStr">
        <is>
          <t>Below median</t>
        </is>
      </c>
    </row>
    <row r="107">
      <c r="A107" t="inlineStr">
        <is>
          <t>ES</t>
        </is>
      </c>
      <c r="B107" t="inlineStr">
        <is>
          <t>Spring2018</t>
        </is>
      </c>
      <c r="C107" t="inlineStr">
        <is>
          <t>Spring</t>
        </is>
      </c>
      <c r="D107" t="n">
        <v>2019</v>
      </c>
      <c r="E107" t="n">
        <v>2.355960635013798</v>
      </c>
      <c r="F107" t="n">
        <v>1.942291048051295</v>
      </c>
      <c r="G107">
        <f>IF(OR(F107="",E107=""),"",F107-E107)</f>
        <v/>
      </c>
      <c r="H107" t="n">
        <v>0.4611968442438833</v>
      </c>
      <c r="I107" t="inlineStr">
        <is>
          <t>Below median</t>
        </is>
      </c>
    </row>
    <row r="108">
      <c r="A108" t="inlineStr">
        <is>
          <t>ES</t>
        </is>
      </c>
      <c r="B108" t="inlineStr">
        <is>
          <t>Autumn2019</t>
        </is>
      </c>
      <c r="C108" t="inlineStr">
        <is>
          <t>Autumn</t>
        </is>
      </c>
      <c r="D108" t="n">
        <v>2019</v>
      </c>
      <c r="E108" t="n">
        <v>1.870053317687548</v>
      </c>
      <c r="F108" t="n">
        <v>1.942291048051295</v>
      </c>
      <c r="G108">
        <f>IF(OR(F108="",E108=""),"",F108-E108)</f>
        <v/>
      </c>
      <c r="H108" t="n">
        <v>0.4611968442438833</v>
      </c>
      <c r="I108" t="inlineStr">
        <is>
          <t>Below median</t>
        </is>
      </c>
    </row>
    <row r="109">
      <c r="A109" t="inlineStr">
        <is>
          <t>ES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2.0959399874803</v>
      </c>
      <c r="F109" t="n">
        <v>1.942291048051295</v>
      </c>
      <c r="G109">
        <f>IF(OR(F109="",E109=""),"",F109-E109)</f>
        <v/>
      </c>
      <c r="H109" t="n">
        <v>0.4611968442438833</v>
      </c>
      <c r="I109" t="inlineStr">
        <is>
          <t>Below median</t>
        </is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0.08451228512832766</v>
      </c>
      <c r="I110" t="inlineStr">
        <is>
          <t>Below median</t>
        </is>
      </c>
    </row>
    <row r="111">
      <c r="A111" t="inlineStr">
        <is>
          <t>IE</t>
        </is>
      </c>
      <c r="B111" t="inlineStr">
        <is>
          <t>Spring2018</t>
        </is>
      </c>
      <c r="C111" t="inlineStr">
        <is>
          <t>Spring</t>
        </is>
      </c>
      <c r="D111" t="n">
        <v>2019</v>
      </c>
      <c r="E111" t="n">
        <v>4.058674421459818</v>
      </c>
      <c r="F111" t="n">
        <v>4.823763826344694</v>
      </c>
      <c r="G111">
        <f>IF(OR(F111="",E111=""),"",F111-E111)</f>
        <v/>
      </c>
      <c r="H111" t="n">
        <v>0.08451228512832766</v>
      </c>
      <c r="I111" t="inlineStr">
        <is>
          <t>Below median</t>
        </is>
      </c>
    </row>
    <row r="112">
      <c r="A112" t="inlineStr">
        <is>
          <t>IE</t>
        </is>
      </c>
      <c r="B112" t="inlineStr">
        <is>
          <t>Autumn2019</t>
        </is>
      </c>
      <c r="C112" t="inlineStr">
        <is>
          <t>Autumn</t>
        </is>
      </c>
      <c r="D112" t="n">
        <v>2019</v>
      </c>
      <c r="E112" t="n">
        <v>5.63559357923733</v>
      </c>
      <c r="F112" t="n">
        <v>4.823763826344694</v>
      </c>
      <c r="G112">
        <f>IF(OR(F112="",E112=""),"",F112-E112)</f>
        <v/>
      </c>
      <c r="H112" t="n">
        <v>0.08451228512832766</v>
      </c>
      <c r="I112" t="inlineStr">
        <is>
          <t>Below median</t>
        </is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0.08451228512832766</v>
      </c>
      <c r="I113" t="inlineStr">
        <is>
          <t>Below median</t>
        </is>
      </c>
    </row>
    <row r="114">
      <c r="A114" t="inlineStr">
        <is>
          <t>IT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1.150816825335021</v>
      </c>
      <c r="F114" t="n">
        <v>0.4175115296833533</v>
      </c>
      <c r="G114">
        <f>IF(OR(F114="",E114=""),"",F114-E114)</f>
        <v/>
      </c>
      <c r="H114" t="n">
        <v>0.07456030390779872</v>
      </c>
      <c r="I114" t="inlineStr">
        <is>
          <t>Below median</t>
        </is>
      </c>
    </row>
    <row r="115">
      <c r="A115" t="inlineStr">
        <is>
          <t>IT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1.208894526316961</v>
      </c>
      <c r="F115" t="n">
        <v>0.4175115296833533</v>
      </c>
      <c r="G115">
        <f>IF(OR(F115="",E115=""),"",F115-E115)</f>
        <v/>
      </c>
      <c r="H115" t="n">
        <v>0.07456030390779872</v>
      </c>
      <c r="I115" t="inlineStr">
        <is>
          <t>Below median</t>
        </is>
      </c>
    </row>
    <row r="116">
      <c r="A116" t="inlineStr">
        <is>
          <t>IT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0.1046834039854172</v>
      </c>
      <c r="F116" t="n">
        <v>0.4175115296833533</v>
      </c>
      <c r="G116">
        <f>IF(OR(F116="",E116=""),"",F116-E116)</f>
        <v/>
      </c>
      <c r="H116" t="n">
        <v>0.07456030390779872</v>
      </c>
      <c r="I116" t="inlineStr">
        <is>
          <t>Below median</t>
        </is>
      </c>
    </row>
    <row r="117">
      <c r="A117" t="inlineStr">
        <is>
          <t>IT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0.1006276066420453</v>
      </c>
      <c r="F117" t="n">
        <v>0.4175115296833533</v>
      </c>
      <c r="G117">
        <f>IF(OR(F117="",E117=""),"",F117-E117)</f>
        <v/>
      </c>
      <c r="H117" t="n">
        <v>0.07456030390779872</v>
      </c>
      <c r="I117" t="inlineStr">
        <is>
          <t>Below median</t>
        </is>
      </c>
    </row>
    <row r="118">
      <c r="A118" t="inlineStr">
        <is>
          <t>PT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1.839454993980616</v>
      </c>
      <c r="F118" t="n">
        <v>2.708692295537219</v>
      </c>
      <c r="G118">
        <f>IF(OR(F118="",E118=""),"",F118-E118)</f>
        <v/>
      </c>
      <c r="H118" t="n">
        <v>0.3946502189430213</v>
      </c>
      <c r="I118" t="inlineStr">
        <is>
          <t>Below median</t>
        </is>
      </c>
    </row>
    <row r="119">
      <c r="A119" t="inlineStr">
        <is>
          <t>PT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2.037267405081367</v>
      </c>
      <c r="F119" t="n">
        <v>2.708692295537219</v>
      </c>
      <c r="G119">
        <f>IF(OR(F119="",E119=""),"",F119-E119)</f>
        <v/>
      </c>
      <c r="H119" t="n">
        <v>0.3946502189430213</v>
      </c>
      <c r="I119" t="inlineStr">
        <is>
          <t>Below median</t>
        </is>
      </c>
    </row>
    <row r="120">
      <c r="A120" t="inlineStr">
        <is>
          <t>PT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1.950475273387009</v>
      </c>
      <c r="F120" t="n">
        <v>2.708692295537219</v>
      </c>
      <c r="G120">
        <f>IF(OR(F120="",E120=""),"",F120-E120)</f>
        <v/>
      </c>
      <c r="H120" t="n">
        <v>0.3946502189430213</v>
      </c>
      <c r="I120" t="inlineStr">
        <is>
          <t>Below median</t>
        </is>
      </c>
    </row>
    <row r="121">
      <c r="A121" t="inlineStr">
        <is>
          <t>PT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1.672451894689297</v>
      </c>
      <c r="F121" t="n">
        <v>2.708692295537219</v>
      </c>
      <c r="G121">
        <f>IF(OR(F121="",E121=""),"",F121-E121)</f>
        <v/>
      </c>
      <c r="H121" t="n">
        <v>0.3946502189430213</v>
      </c>
      <c r="I121" t="inlineStr">
        <is>
          <t>Below median</t>
        </is>
      </c>
    </row>
    <row r="122">
      <c r="A122" t="inlineStr">
        <is>
          <t>AT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1.394781609514539</v>
      </c>
      <c r="F122" t="n">
        <v>-6.59001327711653</v>
      </c>
      <c r="G122">
        <f>IF(OR(F122="",E122=""),"",F122-E122)</f>
        <v/>
      </c>
      <c r="H122" t="n">
        <v>0.1267719413234721</v>
      </c>
      <c r="I122" t="inlineStr">
        <is>
          <t>Below median</t>
        </is>
      </c>
    </row>
    <row r="123">
      <c r="A123" t="inlineStr">
        <is>
          <t>AT</t>
        </is>
      </c>
      <c r="B123" t="inlineStr">
        <is>
          <t>Spring2019</t>
        </is>
      </c>
      <c r="C123" t="inlineStr">
        <is>
          <t>Spring</t>
        </is>
      </c>
      <c r="D123" t="n">
        <v>2020</v>
      </c>
      <c r="E123" t="n">
        <v>1.630646733116392</v>
      </c>
      <c r="F123" t="n">
        <v>-6.59001327711653</v>
      </c>
      <c r="G123">
        <f>IF(OR(F123="",E123=""),"",F123-E123)</f>
        <v/>
      </c>
      <c r="H123" t="n">
        <v>0.1267719413234721</v>
      </c>
      <c r="I123" t="inlineStr">
        <is>
          <t>Below median</t>
        </is>
      </c>
    </row>
    <row r="124">
      <c r="A124" t="inlineStr">
        <is>
          <t>AT</t>
        </is>
      </c>
      <c r="B124" t="inlineStr">
        <is>
          <t>Autumn2020</t>
        </is>
      </c>
      <c r="C124" t="inlineStr">
        <is>
          <t>Autumn</t>
        </is>
      </c>
      <c r="D124" t="n">
        <v>2020</v>
      </c>
      <c r="E124" t="n">
        <v>-7.051195165175839</v>
      </c>
      <c r="F124" t="n">
        <v>-6.59001327711653</v>
      </c>
      <c r="G124">
        <f>IF(OR(F124="",E124=""),"",F124-E124)</f>
        <v/>
      </c>
      <c r="H124" t="n">
        <v>0.1267719413234721</v>
      </c>
      <c r="I124" t="inlineStr">
        <is>
          <t>Below median</t>
        </is>
      </c>
    </row>
    <row r="125">
      <c r="A125" t="inlineStr">
        <is>
          <t>AT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-5.513127765531012</v>
      </c>
      <c r="F125" t="n">
        <v>-6.59001327711653</v>
      </c>
      <c r="G125">
        <f>IF(OR(F125="",E125=""),"",F125-E125)</f>
        <v/>
      </c>
      <c r="H125" t="n">
        <v>0.1267719413234721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1.490576223487361</v>
      </c>
      <c r="F126" t="n">
        <v>-11.58616521695834</v>
      </c>
      <c r="G126">
        <f>IF(OR(F126="",E126=""),"",F126-E126)</f>
        <v/>
      </c>
      <c r="H126" t="n">
        <v>0.604158921189814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Spring2019</t>
        </is>
      </c>
      <c r="C127" t="inlineStr">
        <is>
          <t>Spring</t>
        </is>
      </c>
      <c r="D127" t="n">
        <v>2020</v>
      </c>
      <c r="E127" t="n">
        <v>1.863359760106897</v>
      </c>
      <c r="F127" t="n">
        <v>-11.58616521695834</v>
      </c>
      <c r="G127">
        <f>IF(OR(F127="",E127=""),"",F127-E127)</f>
        <v/>
      </c>
      <c r="H127" t="n">
        <v>0.604158921189814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Autumn2020</t>
        </is>
      </c>
      <c r="C128" t="inlineStr">
        <is>
          <t>Autumn</t>
        </is>
      </c>
      <c r="D128" t="n">
        <v>2020</v>
      </c>
      <c r="E128" t="n">
        <v>-12.41053397761432</v>
      </c>
      <c r="F128" t="n">
        <v>-11.58616521695834</v>
      </c>
      <c r="G128">
        <f>IF(OR(F128="",E128=""),"",F128-E128)</f>
        <v/>
      </c>
      <c r="H128" t="n">
        <v>0.604158921189814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-9.384345976627827</v>
      </c>
      <c r="F129" t="n">
        <v>-11.58616521695834</v>
      </c>
      <c r="G129">
        <f>IF(OR(F129="",E129=""),"",F129-E129)</f>
        <v/>
      </c>
      <c r="H129" t="n">
        <v>0.604158921189814</v>
      </c>
      <c r="I129" t="inlineStr">
        <is>
          <t>Below median</t>
        </is>
      </c>
    </row>
    <row r="130">
      <c r="A130" t="inlineStr">
        <is>
          <t>IE</t>
        </is>
      </c>
      <c r="B130" t="inlineStr">
        <is>
          <t>Autumn2019</t>
        </is>
      </c>
      <c r="C130" t="inlineStr">
        <is>
          <t>Autumn</t>
        </is>
      </c>
      <c r="D130" t="n">
        <v>2020</v>
      </c>
      <c r="E130" t="n">
        <v>3.528571869780794</v>
      </c>
      <c r="F130" t="n">
        <v>6.986381430371383</v>
      </c>
      <c r="G130">
        <f>IF(OR(F130="",E130=""),"",F130-E130)</f>
        <v/>
      </c>
      <c r="H130" t="n">
        <v>0.08296364641818736</v>
      </c>
      <c r="I130" t="inlineStr">
        <is>
          <t>Below median</t>
        </is>
      </c>
    </row>
    <row r="131">
      <c r="A131" t="inlineStr">
        <is>
          <t>IE</t>
        </is>
      </c>
      <c r="B131" t="inlineStr">
        <is>
          <t>Spring2019</t>
        </is>
      </c>
      <c r="C131" t="inlineStr">
        <is>
          <t>Spring</t>
        </is>
      </c>
      <c r="D131" t="n">
        <v>2020</v>
      </c>
      <c r="E131" t="n">
        <v>3.367615623428599</v>
      </c>
      <c r="F131" t="n">
        <v>6.986381430371383</v>
      </c>
      <c r="G131">
        <f>IF(OR(F131="",E131=""),"",F131-E131)</f>
        <v/>
      </c>
      <c r="H131" t="n">
        <v>0.08296364641818736</v>
      </c>
      <c r="I131" t="inlineStr">
        <is>
          <t>Below median</t>
        </is>
      </c>
    </row>
    <row r="132">
      <c r="A132" t="inlineStr">
        <is>
          <t>IE</t>
        </is>
      </c>
      <c r="B132" t="inlineStr">
        <is>
          <t>Autumn2020</t>
        </is>
      </c>
      <c r="C132" t="inlineStr">
        <is>
          <t>Autumn</t>
        </is>
      </c>
      <c r="D132" t="n">
        <v>2020</v>
      </c>
      <c r="E132" t="n">
        <v>-2.337399617191471</v>
      </c>
      <c r="F132" t="n">
        <v>6.986381430371383</v>
      </c>
      <c r="G132">
        <f>IF(OR(F132="",E132=""),"",F132-E132)</f>
        <v/>
      </c>
      <c r="H132" t="n">
        <v>0.08296364641818736</v>
      </c>
      <c r="I132" t="inlineStr">
        <is>
          <t>Below median</t>
        </is>
      </c>
    </row>
    <row r="133">
      <c r="A133" t="inlineStr">
        <is>
          <t>IE</t>
        </is>
      </c>
      <c r="B133" t="inlineStr">
        <is>
          <t>Spring2020</t>
        </is>
      </c>
      <c r="C133" t="inlineStr">
        <is>
          <t>Spring</t>
        </is>
      </c>
      <c r="D133" t="n">
        <v>2020</v>
      </c>
      <c r="E133" t="n">
        <v>-7.947048013854707</v>
      </c>
      <c r="F133" t="n">
        <v>6.986381430371383</v>
      </c>
      <c r="G133">
        <f>IF(OR(F133="",E133=""),"",F133-E133)</f>
        <v/>
      </c>
      <c r="H133" t="n">
        <v>0.08296364641818736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Autumn2019</t>
        </is>
      </c>
      <c r="C134" t="inlineStr">
        <is>
          <t>Autumn</t>
        </is>
      </c>
      <c r="D134" t="n">
        <v>2020</v>
      </c>
      <c r="E134" t="n">
        <v>0.4323629290931663</v>
      </c>
      <c r="F134" t="n">
        <v>-9.378376752242147</v>
      </c>
      <c r="G134">
        <f>IF(OR(F134="",E134=""),"",F134-E134)</f>
        <v/>
      </c>
      <c r="H134" t="n">
        <v>0.1056774945749017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Spring2019</t>
        </is>
      </c>
      <c r="C135" t="inlineStr">
        <is>
          <t>Spring</t>
        </is>
      </c>
      <c r="D135" t="n">
        <v>2020</v>
      </c>
      <c r="E135" t="n">
        <v>0.711789123347506</v>
      </c>
      <c r="F135" t="n">
        <v>-9.378376752242147</v>
      </c>
      <c r="G135">
        <f>IF(OR(F135="",E135=""),"",F135-E135)</f>
        <v/>
      </c>
      <c r="H135" t="n">
        <v>0.1056774945749017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Autumn2020</t>
        </is>
      </c>
      <c r="C136" t="inlineStr">
        <is>
          <t>Autumn</t>
        </is>
      </c>
      <c r="D136" t="n">
        <v>2020</v>
      </c>
      <c r="E136" t="n">
        <v>-9.851545469918754</v>
      </c>
      <c r="F136" t="n">
        <v>-9.378376752242147</v>
      </c>
      <c r="G136">
        <f>IF(OR(F136="",E136=""),"",F136-E136)</f>
        <v/>
      </c>
      <c r="H136" t="n">
        <v>0.1056774945749017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Spring2020</t>
        </is>
      </c>
      <c r="C137" t="inlineStr">
        <is>
          <t>Spring</t>
        </is>
      </c>
      <c r="D137" t="n">
        <v>2020</v>
      </c>
      <c r="E137" t="n">
        <v>-9.517990850094149</v>
      </c>
      <c r="F137" t="n">
        <v>-9.378376752242147</v>
      </c>
      <c r="G137">
        <f>IF(OR(F137="",E137=""),"",F137-E137)</f>
        <v/>
      </c>
      <c r="H137" t="n">
        <v>0.1056774945749017</v>
      </c>
      <c r="I137" t="inlineStr">
        <is>
          <t>Below median</t>
        </is>
      </c>
    </row>
    <row r="138">
      <c r="A138" t="inlineStr">
        <is>
          <t>PT</t>
        </is>
      </c>
      <c r="B138" t="inlineStr">
        <is>
          <t>Autumn2019</t>
        </is>
      </c>
      <c r="C138" t="inlineStr">
        <is>
          <t>Autumn</t>
        </is>
      </c>
      <c r="D138" t="n">
        <v>2020</v>
      </c>
      <c r="E138" t="n">
        <v>1.699885517193356</v>
      </c>
      <c r="F138" t="n">
        <v>-8.560903203336046</v>
      </c>
      <c r="G138">
        <f>IF(OR(F138="",E138=""),"",F138-E138)</f>
        <v/>
      </c>
      <c r="H138" t="n">
        <v>0.2585841869305087</v>
      </c>
      <c r="I138" t="inlineStr">
        <is>
          <t>Below median</t>
        </is>
      </c>
    </row>
    <row r="139">
      <c r="A139" t="inlineStr">
        <is>
          <t>PT</t>
        </is>
      </c>
      <c r="B139" t="inlineStr">
        <is>
          <t>Spring2019</t>
        </is>
      </c>
      <c r="C139" t="inlineStr">
        <is>
          <t>Spring</t>
        </is>
      </c>
      <c r="D139" t="n">
        <v>2020</v>
      </c>
      <c r="E139" t="n">
        <v>1.715399630946468</v>
      </c>
      <c r="F139" t="n">
        <v>-8.560903203336046</v>
      </c>
      <c r="G139">
        <f>IF(OR(F139="",E139=""),"",F139-E139)</f>
        <v/>
      </c>
      <c r="H139" t="n">
        <v>0.2585841869305087</v>
      </c>
      <c r="I139" t="inlineStr">
        <is>
          <t>Below median</t>
        </is>
      </c>
    </row>
    <row r="140">
      <c r="A140" t="inlineStr">
        <is>
          <t>PT</t>
        </is>
      </c>
      <c r="B140" t="inlineStr">
        <is>
          <t>Autumn2020</t>
        </is>
      </c>
      <c r="C140" t="inlineStr">
        <is>
          <t>Autumn</t>
        </is>
      </c>
      <c r="D140" t="n">
        <v>2020</v>
      </c>
      <c r="E140" t="n">
        <v>-9.290556793944537</v>
      </c>
      <c r="F140" t="n">
        <v>-8.560903203336046</v>
      </c>
      <c r="G140">
        <f>IF(OR(F140="",E140=""),"",F140-E140)</f>
        <v/>
      </c>
      <c r="H140" t="n">
        <v>0.2585841869305087</v>
      </c>
      <c r="I140" t="inlineStr">
        <is>
          <t>Below median</t>
        </is>
      </c>
    </row>
    <row r="141">
      <c r="A141" t="inlineStr">
        <is>
          <t>PT</t>
        </is>
      </c>
      <c r="B141" t="inlineStr">
        <is>
          <t>Spring2020</t>
        </is>
      </c>
      <c r="C141" t="inlineStr">
        <is>
          <t>Spring</t>
        </is>
      </c>
      <c r="D141" t="n">
        <v>2020</v>
      </c>
      <c r="E141" t="n">
        <v>-6.765180961341111</v>
      </c>
      <c r="F141" t="n">
        <v>-8.560903203336046</v>
      </c>
      <c r="G141">
        <f>IF(OR(F141="",E141=""),"",F141-E141)</f>
        <v/>
      </c>
      <c r="H141" t="n">
        <v>0.2585841869305087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Autumn2020</t>
        </is>
      </c>
      <c r="C142" t="inlineStr">
        <is>
          <t>Autumn</t>
        </is>
      </c>
      <c r="D142" t="n">
        <v>2021</v>
      </c>
      <c r="E142" t="n">
        <v>4.115938410775266</v>
      </c>
      <c r="F142" t="n">
        <v>4.884871278301543</v>
      </c>
      <c r="G142">
        <f>IF(OR(F142="",E142=""),"",F142-E142)</f>
        <v/>
      </c>
      <c r="H142" t="n">
        <v>0.1660956920665198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Spring2020</t>
        </is>
      </c>
      <c r="C143" t="inlineStr">
        <is>
          <t>Spring</t>
        </is>
      </c>
      <c r="D143" t="n">
        <v>2021</v>
      </c>
      <c r="E143" t="n">
        <v>5.005279001887342</v>
      </c>
      <c r="F143" t="n">
        <v>4.884871278301543</v>
      </c>
      <c r="G143">
        <f>IF(OR(F143="",E143=""),"",F143-E143)</f>
        <v/>
      </c>
      <c r="H143" t="n">
        <v>0.1660956920665198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Autumn2021</t>
        </is>
      </c>
      <c r="C144" t="inlineStr">
        <is>
          <t>Autumn</t>
        </is>
      </c>
      <c r="D144" t="n">
        <v>2021</v>
      </c>
      <c r="E144" t="n">
        <v>4.403154287800781</v>
      </c>
      <c r="F144" t="n">
        <v>4.884871278301543</v>
      </c>
      <c r="G144">
        <f>IF(OR(F144="",E144=""),"",F144-E144)</f>
        <v/>
      </c>
      <c r="H144" t="n">
        <v>0.1660956920665198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Spring2021</t>
        </is>
      </c>
      <c r="C145" t="inlineStr">
        <is>
          <t>Spring</t>
        </is>
      </c>
      <c r="D145" t="n">
        <v>2021</v>
      </c>
      <c r="E145" t="n">
        <v>3.407915196652112</v>
      </c>
      <c r="F145" t="n">
        <v>4.884871278301543</v>
      </c>
      <c r="G145">
        <f>IF(OR(F145="",E145=""),"",F145-E145)</f>
        <v/>
      </c>
      <c r="H145" t="n">
        <v>0.1660956920665198</v>
      </c>
      <c r="I145" t="inlineStr">
        <is>
          <t>Below median</t>
        </is>
      </c>
    </row>
    <row r="146">
      <c r="A146" t="inlineStr">
        <is>
          <t>IE</t>
        </is>
      </c>
      <c r="B146" t="inlineStr">
        <is>
          <t>Autumn2020</t>
        </is>
      </c>
      <c r="C146" t="inlineStr">
        <is>
          <t>Autumn</t>
        </is>
      </c>
      <c r="D146" t="n">
        <v>2021</v>
      </c>
      <c r="E146" t="n">
        <v>2.947813244873676</v>
      </c>
      <c r="F146" t="n">
        <v>15.1246997065809</v>
      </c>
      <c r="G146">
        <f>IF(OR(F146="",E146=""),"",F146-E146)</f>
        <v/>
      </c>
      <c r="H146" t="n">
        <v>0.1125684434133815</v>
      </c>
      <c r="I146" t="inlineStr">
        <is>
          <t>Below median</t>
        </is>
      </c>
    </row>
    <row r="147">
      <c r="A147" t="inlineStr">
        <is>
          <t>IE</t>
        </is>
      </c>
      <c r="B147" t="inlineStr">
        <is>
          <t>Spring2020</t>
        </is>
      </c>
      <c r="C147" t="inlineStr">
        <is>
          <t>Spring</t>
        </is>
      </c>
      <c r="D147" t="n">
        <v>2021</v>
      </c>
      <c r="E147" t="n">
        <v>6.084441522850637</v>
      </c>
      <c r="F147" t="n">
        <v>15.1246997065809</v>
      </c>
      <c r="G147">
        <f>IF(OR(F147="",E147=""),"",F147-E147)</f>
        <v/>
      </c>
      <c r="H147" t="n">
        <v>0.1125684434133815</v>
      </c>
      <c r="I147" t="inlineStr">
        <is>
          <t>Below median</t>
        </is>
      </c>
    </row>
    <row r="148">
      <c r="A148" t="inlineStr">
        <is>
          <t>IE</t>
        </is>
      </c>
      <c r="B148" t="inlineStr">
        <is>
          <t>Autumn2021</t>
        </is>
      </c>
      <c r="C148" t="inlineStr">
        <is>
          <t>Autumn</t>
        </is>
      </c>
      <c r="D148" t="n">
        <v>2021</v>
      </c>
      <c r="E148" t="n">
        <v>14.56298111140442</v>
      </c>
      <c r="F148" t="n">
        <v>15.1246997065809</v>
      </c>
      <c r="G148">
        <f>IF(OR(F148="",E148=""),"",F148-E148)</f>
        <v/>
      </c>
      <c r="H148" t="n">
        <v>0.1125684434133815</v>
      </c>
      <c r="I148" t="inlineStr">
        <is>
          <t>Below median</t>
        </is>
      </c>
    </row>
    <row r="149">
      <c r="A149" t="inlineStr">
        <is>
          <t>IE</t>
        </is>
      </c>
      <c r="B149" t="inlineStr">
        <is>
          <t>Spring2021</t>
        </is>
      </c>
      <c r="C149" t="inlineStr">
        <is>
          <t>Spring</t>
        </is>
      </c>
      <c r="D149" t="n">
        <v>2021</v>
      </c>
      <c r="E149" t="n">
        <v>4.59932575419888</v>
      </c>
      <c r="F149" t="n">
        <v>15.1246997065809</v>
      </c>
      <c r="G149">
        <f>IF(OR(F149="",E149=""),"",F149-E149)</f>
        <v/>
      </c>
      <c r="H149" t="n">
        <v>0.1125684434133815</v>
      </c>
      <c r="I149" t="inlineStr">
        <is>
          <t>Below median</t>
        </is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0.194316468208229</v>
      </c>
      <c r="I150" t="inlineStr">
        <is>
          <t>Below median</t>
        </is>
      </c>
    </row>
    <row r="151">
      <c r="A151" t="inlineStr">
        <is>
          <t>IT</t>
        </is>
      </c>
      <c r="B151" t="inlineStr">
        <is>
          <t>Spring2020</t>
        </is>
      </c>
      <c r="C151" t="inlineStr">
        <is>
          <t>Spring</t>
        </is>
      </c>
      <c r="D151" t="n">
        <v>2021</v>
      </c>
      <c r="E151" t="n">
        <v>6.54965690288567</v>
      </c>
      <c r="F151" t="n">
        <v>8.437067175906481</v>
      </c>
      <c r="G151">
        <f>IF(OR(F151="",E151=""),"",F151-E151)</f>
        <v/>
      </c>
      <c r="H151" t="n">
        <v>0.194316468208229</v>
      </c>
      <c r="I151" t="inlineStr">
        <is>
          <t>Below median</t>
        </is>
      </c>
    </row>
    <row r="152">
      <c r="A152" t="inlineStr">
        <is>
          <t>IT</t>
        </is>
      </c>
      <c r="B152" t="inlineStr">
        <is>
          <t>Autumn2021</t>
        </is>
      </c>
      <c r="C152" t="inlineStr">
        <is>
          <t>Autumn</t>
        </is>
      </c>
      <c r="D152" t="n">
        <v>2021</v>
      </c>
      <c r="E152" t="n">
        <v>6.229273312894534</v>
      </c>
      <c r="F152" t="n">
        <v>8.437067175906481</v>
      </c>
      <c r="G152">
        <f>IF(OR(F152="",E152=""),"",F152-E152)</f>
        <v/>
      </c>
      <c r="H152" t="n">
        <v>0.194316468208229</v>
      </c>
      <c r="I152" t="inlineStr">
        <is>
          <t>Below median</t>
        </is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0.194316468208229</v>
      </c>
      <c r="I153" t="inlineStr">
        <is>
          <t>Below median</t>
        </is>
      </c>
    </row>
    <row r="154">
      <c r="A154" t="inlineStr">
        <is>
          <t>PT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5.360660936400219</v>
      </c>
      <c r="F154" t="n">
        <v>5.40983730275</v>
      </c>
      <c r="G154">
        <f>IF(OR(F154="",E154=""),"",F154-E154)</f>
        <v/>
      </c>
      <c r="H154" t="n">
        <v>0.4234387647338496</v>
      </c>
      <c r="I154" t="inlineStr">
        <is>
          <t>Below median</t>
        </is>
      </c>
    </row>
    <row r="155">
      <c r="A155" t="inlineStr">
        <is>
          <t>PT</t>
        </is>
      </c>
      <c r="B155" t="inlineStr">
        <is>
          <t>Spring2020</t>
        </is>
      </c>
      <c r="C155" t="inlineStr">
        <is>
          <t>Spring</t>
        </is>
      </c>
      <c r="D155" t="n">
        <v>2021</v>
      </c>
      <c r="E155" t="n">
        <v>5.817909162111334</v>
      </c>
      <c r="F155" t="n">
        <v>5.40983730275</v>
      </c>
      <c r="G155">
        <f>IF(OR(F155="",E155=""),"",F155-E155)</f>
        <v/>
      </c>
      <c r="H155" t="n">
        <v>0.4234387647338496</v>
      </c>
      <c r="I155" t="inlineStr">
        <is>
          <t>Below median</t>
        </is>
      </c>
    </row>
    <row r="156">
      <c r="A156" t="inlineStr">
        <is>
          <t>PT</t>
        </is>
      </c>
      <c r="B156" t="inlineStr">
        <is>
          <t>Autumn2021</t>
        </is>
      </c>
      <c r="C156" t="inlineStr">
        <is>
          <t>Autumn</t>
        </is>
      </c>
      <c r="D156" t="n">
        <v>2021</v>
      </c>
      <c r="E156" t="n">
        <v>4.542806460139137</v>
      </c>
      <c r="F156" t="n">
        <v>5.40983730275</v>
      </c>
      <c r="G156">
        <f>IF(OR(F156="",E156=""),"",F156-E156)</f>
        <v/>
      </c>
      <c r="H156" t="n">
        <v>0.4234387647338496</v>
      </c>
      <c r="I156" t="inlineStr">
        <is>
          <t>Below median</t>
        </is>
      </c>
    </row>
    <row r="157">
      <c r="A157" t="inlineStr">
        <is>
          <t>PT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3.94410787739945</v>
      </c>
      <c r="F157" t="n">
        <v>5.40983730275</v>
      </c>
      <c r="G157">
        <f>IF(OR(F157="",E157=""),"",F157-E157)</f>
        <v/>
      </c>
      <c r="H157" t="n">
        <v>0.4234387647338496</v>
      </c>
      <c r="I157" t="inlineStr">
        <is>
          <t>Below median</t>
        </is>
      </c>
    </row>
    <row r="158">
      <c r="A158" t="inlineStr">
        <is>
          <t>AT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4.888358052685327</v>
      </c>
      <c r="F158" t="n">
        <v>5.289900562096076</v>
      </c>
      <c r="G158">
        <f>IF(OR(F158="",E158=""),"",F158-E158)</f>
        <v/>
      </c>
      <c r="H158" t="n">
        <v>0.1605865470863667</v>
      </c>
      <c r="I158" t="inlineStr">
        <is>
          <t>Below median</t>
        </is>
      </c>
    </row>
    <row r="159">
      <c r="A159" t="inlineStr">
        <is>
          <t>AT</t>
        </is>
      </c>
      <c r="B159" t="inlineStr">
        <is>
          <t>Spring2021</t>
        </is>
      </c>
      <c r="C159" t="inlineStr">
        <is>
          <t>Spring</t>
        </is>
      </c>
      <c r="D159" t="n">
        <v>2022</v>
      </c>
      <c r="E159" t="n">
        <v>4.281464653761358</v>
      </c>
      <c r="F159" t="n">
        <v>5.289900562096076</v>
      </c>
      <c r="G159">
        <f>IF(OR(F159="",E159=""),"",F159-E159)</f>
        <v/>
      </c>
      <c r="H159" t="n">
        <v>0.1605865470863667</v>
      </c>
      <c r="I159" t="inlineStr">
        <is>
          <t>Below median</t>
        </is>
      </c>
    </row>
    <row r="160">
      <c r="A160" t="inlineStr">
        <is>
          <t>AT</t>
        </is>
      </c>
      <c r="B160" t="inlineStr">
        <is>
          <t>Autumn2022</t>
        </is>
      </c>
      <c r="C160" t="inlineStr">
        <is>
          <t>Autumn</t>
        </is>
      </c>
      <c r="D160" t="n">
        <v>2022</v>
      </c>
      <c r="E160" t="n">
        <v>4.646911666641573</v>
      </c>
      <c r="F160" t="n">
        <v>5.289900562096076</v>
      </c>
      <c r="G160">
        <f>IF(OR(F160="",E160=""),"",F160-E160)</f>
        <v/>
      </c>
      <c r="H160" t="n">
        <v>0.1605865470863667</v>
      </c>
      <c r="I160" t="inlineStr">
        <is>
          <t>Below median</t>
        </is>
      </c>
    </row>
    <row r="161">
      <c r="A161" t="inlineStr">
        <is>
          <t>AT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3.919646006806898</v>
      </c>
      <c r="F161" t="n">
        <v>5.289900562096076</v>
      </c>
      <c r="G161">
        <f>IF(OR(F161="",E161=""),"",F161-E161)</f>
        <v/>
      </c>
      <c r="H161" t="n">
        <v>0.1605865470863667</v>
      </c>
      <c r="I161" t="inlineStr">
        <is>
          <t>Below median</t>
        </is>
      </c>
    </row>
    <row r="162">
      <c r="A162" t="inlineStr">
        <is>
          <t>IE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5.091872298073152</v>
      </c>
      <c r="F162" t="n">
        <v>7.989444336924596</v>
      </c>
      <c r="G162">
        <f>IF(OR(F162="",E162=""),"",F162-E162)</f>
        <v/>
      </c>
      <c r="H162" t="n">
        <v>0.1271052692901665</v>
      </c>
      <c r="I162" t="inlineStr">
        <is>
          <t>Below median</t>
        </is>
      </c>
    </row>
    <row r="163">
      <c r="A163" t="inlineStr">
        <is>
          <t>IE</t>
        </is>
      </c>
      <c r="B163" t="inlineStr">
        <is>
          <t>Spring2021</t>
        </is>
      </c>
      <c r="C163" t="inlineStr">
        <is>
          <t>Spring</t>
        </is>
      </c>
      <c r="D163" t="n">
        <v>2022</v>
      </c>
      <c r="E163" t="n">
        <v>4.975986839927704</v>
      </c>
      <c r="F163" t="n">
        <v>7.989444336924596</v>
      </c>
      <c r="G163">
        <f>IF(OR(F163="",E163=""),"",F163-E163)</f>
        <v/>
      </c>
      <c r="H163" t="n">
        <v>0.1271052692901665</v>
      </c>
      <c r="I163" t="inlineStr">
        <is>
          <t>Below median</t>
        </is>
      </c>
    </row>
    <row r="164">
      <c r="A164" t="inlineStr">
        <is>
          <t>IE</t>
        </is>
      </c>
      <c r="B164" t="inlineStr">
        <is>
          <t>Autumn2022</t>
        </is>
      </c>
      <c r="C164" t="inlineStr">
        <is>
          <t>Autumn</t>
        </is>
      </c>
      <c r="D164" t="n">
        <v>2022</v>
      </c>
      <c r="E164" t="n">
        <v>7.871083766264508</v>
      </c>
      <c r="F164" t="n">
        <v>7.989444336924596</v>
      </c>
      <c r="G164">
        <f>IF(OR(F164="",E164=""),"",F164-E164)</f>
        <v/>
      </c>
      <c r="H164" t="n">
        <v>0.1271052692901665</v>
      </c>
      <c r="I164" t="inlineStr">
        <is>
          <t>Below median</t>
        </is>
      </c>
    </row>
    <row r="165">
      <c r="A165" t="inlineStr">
        <is>
          <t>IE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5.381686196249635</v>
      </c>
      <c r="F165" t="n">
        <v>7.989444336924596</v>
      </c>
      <c r="G165">
        <f>IF(OR(F165="",E165=""),"",F165-E165)</f>
        <v/>
      </c>
      <c r="H165" t="n">
        <v>0.1271052692901665</v>
      </c>
      <c r="I165" t="inlineStr">
        <is>
          <t>Below median</t>
        </is>
      </c>
    </row>
    <row r="166">
      <c r="A166" t="inlineStr">
        <is>
          <t>IT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4.268919168787466</v>
      </c>
      <c r="F166" t="n">
        <v>4.854613486697751</v>
      </c>
      <c r="G166">
        <f>IF(OR(F166="",E166=""),"",F166-E166)</f>
        <v/>
      </c>
      <c r="H166" t="n">
        <v>0.1820226390657338</v>
      </c>
      <c r="I166" t="inlineStr">
        <is>
          <t>Below median</t>
        </is>
      </c>
    </row>
    <row r="167">
      <c r="A167" t="inlineStr">
        <is>
          <t>IT</t>
        </is>
      </c>
      <c r="B167" t="inlineStr">
        <is>
          <t>Spring2021</t>
        </is>
      </c>
      <c r="C167" t="inlineStr">
        <is>
          <t>Spring</t>
        </is>
      </c>
      <c r="D167" t="n">
        <v>2022</v>
      </c>
      <c r="E167" t="n">
        <v>4.39345862826459</v>
      </c>
      <c r="F167" t="n">
        <v>4.854613486697751</v>
      </c>
      <c r="G167">
        <f>IF(OR(F167="",E167=""),"",F167-E167)</f>
        <v/>
      </c>
      <c r="H167" t="n">
        <v>0.1820226390657338</v>
      </c>
      <c r="I167" t="inlineStr">
        <is>
          <t>Below median</t>
        </is>
      </c>
    </row>
    <row r="168">
      <c r="A168" t="inlineStr">
        <is>
          <t>IT</t>
        </is>
      </c>
      <c r="B168" t="inlineStr">
        <is>
          <t>Autumn2022</t>
        </is>
      </c>
      <c r="C168" t="inlineStr">
        <is>
          <t>Autumn</t>
        </is>
      </c>
      <c r="D168" t="n">
        <v>2022</v>
      </c>
      <c r="E168" t="n">
        <v>3.826892027953699</v>
      </c>
      <c r="F168" t="n">
        <v>4.854613486697751</v>
      </c>
      <c r="G168">
        <f>IF(OR(F168="",E168=""),"",F168-E168)</f>
        <v/>
      </c>
      <c r="H168" t="n">
        <v>0.1820226390657338</v>
      </c>
      <c r="I168" t="inlineStr">
        <is>
          <t>Below median</t>
        </is>
      </c>
    </row>
    <row r="169">
      <c r="A169" t="inlineStr">
        <is>
          <t>IT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2.425654280482226</v>
      </c>
      <c r="F169" t="n">
        <v>4.854613486697751</v>
      </c>
      <c r="G169">
        <f>IF(OR(F169="",E169=""),"",F169-E169)</f>
        <v/>
      </c>
      <c r="H169" t="n">
        <v>0.1820226390657338</v>
      </c>
      <c r="I169" t="inlineStr">
        <is>
          <t>Below median</t>
        </is>
      </c>
    </row>
    <row r="170">
      <c r="A170" t="inlineStr">
        <is>
          <t>PT</t>
        </is>
      </c>
      <c r="B170" t="inlineStr">
        <is>
          <t>Autumn2021</t>
        </is>
      </c>
      <c r="C170" t="inlineStr">
        <is>
          <t>Autumn</t>
        </is>
      </c>
      <c r="D170" t="n">
        <v>2022</v>
      </c>
      <c r="E170" t="n">
        <v>5.321265722881097</v>
      </c>
      <c r="F170" t="n">
        <v>6.752612450243378</v>
      </c>
      <c r="G170">
        <f>IF(OR(F170="",E170=""),"",F170-E170)</f>
        <v/>
      </c>
      <c r="H170" t="n">
        <v>0.4233952595104215</v>
      </c>
      <c r="I170" t="inlineStr">
        <is>
          <t>Below median</t>
        </is>
      </c>
    </row>
    <row r="171">
      <c r="A171" t="inlineStr">
        <is>
          <t>PT</t>
        </is>
      </c>
      <c r="B171" t="inlineStr">
        <is>
          <t>Spring2021</t>
        </is>
      </c>
      <c r="C171" t="inlineStr">
        <is>
          <t>Spring</t>
        </is>
      </c>
      <c r="D171" t="n">
        <v>2022</v>
      </c>
      <c r="E171" t="n">
        <v>5.098879235126508</v>
      </c>
      <c r="F171" t="n">
        <v>6.752612450243378</v>
      </c>
      <c r="G171">
        <f>IF(OR(F171="",E171=""),"",F171-E171)</f>
        <v/>
      </c>
      <c r="H171" t="n">
        <v>0.4233952595104215</v>
      </c>
      <c r="I171" t="inlineStr">
        <is>
          <t>Below median</t>
        </is>
      </c>
    </row>
    <row r="172">
      <c r="A172" t="inlineStr">
        <is>
          <t>PT</t>
        </is>
      </c>
      <c r="B172" t="inlineStr">
        <is>
          <t>Autumn2022</t>
        </is>
      </c>
      <c r="C172" t="inlineStr">
        <is>
          <t>Autumn</t>
        </is>
      </c>
      <c r="D172" t="n">
        <v>2022</v>
      </c>
      <c r="E172" t="n">
        <v>6.586125160880973</v>
      </c>
      <c r="F172" t="n">
        <v>6.752612450243378</v>
      </c>
      <c r="G172">
        <f>IF(OR(F172="",E172=""),"",F172-E172)</f>
        <v/>
      </c>
      <c r="H172" t="n">
        <v>0.4233952595104215</v>
      </c>
      <c r="I172" t="inlineStr">
        <is>
          <t>Below median</t>
        </is>
      </c>
    </row>
    <row r="173">
      <c r="A173" t="inlineStr">
        <is>
          <t>PT</t>
        </is>
      </c>
      <c r="B173" t="inlineStr">
        <is>
          <t>Spring2022</t>
        </is>
      </c>
      <c r="C173" t="inlineStr">
        <is>
          <t>Spring</t>
        </is>
      </c>
      <c r="D173" t="n">
        <v>2022</v>
      </c>
      <c r="E173" t="n">
        <v>5.805468708187478</v>
      </c>
      <c r="F173" t="n">
        <v>6.752612450243378</v>
      </c>
      <c r="G173">
        <f>IF(OR(F173="",E173=""),"",F173-E173)</f>
        <v/>
      </c>
      <c r="H173" t="n">
        <v>0.4233952595104215</v>
      </c>
      <c r="I173" t="inlineStr">
        <is>
          <t>Below median</t>
        </is>
      </c>
    </row>
    <row r="174">
      <c r="A174" t="inlineStr">
        <is>
          <t>AT</t>
        </is>
      </c>
      <c r="B174" t="inlineStr">
        <is>
          <t>Autumn2022</t>
        </is>
      </c>
      <c r="C174" t="inlineStr">
        <is>
          <t>Autumn</t>
        </is>
      </c>
      <c r="D174" t="n">
        <v>2023</v>
      </c>
      <c r="E174" t="n">
        <v>0.3033562315996052</v>
      </c>
      <c r="F174" t="n">
        <v>-0.6768389272940647</v>
      </c>
      <c r="G174">
        <f>IF(OR(F174="",E174=""),"",F174-E174)</f>
        <v/>
      </c>
      <c r="H174" t="n">
        <v>0.3483225405944791</v>
      </c>
      <c r="I174" t="inlineStr">
        <is>
          <t>Below median</t>
        </is>
      </c>
    </row>
    <row r="175">
      <c r="A175" t="inlineStr">
        <is>
          <t>AT</t>
        </is>
      </c>
      <c r="B175" t="inlineStr">
        <is>
          <t>Spring2022</t>
        </is>
      </c>
      <c r="C175" t="inlineStr">
        <is>
          <t>Spring</t>
        </is>
      </c>
      <c r="D175" t="n">
        <v>2023</v>
      </c>
      <c r="E175" t="n">
        <v>1.874018674886258</v>
      </c>
      <c r="F175" t="n">
        <v>-0.6768389272940647</v>
      </c>
      <c r="G175">
        <f>IF(OR(F175="",E175=""),"",F175-E175)</f>
        <v/>
      </c>
      <c r="H175" t="n">
        <v>0.3483225405944791</v>
      </c>
      <c r="I175" t="inlineStr">
        <is>
          <t>Below median</t>
        </is>
      </c>
    </row>
    <row r="176">
      <c r="A176" t="inlineStr">
        <is>
          <t>AT</t>
        </is>
      </c>
      <c r="B176" t="inlineStr">
        <is>
          <t>Autumn2023</t>
        </is>
      </c>
      <c r="C176" t="inlineStr">
        <is>
          <t>Autumn</t>
        </is>
      </c>
      <c r="D176" t="n">
        <v>2023</v>
      </c>
      <c r="E176" t="n">
        <v>-0.5465643960594901</v>
      </c>
      <c r="F176" t="n">
        <v>-0.6768389272940647</v>
      </c>
      <c r="G176">
        <f>IF(OR(F176="",E176=""),"",F176-E176)</f>
        <v/>
      </c>
      <c r="H176" t="n">
        <v>0.3483225405944791</v>
      </c>
      <c r="I176" t="inlineStr">
        <is>
          <t>Below median</t>
        </is>
      </c>
    </row>
    <row r="177">
      <c r="A177" t="inlineStr">
        <is>
          <t>AT</t>
        </is>
      </c>
      <c r="B177" t="inlineStr">
        <is>
          <t>Spring2023</t>
        </is>
      </c>
      <c r="C177" t="inlineStr">
        <is>
          <t>Spring</t>
        </is>
      </c>
      <c r="D177" t="n">
        <v>2023</v>
      </c>
      <c r="E177" t="n">
        <v>0.393397864180578</v>
      </c>
      <c r="F177" t="n">
        <v>-0.6768389272940647</v>
      </c>
      <c r="G177">
        <f>IF(OR(F177="",E177=""),"",F177-E177)</f>
        <v/>
      </c>
      <c r="H177" t="n">
        <v>0.3483225405944791</v>
      </c>
      <c r="I177" t="inlineStr">
        <is>
          <t>Below median</t>
        </is>
      </c>
    </row>
    <row r="178">
      <c r="A178" t="inlineStr">
        <is>
          <t>IE</t>
        </is>
      </c>
      <c r="B178" t="inlineStr">
        <is>
          <t>Autumn2022</t>
        </is>
      </c>
      <c r="C178" t="inlineStr">
        <is>
          <t>Autumn</t>
        </is>
      </c>
      <c r="D178" t="n">
        <v>2023</v>
      </c>
      <c r="E178" t="n">
        <v>3.172255506856847</v>
      </c>
      <c r="F178" t="n">
        <v>-3.520510301376442</v>
      </c>
      <c r="G178">
        <f>IF(OR(F178="",E178=""),"",F178-E178)</f>
        <v/>
      </c>
      <c r="H178" t="n">
        <v>0.08284304382170493</v>
      </c>
      <c r="I178" t="inlineStr">
        <is>
          <t>Below median</t>
        </is>
      </c>
    </row>
    <row r="179">
      <c r="A179" t="inlineStr">
        <is>
          <t>IE</t>
        </is>
      </c>
      <c r="B179" t="inlineStr">
        <is>
          <t>Spring2022</t>
        </is>
      </c>
      <c r="C179" t="inlineStr">
        <is>
          <t>Spring</t>
        </is>
      </c>
      <c r="D179" t="n">
        <v>2023</v>
      </c>
      <c r="E179" t="n">
        <v>4.434831401716832</v>
      </c>
      <c r="F179" t="n">
        <v>-3.520510301376442</v>
      </c>
      <c r="G179">
        <f>IF(OR(F179="",E179=""),"",F179-E179)</f>
        <v/>
      </c>
      <c r="H179" t="n">
        <v>0.08284304382170493</v>
      </c>
      <c r="I179" t="inlineStr">
        <is>
          <t>Below median</t>
        </is>
      </c>
    </row>
    <row r="180">
      <c r="A180" t="inlineStr">
        <is>
          <t>IE</t>
        </is>
      </c>
      <c r="B180" t="inlineStr">
        <is>
          <t>Autumn2023</t>
        </is>
      </c>
      <c r="C180" t="inlineStr">
        <is>
          <t>Autumn</t>
        </is>
      </c>
      <c r="D180" t="n">
        <v>2023</v>
      </c>
      <c r="E180" t="n">
        <v>-0.9349560050788241</v>
      </c>
      <c r="F180" t="n">
        <v>-3.520510301376442</v>
      </c>
      <c r="G180">
        <f>IF(OR(F180="",E180=""),"",F180-E180)</f>
        <v/>
      </c>
      <c r="H180" t="n">
        <v>0.08284304382170493</v>
      </c>
      <c r="I180" t="inlineStr">
        <is>
          <t>Below median</t>
        </is>
      </c>
    </row>
    <row r="181">
      <c r="A181" t="inlineStr">
        <is>
          <t>IE</t>
        </is>
      </c>
      <c r="B181" t="inlineStr">
        <is>
          <t>Spring2023</t>
        </is>
      </c>
      <c r="C181" t="inlineStr">
        <is>
          <t>Spring</t>
        </is>
      </c>
      <c r="D181" t="n">
        <v>2023</v>
      </c>
      <c r="E181" t="n">
        <v>5.517073045513365</v>
      </c>
      <c r="F181" t="n">
        <v>-3.520510301376442</v>
      </c>
      <c r="G181">
        <f>IF(OR(F181="",E181=""),"",F181-E181)</f>
        <v/>
      </c>
      <c r="H181" t="n">
        <v>0.08284304382170493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0.177052568927489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Spring2022</t>
        </is>
      </c>
      <c r="C183" t="inlineStr">
        <is>
          <t>Spring</t>
        </is>
      </c>
      <c r="D183" t="n">
        <v>2023</v>
      </c>
      <c r="E183" t="n">
        <v>1.851291422718337</v>
      </c>
      <c r="F183" t="n">
        <v>1.014274087639002</v>
      </c>
      <c r="G183">
        <f>IF(OR(F183="",E183=""),"",F183-E183)</f>
        <v/>
      </c>
      <c r="H183" t="n">
        <v>0.177052568927489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Autumn2023</t>
        </is>
      </c>
      <c r="C184" t="inlineStr">
        <is>
          <t>Autumn</t>
        </is>
      </c>
      <c r="D184" t="n">
        <v>2023</v>
      </c>
      <c r="E184" t="n">
        <v>0.6915731805126502</v>
      </c>
      <c r="F184" t="n">
        <v>1.014274087639002</v>
      </c>
      <c r="G184">
        <f>IF(OR(F184="",E184=""),"",F184-E184)</f>
        <v/>
      </c>
      <c r="H184" t="n">
        <v>0.177052568927489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0.177052568927489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0.7169614077881192</v>
      </c>
      <c r="F186" t="n">
        <v>3.052920210484774</v>
      </c>
      <c r="G186">
        <f>IF(OR(F186="",E186=""),"",F186-E186)</f>
        <v/>
      </c>
      <c r="H186" t="n">
        <v>0.2332189462001916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Spring2022</t>
        </is>
      </c>
      <c r="C187" t="inlineStr">
        <is>
          <t>Spring</t>
        </is>
      </c>
      <c r="D187" t="n">
        <v>2023</v>
      </c>
      <c r="E187" t="n">
        <v>2.660491887007432</v>
      </c>
      <c r="F187" t="n">
        <v>3.052920210484774</v>
      </c>
      <c r="G187">
        <f>IF(OR(F187="",E187=""),"",F187-E187)</f>
        <v/>
      </c>
      <c r="H187" t="n">
        <v>0.2332189462001916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Autumn2023</t>
        </is>
      </c>
      <c r="C188" t="inlineStr">
        <is>
          <t>Autumn</t>
        </is>
      </c>
      <c r="D188" t="n">
        <v>2023</v>
      </c>
      <c r="E188" t="n">
        <v>2.226883105497079</v>
      </c>
      <c r="F188" t="n">
        <v>3.052920210484774</v>
      </c>
      <c r="G188">
        <f>IF(OR(F188="",E188=""),"",F188-E188)</f>
        <v/>
      </c>
      <c r="H188" t="n">
        <v>0.2332189462001916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2.43876145125812</v>
      </c>
      <c r="F189" t="n">
        <v>3.052920210484774</v>
      </c>
      <c r="G189">
        <f>IF(OR(F189="",E189=""),"",F189-E189)</f>
        <v/>
      </c>
      <c r="H189" t="n">
        <v>0.2332189462001916</v>
      </c>
      <c r="I189" t="inlineStr">
        <is>
          <t>Below median</t>
        </is>
      </c>
    </row>
    <row r="190">
      <c r="A190" t="inlineStr">
        <is>
          <t>AT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1.003014698305593</v>
      </c>
      <c r="F190" t="n">
        <v>-0.8336012888591199</v>
      </c>
      <c r="G190">
        <f>IF(OR(F190="",E190=""),"",F190-E190)</f>
        <v/>
      </c>
      <c r="H190" t="n">
        <v>0.3091063485621471</v>
      </c>
      <c r="I190" t="inlineStr">
        <is>
          <t>Below median</t>
        </is>
      </c>
    </row>
    <row r="191">
      <c r="A191" t="inlineStr">
        <is>
          <t>AT</t>
        </is>
      </c>
      <c r="B191" t="inlineStr">
        <is>
          <t>Spring2023</t>
        </is>
      </c>
      <c r="C191" t="inlineStr">
        <is>
          <t>Spring</t>
        </is>
      </c>
      <c r="D191" t="n">
        <v>2024</v>
      </c>
      <c r="E191" t="n">
        <v>1.612734355819456</v>
      </c>
      <c r="F191" t="n">
        <v>-0.8336012888591199</v>
      </c>
      <c r="G191">
        <f>IF(OR(F191="",E191=""),"",F191-E191)</f>
        <v/>
      </c>
      <c r="H191" t="n">
        <v>0.3091063485621471</v>
      </c>
      <c r="I191" t="inlineStr">
        <is>
          <t>Below median</t>
        </is>
      </c>
    </row>
    <row r="192">
      <c r="A192" t="inlineStr">
        <is>
          <t>AT</t>
        </is>
      </c>
      <c r="B192" t="inlineStr">
        <is>
          <t>Autumn2024</t>
        </is>
      </c>
      <c r="C192" t="inlineStr">
        <is>
          <t>Autumn</t>
        </is>
      </c>
      <c r="D192" t="n">
        <v>2024</v>
      </c>
      <c r="E192" t="n">
        <v>-0.6216484368199215</v>
      </c>
      <c r="F192" t="n">
        <v>-0.8336012888591199</v>
      </c>
      <c r="G192">
        <f>IF(OR(F192="",E192=""),"",F192-E192)</f>
        <v/>
      </c>
      <c r="H192" t="n">
        <v>0.3091063485621471</v>
      </c>
      <c r="I192" t="inlineStr">
        <is>
          <t>Below median</t>
        </is>
      </c>
    </row>
    <row r="193">
      <c r="A193" t="inlineStr">
        <is>
          <t>AT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0.2911197737813565</v>
      </c>
      <c r="F193" t="n">
        <v>-0.8336012888591199</v>
      </c>
      <c r="G193">
        <f>IF(OR(F193="",E193=""),"",F193-E193)</f>
        <v/>
      </c>
      <c r="H193" t="n">
        <v>0.3091063485621471</v>
      </c>
      <c r="I193" t="inlineStr">
        <is>
          <t>Below median</t>
        </is>
      </c>
    </row>
    <row r="194">
      <c r="A194" t="inlineStr">
        <is>
          <t>IE</t>
        </is>
      </c>
      <c r="B194" t="inlineStr">
        <is>
          <t>Autumn2023</t>
        </is>
      </c>
      <c r="C194" t="inlineStr">
        <is>
          <t>Autumn</t>
        </is>
      </c>
      <c r="D194" t="n">
        <v>2024</v>
      </c>
      <c r="E194" t="n">
        <v>3.044064013446279</v>
      </c>
      <c r="F194" t="n">
        <v>3.620379562913446</v>
      </c>
      <c r="G194">
        <f>IF(OR(F194="",E194=""),"",F194-E194)</f>
        <v/>
      </c>
      <c r="H194" t="n">
        <v>0.1177447291038284</v>
      </c>
      <c r="I194" t="inlineStr">
        <is>
          <t>Below median</t>
        </is>
      </c>
    </row>
    <row r="195">
      <c r="A195" t="inlineStr">
        <is>
          <t>IE</t>
        </is>
      </c>
      <c r="B195" t="inlineStr">
        <is>
          <t>Spring2023</t>
        </is>
      </c>
      <c r="C195" t="inlineStr">
        <is>
          <t>Spring</t>
        </is>
      </c>
      <c r="D195" t="n">
        <v>2024</v>
      </c>
      <c r="E195" t="n">
        <v>4.967945256214601</v>
      </c>
      <c r="F195" t="n">
        <v>3.620379562913446</v>
      </c>
      <c r="G195">
        <f>IF(OR(F195="",E195=""),"",F195-E195)</f>
        <v/>
      </c>
      <c r="H195" t="n">
        <v>0.1177447291038284</v>
      </c>
      <c r="I195" t="inlineStr">
        <is>
          <t>Below median</t>
        </is>
      </c>
    </row>
    <row r="196">
      <c r="A196" t="inlineStr">
        <is>
          <t>IE</t>
        </is>
      </c>
      <c r="B196" t="inlineStr">
        <is>
          <t>Autumn2024</t>
        </is>
      </c>
      <c r="C196" t="inlineStr">
        <is>
          <t>Autumn</t>
        </is>
      </c>
      <c r="D196" t="n">
        <v>2024</v>
      </c>
      <c r="E196" t="n">
        <v>-0.5406263528774158</v>
      </c>
      <c r="F196" t="n">
        <v>3.620379562913446</v>
      </c>
      <c r="G196">
        <f>IF(OR(F196="",E196=""),"",F196-E196)</f>
        <v/>
      </c>
      <c r="H196" t="n">
        <v>0.1177447291038284</v>
      </c>
      <c r="I196" t="inlineStr">
        <is>
          <t>Below median</t>
        </is>
      </c>
    </row>
    <row r="197">
      <c r="A197" t="inlineStr">
        <is>
          <t>IE</t>
        </is>
      </c>
      <c r="B197" t="inlineStr">
        <is>
          <t>Spring2024</t>
        </is>
      </c>
      <c r="C197" t="inlineStr">
        <is>
          <t>Spring</t>
        </is>
      </c>
      <c r="D197" t="n">
        <v>2024</v>
      </c>
      <c r="E197" t="n">
        <v>1.243712466321201</v>
      </c>
      <c r="F197" t="n">
        <v>3.620379562913446</v>
      </c>
      <c r="G197">
        <f>IF(OR(F197="",E197=""),"",F197-E197)</f>
        <v/>
      </c>
      <c r="H197" t="n">
        <v>0.1177447291038284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0.852195649426335</v>
      </c>
      <c r="F198" t="n">
        <v>0.5846325798952693</v>
      </c>
      <c r="G198">
        <f>IF(OR(F198="",E198=""),"",F198-E198)</f>
        <v/>
      </c>
      <c r="H198" t="n">
        <v>0.2745598324981645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1.088219792885559</v>
      </c>
      <c r="F199" t="n">
        <v>0.5846325798952693</v>
      </c>
      <c r="G199">
        <f>IF(OR(F199="",E199=""),"",F199-E199)</f>
        <v/>
      </c>
      <c r="H199" t="n">
        <v>0.2745598324981645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0.6687507310409346</v>
      </c>
      <c r="F200" t="n">
        <v>0.5846325798952693</v>
      </c>
      <c r="G200">
        <f>IF(OR(F200="",E200=""),"",F200-E200)</f>
        <v/>
      </c>
      <c r="H200" t="n">
        <v>0.2745598324981645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0.9364833821859708</v>
      </c>
      <c r="F201" t="n">
        <v>0.5846325798952693</v>
      </c>
      <c r="G201">
        <f>IF(OR(F201="",E201=""),"",F201-E201)</f>
        <v/>
      </c>
      <c r="H201" t="n">
        <v>0.2745598324981645</v>
      </c>
      <c r="I201" t="inlineStr">
        <is>
          <t>Below median</t>
        </is>
      </c>
    </row>
    <row r="202">
      <c r="A202" t="inlineStr">
        <is>
          <t>PT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1.313347790478825</v>
      </c>
      <c r="F202" t="n">
        <v>2.190407278036138</v>
      </c>
      <c r="G202">
        <f>IF(OR(F202="",E202=""),"",F202-E202)</f>
        <v/>
      </c>
      <c r="H202" t="n">
        <v>0.3009952407635847</v>
      </c>
      <c r="I202" t="inlineStr">
        <is>
          <t>Below median</t>
        </is>
      </c>
    </row>
    <row r="203">
      <c r="A203" t="inlineStr">
        <is>
          <t>PT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1.756916125884089</v>
      </c>
      <c r="F203" t="n">
        <v>2.190407278036138</v>
      </c>
      <c r="G203">
        <f>IF(OR(F203="",E203=""),"",F203-E203)</f>
        <v/>
      </c>
      <c r="H203" t="n">
        <v>0.3009952407635847</v>
      </c>
      <c r="I203" t="inlineStr">
        <is>
          <t>Below median</t>
        </is>
      </c>
    </row>
    <row r="204">
      <c r="A204" t="inlineStr">
        <is>
          <t>PT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1.651473269423054</v>
      </c>
      <c r="F204" t="n">
        <v>2.190407278036138</v>
      </c>
      <c r="G204">
        <f>IF(OR(F204="",E204=""),"",F204-E204)</f>
        <v/>
      </c>
      <c r="H204" t="n">
        <v>0.3009952407635847</v>
      </c>
      <c r="I204" t="inlineStr">
        <is>
          <t>Below median</t>
        </is>
      </c>
    </row>
    <row r="205">
      <c r="A205" t="inlineStr">
        <is>
          <t>PT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1.734179743438991</v>
      </c>
      <c r="F205" t="n">
        <v>2.190407278036138</v>
      </c>
      <c r="G205">
        <f>IF(OR(F205="",E205=""),"",F205-E205)</f>
        <v/>
      </c>
      <c r="H205" t="n">
        <v>0.3009952407635847</v>
      </c>
      <c r="I205" t="inlineStr">
        <is>
          <t>Below median</t>
        </is>
      </c>
    </row>
    <row r="206">
      <c r="A206" t="inlineStr">
        <is>
          <t>AT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0.9930391223853752</v>
      </c>
      <c r="F206" t="n">
        <v>0.9524130020840387</v>
      </c>
      <c r="G206">
        <f>IF(OR(F206="",E206=""),"",F206-E206)</f>
        <v/>
      </c>
      <c r="H206" t="n">
        <v>0.1731590937268616</v>
      </c>
      <c r="I206" t="inlineStr">
        <is>
          <t>Below median</t>
        </is>
      </c>
    </row>
    <row r="207">
      <c r="A207" t="inlineStr">
        <is>
          <t>AT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1.602019532183996</v>
      </c>
      <c r="F207" t="n">
        <v>0.9524130020840387</v>
      </c>
      <c r="G207">
        <f>IF(OR(F207="",E207=""),"",F207-E207)</f>
        <v/>
      </c>
      <c r="H207" t="n">
        <v>0.1731590937268616</v>
      </c>
      <c r="I207" t="inlineStr">
        <is>
          <t>Below median</t>
        </is>
      </c>
    </row>
    <row r="208">
      <c r="A208" t="inlineStr">
        <is>
          <t>AT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0.3143623002578089</v>
      </c>
      <c r="F208" t="n">
        <v>0.9524130020840387</v>
      </c>
      <c r="G208">
        <f>IF(OR(F208="",E208=""),"",F208-E208)</f>
        <v/>
      </c>
      <c r="H208" t="n">
        <v>0.1731590937268616</v>
      </c>
      <c r="I208" t="inlineStr">
        <is>
          <t>Below median</t>
        </is>
      </c>
    </row>
    <row r="209">
      <c r="A209" t="inlineStr">
        <is>
          <t>AT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-0.2827078301863684</v>
      </c>
      <c r="F209" t="n">
        <v>0.9524130020840387</v>
      </c>
      <c r="G209">
        <f>IF(OR(F209="",E209=""),"",F209-E209)</f>
        <v/>
      </c>
      <c r="H209" t="n">
        <v>0.1731590937268616</v>
      </c>
      <c r="I209" t="inlineStr">
        <is>
          <t>Below median</t>
        </is>
      </c>
    </row>
    <row r="210">
      <c r="A210" t="inlineStr">
        <is>
          <t>IE</t>
        </is>
      </c>
      <c r="B210" t="inlineStr">
        <is>
          <t>Autumn2024</t>
        </is>
      </c>
      <c r="C210" t="inlineStr">
        <is>
          <t>Autumn</t>
        </is>
      </c>
      <c r="D210" t="n">
        <v>2025</v>
      </c>
      <c r="E210" t="n">
        <v>4.023669914633099</v>
      </c>
      <c r="F210" t="n">
        <v>7.779175438550681</v>
      </c>
      <c r="G210">
        <f>IF(OR(F210="",E210=""),"",F210-E210)</f>
        <v/>
      </c>
      <c r="H210" t="n">
        <v>0.1147657704770987</v>
      </c>
      <c r="I210" t="inlineStr">
        <is>
          <t>Below median</t>
        </is>
      </c>
    </row>
    <row r="211">
      <c r="A211" t="inlineStr">
        <is>
          <t>IE</t>
        </is>
      </c>
      <c r="B211" t="inlineStr">
        <is>
          <t>Spring2024</t>
        </is>
      </c>
      <c r="C211" t="inlineStr">
        <is>
          <t>Spring</t>
        </is>
      </c>
      <c r="D211" t="n">
        <v>2025</v>
      </c>
      <c r="E211" t="n">
        <v>3.592776601346959</v>
      </c>
      <c r="F211" t="n">
        <v>7.779175438550681</v>
      </c>
      <c r="G211">
        <f>IF(OR(F211="",E211=""),"",F211-E211)</f>
        <v/>
      </c>
      <c r="H211" t="n">
        <v>0.1147657704770987</v>
      </c>
      <c r="I211" t="inlineStr">
        <is>
          <t>Below median</t>
        </is>
      </c>
    </row>
    <row r="212">
      <c r="A212" t="inlineStr">
        <is>
          <t>IE</t>
        </is>
      </c>
      <c r="B212" t="inlineStr">
        <is>
          <t>Autumn2025</t>
        </is>
      </c>
      <c r="C212" t="inlineStr">
        <is>
          <t>Autumn</t>
        </is>
      </c>
      <c r="D212" t="n">
        <v>2025</v>
      </c>
      <c r="E212" t="n">
        <v>10.65081995793598</v>
      </c>
      <c r="F212" t="n">
        <v>7.779175438550681</v>
      </c>
      <c r="G212">
        <f>IF(OR(F212="",E212=""),"",F212-E212)</f>
        <v/>
      </c>
      <c r="H212" t="n">
        <v>0.1147657704770987</v>
      </c>
      <c r="I212" t="inlineStr">
        <is>
          <t>Below median</t>
        </is>
      </c>
    </row>
    <row r="213">
      <c r="A213" t="inlineStr">
        <is>
          <t>IE</t>
        </is>
      </c>
      <c r="B213" t="inlineStr">
        <is>
          <t>Spring2025</t>
        </is>
      </c>
      <c r="C213" t="inlineStr">
        <is>
          <t>Spring</t>
        </is>
      </c>
      <c r="D213" t="n">
        <v>2025</v>
      </c>
      <c r="E213" t="n">
        <v>3.377198218825495</v>
      </c>
      <c r="F213" t="n">
        <v>7.779175438550681</v>
      </c>
      <c r="G213">
        <f>IF(OR(F213="",E213=""),"",F213-E213)</f>
        <v/>
      </c>
      <c r="H213" t="n">
        <v>0.1147657704770987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1.037649244631034</v>
      </c>
      <c r="F214" t="n">
        <v>0.6613584275917628</v>
      </c>
      <c r="G214">
        <f>IF(OR(F214="",E214=""),"",F214-E214)</f>
        <v/>
      </c>
      <c r="H214" t="n">
        <v>0.4082085189590179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Spring2024</t>
        </is>
      </c>
      <c r="C215" t="inlineStr">
        <is>
          <t>Spring</t>
        </is>
      </c>
      <c r="D215" t="n">
        <v>2025</v>
      </c>
      <c r="E215" t="n">
        <v>1.097944905021642</v>
      </c>
      <c r="F215" t="n">
        <v>0.6613584275917628</v>
      </c>
      <c r="G215">
        <f>IF(OR(F215="",E215=""),"",F215-E215)</f>
        <v/>
      </c>
      <c r="H215" t="n">
        <v>0.4082085189590179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Autumn2025</t>
        </is>
      </c>
      <c r="C216" t="inlineStr">
        <is>
          <t>Autumn</t>
        </is>
      </c>
      <c r="D216" t="n">
        <v>2025</v>
      </c>
      <c r="E216" t="n">
        <v>0.3598162212145484</v>
      </c>
      <c r="F216" t="n">
        <v>0.6613584275917628</v>
      </c>
      <c r="G216">
        <f>IF(OR(F216="",E216=""),"",F216-E216)</f>
        <v/>
      </c>
      <c r="H216" t="n">
        <v>0.4082085189590179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0.6644793059721987</v>
      </c>
      <c r="F217" t="n">
        <v>0.6613584275917628</v>
      </c>
      <c r="G217">
        <f>IF(OR(F217="",E217=""),"",F217-E217)</f>
        <v/>
      </c>
      <c r="H217" t="n">
        <v>0.4082085189590179</v>
      </c>
      <c r="I217" t="inlineStr">
        <is>
          <t>Below median</t>
        </is>
      </c>
    </row>
    <row r="218">
      <c r="A218" t="inlineStr">
        <is>
          <t>PT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1.851074416505627</v>
      </c>
      <c r="F218" t="n">
        <v>1.84420000904056</v>
      </c>
      <c r="G218">
        <f>IF(OR(F218="",E218=""),"",F218-E218)</f>
        <v/>
      </c>
      <c r="H218" t="n">
        <v>0.1926127574837464</v>
      </c>
      <c r="I218" t="inlineStr">
        <is>
          <t>Below median</t>
        </is>
      </c>
    </row>
    <row r="219">
      <c r="A219" t="inlineStr">
        <is>
          <t>PT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1.87529344869708</v>
      </c>
      <c r="F219" t="n">
        <v>1.84420000904056</v>
      </c>
      <c r="G219">
        <f>IF(OR(F219="",E219=""),"",F219-E219)</f>
        <v/>
      </c>
      <c r="H219" t="n">
        <v>0.1926127574837464</v>
      </c>
      <c r="I219" t="inlineStr">
        <is>
          <t>Below median</t>
        </is>
      </c>
    </row>
    <row r="220">
      <c r="A220" t="inlineStr">
        <is>
          <t>PT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1.898720252436026</v>
      </c>
      <c r="F220" t="n">
        <v>1.84420000904056</v>
      </c>
      <c r="G220">
        <f>IF(OR(F220="",E220=""),"",F220-E220)</f>
        <v/>
      </c>
      <c r="H220" t="n">
        <v>0.1926127574837464</v>
      </c>
      <c r="I220" t="inlineStr">
        <is>
          <t>Below median</t>
        </is>
      </c>
    </row>
    <row r="221">
      <c r="A221" t="inlineStr">
        <is>
          <t>PT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1.750587684359384</v>
      </c>
      <c r="F221" t="n">
        <v>1.84420000904056</v>
      </c>
      <c r="G221">
        <f>IF(OR(F221="",E221=""),"",F221-E221)</f>
        <v/>
      </c>
      <c r="H221" t="n">
        <v>0.1926127574837464</v>
      </c>
      <c r="I221" t="inlineStr">
        <is>
          <t>Below median</t>
        </is>
      </c>
    </row>
    <row r="222">
      <c r="A222" t="inlineStr">
        <is>
          <t>DE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1.095015499462715</v>
      </c>
      <c r="F222" t="n">
        <v>1.511701771928704</v>
      </c>
      <c r="G222">
        <f>IF(OR(F222="",E222=""),"",F222-E222)</f>
        <v/>
      </c>
      <c r="H222" t="n">
        <v>1.103176680510146</v>
      </c>
      <c r="I222" t="inlineStr">
        <is>
          <t>Above median</t>
        </is>
      </c>
    </row>
    <row r="223">
      <c r="A223" t="inlineStr">
        <is>
          <t>DE</t>
        </is>
      </c>
      <c r="B223" t="inlineStr">
        <is>
          <t>Spring2014</t>
        </is>
      </c>
      <c r="C223" t="inlineStr">
        <is>
          <t>Spring</t>
        </is>
      </c>
      <c r="D223" t="n">
        <v>2015</v>
      </c>
      <c r="E223" t="n">
        <v>1.98405462735789</v>
      </c>
      <c r="F223" t="n">
        <v>1.511701771928704</v>
      </c>
      <c r="G223">
        <f>IF(OR(F223="",E223=""),"",F223-E223)</f>
        <v/>
      </c>
      <c r="H223" t="n">
        <v>1.103176680510146</v>
      </c>
      <c r="I223" t="inlineStr">
        <is>
          <t>Above median</t>
        </is>
      </c>
    </row>
    <row r="224">
      <c r="A224" t="inlineStr">
        <is>
          <t>DE</t>
        </is>
      </c>
      <c r="B224" t="inlineStr">
        <is>
          <t>Autumn2015</t>
        </is>
      </c>
      <c r="C224" t="inlineStr">
        <is>
          <t>Autumn</t>
        </is>
      </c>
      <c r="D224" t="n">
        <v>2015</v>
      </c>
      <c r="E224" t="n">
        <v>1.710561128952803</v>
      </c>
      <c r="F224" t="n">
        <v>1.511701771928704</v>
      </c>
      <c r="G224">
        <f>IF(OR(F224="",E224=""),"",F224-E224)</f>
        <v/>
      </c>
      <c r="H224" t="n">
        <v>1.103176680510146</v>
      </c>
      <c r="I224" t="inlineStr">
        <is>
          <t>Above median</t>
        </is>
      </c>
    </row>
    <row r="225">
      <c r="A225" t="inlineStr">
        <is>
          <t>DE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1.87179082510891</v>
      </c>
      <c r="F225" t="n">
        <v>1.511701771928704</v>
      </c>
      <c r="G225">
        <f>IF(OR(F225="",E225=""),"",F225-E225)</f>
        <v/>
      </c>
      <c r="H225" t="n">
        <v>1.103176680510146</v>
      </c>
      <c r="I225" t="inlineStr">
        <is>
          <t>Above median</t>
        </is>
      </c>
    </row>
    <row r="226">
      <c r="A226" t="inlineStr">
        <is>
          <t>FI</t>
        </is>
      </c>
      <c r="B226" t="inlineStr">
        <is>
          <t>Autumn2014</t>
        </is>
      </c>
      <c r="C226" t="inlineStr">
        <is>
          <t>Autumn</t>
        </is>
      </c>
      <c r="D226" t="n">
        <v>2015</v>
      </c>
      <c r="E226" t="n">
        <v>0.6115453306968277</v>
      </c>
      <c r="F226" t="n">
        <v>0.4653357874617425</v>
      </c>
      <c r="G226">
        <f>IF(OR(F226="",E226=""),"",F226-E226)</f>
        <v/>
      </c>
      <c r="H226" t="n">
        <v>0.60506274617036</v>
      </c>
      <c r="I226" t="inlineStr">
        <is>
          <t>Above median</t>
        </is>
      </c>
    </row>
    <row r="227">
      <c r="A227" t="inlineStr">
        <is>
          <t>FI</t>
        </is>
      </c>
      <c r="B227" t="inlineStr">
        <is>
          <t>Spring2014</t>
        </is>
      </c>
      <c r="C227" t="inlineStr">
        <is>
          <t>Spring</t>
        </is>
      </c>
      <c r="D227" t="n">
        <v>2015</v>
      </c>
      <c r="E227" t="n">
        <v>1.03813878882193</v>
      </c>
      <c r="F227" t="n">
        <v>0.4653357874617425</v>
      </c>
      <c r="G227">
        <f>IF(OR(F227="",E227=""),"",F227-E227)</f>
        <v/>
      </c>
      <c r="H227" t="n">
        <v>0.60506274617036</v>
      </c>
      <c r="I227" t="inlineStr">
        <is>
          <t>Above median</t>
        </is>
      </c>
    </row>
    <row r="228">
      <c r="A228" t="inlineStr">
        <is>
          <t>FI</t>
        </is>
      </c>
      <c r="B228" t="inlineStr">
        <is>
          <t>Autumn2015</t>
        </is>
      </c>
      <c r="C228" t="inlineStr">
        <is>
          <t>Autumn</t>
        </is>
      </c>
      <c r="D228" t="n">
        <v>2015</v>
      </c>
      <c r="E228" t="n">
        <v>0.3399983896508418</v>
      </c>
      <c r="F228" t="n">
        <v>0.4653357874617425</v>
      </c>
      <c r="G228">
        <f>IF(OR(F228="",E228=""),"",F228-E228)</f>
        <v/>
      </c>
      <c r="H228" t="n">
        <v>0.60506274617036</v>
      </c>
      <c r="I228" t="inlineStr">
        <is>
          <t>Above median</t>
        </is>
      </c>
    </row>
    <row r="229">
      <c r="A229" t="inlineStr">
        <is>
          <t>FI</t>
        </is>
      </c>
      <c r="B229" t="inlineStr">
        <is>
          <t>Spring2015</t>
        </is>
      </c>
      <c r="C229" t="inlineStr">
        <is>
          <t>Spring</t>
        </is>
      </c>
      <c r="D229" t="n">
        <v>2015</v>
      </c>
      <c r="E229" t="n">
        <v>0.3422181701169036</v>
      </c>
      <c r="F229" t="n">
        <v>0.4653357874617425</v>
      </c>
      <c r="G229">
        <f>IF(OR(F229="",E229=""),"",F229-E229)</f>
        <v/>
      </c>
      <c r="H229" t="n">
        <v>0.60506274617036</v>
      </c>
      <c r="I229" t="inlineStr">
        <is>
          <t>Above median</t>
        </is>
      </c>
    </row>
    <row r="230">
      <c r="A230" t="inlineStr">
        <is>
          <t>FR</t>
        </is>
      </c>
      <c r="B230" t="inlineStr">
        <is>
          <t>Autumn2014</t>
        </is>
      </c>
      <c r="C230" t="inlineStr">
        <is>
          <t>Autumn</t>
        </is>
      </c>
      <c r="D230" t="n">
        <v>2015</v>
      </c>
      <c r="E230" t="n">
        <v>0.6949712075725589</v>
      </c>
      <c r="F230" t="n">
        <v>0.9935247504241893</v>
      </c>
      <c r="G230">
        <f>IF(OR(F230="",E230=""),"",F230-E230)</f>
        <v/>
      </c>
      <c r="H230" t="n">
        <v>1.724983349119061</v>
      </c>
      <c r="I230" t="inlineStr">
        <is>
          <t>Above median</t>
        </is>
      </c>
    </row>
    <row r="231">
      <c r="A231" t="inlineStr">
        <is>
          <t>FR</t>
        </is>
      </c>
      <c r="B231" t="inlineStr">
        <is>
          <t>Spring2014</t>
        </is>
      </c>
      <c r="C231" t="inlineStr">
        <is>
          <t>Spring</t>
        </is>
      </c>
      <c r="D231" t="n">
        <v>2015</v>
      </c>
      <c r="E231" t="n">
        <v>1.473252431746119</v>
      </c>
      <c r="F231" t="n">
        <v>0.9935247504241893</v>
      </c>
      <c r="G231">
        <f>IF(OR(F231="",E231=""),"",F231-E231)</f>
        <v/>
      </c>
      <c r="H231" t="n">
        <v>1.724983349119061</v>
      </c>
      <c r="I231" t="inlineStr">
        <is>
          <t>Above median</t>
        </is>
      </c>
    </row>
    <row r="232">
      <c r="A232" t="inlineStr">
        <is>
          <t>FR</t>
        </is>
      </c>
      <c r="B232" t="inlineStr">
        <is>
          <t>Autumn2015</t>
        </is>
      </c>
      <c r="C232" t="inlineStr">
        <is>
          <t>Autumn</t>
        </is>
      </c>
      <c r="D232" t="n">
        <v>2015</v>
      </c>
      <c r="E232" t="n">
        <v>1.082939648847692</v>
      </c>
      <c r="F232" t="n">
        <v>0.9935247504241893</v>
      </c>
      <c r="G232">
        <f>IF(OR(F232="",E232=""),"",F232-E232)</f>
        <v/>
      </c>
      <c r="H232" t="n">
        <v>1.724983349119061</v>
      </c>
      <c r="I232" t="inlineStr">
        <is>
          <t>Above median</t>
        </is>
      </c>
    </row>
    <row r="233">
      <c r="A233" t="inlineStr">
        <is>
          <t>FR</t>
        </is>
      </c>
      <c r="B233" t="inlineStr">
        <is>
          <t>Spring2015</t>
        </is>
      </c>
      <c r="C233" t="inlineStr">
        <is>
          <t>Spring</t>
        </is>
      </c>
      <c r="D233" t="n">
        <v>2015</v>
      </c>
      <c r="E233" t="n">
        <v>1.081963871443703</v>
      </c>
      <c r="F233" t="n">
        <v>0.9935247504241893</v>
      </c>
      <c r="G233">
        <f>IF(OR(F233="",E233=""),"",F233-E233)</f>
        <v/>
      </c>
      <c r="H233" t="n">
        <v>1.724983349119061</v>
      </c>
      <c r="I233" t="inlineStr">
        <is>
          <t>Above median</t>
        </is>
      </c>
    </row>
    <row r="234">
      <c r="A234" t="inlineStr">
        <is>
          <t>NL</t>
        </is>
      </c>
      <c r="B234" t="inlineStr">
        <is>
          <t>Autumn2014</t>
        </is>
      </c>
      <c r="C234" t="inlineStr">
        <is>
          <t>Autumn</t>
        </is>
      </c>
      <c r="D234" t="n">
        <v>2015</v>
      </c>
      <c r="E234" t="n">
        <v>1.415241195180372</v>
      </c>
      <c r="F234" t="n">
        <v>2.075992985655045</v>
      </c>
      <c r="G234">
        <f>IF(OR(F234="",E234=""),"",F234-E234)</f>
        <v/>
      </c>
      <c r="H234" t="n">
        <v>0.6446922739568922</v>
      </c>
      <c r="I234" t="inlineStr">
        <is>
          <t>Above median</t>
        </is>
      </c>
    </row>
    <row r="235">
      <c r="A235" t="inlineStr">
        <is>
          <t>NL</t>
        </is>
      </c>
      <c r="B235" t="inlineStr">
        <is>
          <t>Spring2014</t>
        </is>
      </c>
      <c r="C235" t="inlineStr">
        <is>
          <t>Spring</t>
        </is>
      </c>
      <c r="D235" t="n">
        <v>2015</v>
      </c>
      <c r="E235" t="n">
        <v>1.358712618837976</v>
      </c>
      <c r="F235" t="n">
        <v>2.075992985655045</v>
      </c>
      <c r="G235">
        <f>IF(OR(F235="",E235=""),"",F235-E235)</f>
        <v/>
      </c>
      <c r="H235" t="n">
        <v>0.6446922739568922</v>
      </c>
      <c r="I235" t="inlineStr">
        <is>
          <t>Above median</t>
        </is>
      </c>
    </row>
    <row r="236">
      <c r="A236" t="inlineStr">
        <is>
          <t>NL</t>
        </is>
      </c>
      <c r="B236" t="inlineStr">
        <is>
          <t>Autumn2015</t>
        </is>
      </c>
      <c r="C236" t="inlineStr">
        <is>
          <t>Autumn</t>
        </is>
      </c>
      <c r="D236" t="n">
        <v>2015</v>
      </c>
      <c r="E236" t="n">
        <v>2.048080115775686</v>
      </c>
      <c r="F236" t="n">
        <v>2.075992985655045</v>
      </c>
      <c r="G236">
        <f>IF(OR(F236="",E236=""),"",F236-E236)</f>
        <v/>
      </c>
      <c r="H236" t="n">
        <v>0.6446922739568922</v>
      </c>
      <c r="I236" t="inlineStr">
        <is>
          <t>Above median</t>
        </is>
      </c>
    </row>
    <row r="237">
      <c r="A237" t="inlineStr">
        <is>
          <t>NL</t>
        </is>
      </c>
      <c r="B237" t="inlineStr">
        <is>
          <t>Spring2015</t>
        </is>
      </c>
      <c r="C237" t="inlineStr">
        <is>
          <t>Spring</t>
        </is>
      </c>
      <c r="D237" t="n">
        <v>2015</v>
      </c>
      <c r="E237" t="n">
        <v>1.634744403265187</v>
      </c>
      <c r="F237" t="n">
        <v>2.075992985655045</v>
      </c>
      <c r="G237">
        <f>IF(OR(F237="",E237=""),"",F237-E237)</f>
        <v/>
      </c>
      <c r="H237" t="n">
        <v>0.6446922739568922</v>
      </c>
      <c r="I237" t="inlineStr">
        <is>
          <t>Above median</t>
        </is>
      </c>
    </row>
    <row r="238">
      <c r="A238" t="inlineStr">
        <is>
          <t>DE</t>
        </is>
      </c>
      <c r="B238" t="inlineStr">
        <is>
          <t>Autumn2015</t>
        </is>
      </c>
      <c r="C238" t="inlineStr">
        <is>
          <t>Autumn</t>
        </is>
      </c>
      <c r="D238" t="n">
        <v>2016</v>
      </c>
      <c r="E238" t="n">
        <v>1.906460861879422</v>
      </c>
      <c r="F238" t="n">
        <v>2.1850659941992</v>
      </c>
      <c r="G238">
        <f>IF(OR(F238="",E238=""),"",F238-E238)</f>
        <v/>
      </c>
      <c r="H238" t="n">
        <v>1.727810237069963</v>
      </c>
      <c r="I238" t="inlineStr">
        <is>
          <t>Above median</t>
        </is>
      </c>
    </row>
    <row r="239">
      <c r="A239" t="inlineStr">
        <is>
          <t>DE</t>
        </is>
      </c>
      <c r="B239" t="inlineStr">
        <is>
          <t>Spring2015</t>
        </is>
      </c>
      <c r="C239" t="inlineStr">
        <is>
          <t>Spring</t>
        </is>
      </c>
      <c r="D239" t="n">
        <v>2016</v>
      </c>
      <c r="E239" t="n">
        <v>2.024744839781101</v>
      </c>
      <c r="F239" t="n">
        <v>2.1850659941992</v>
      </c>
      <c r="G239">
        <f>IF(OR(F239="",E239=""),"",F239-E239)</f>
        <v/>
      </c>
      <c r="H239" t="n">
        <v>1.727810237069963</v>
      </c>
      <c r="I239" t="inlineStr">
        <is>
          <t>Above median</t>
        </is>
      </c>
    </row>
    <row r="240">
      <c r="A240" t="inlineStr">
        <is>
          <t>DE</t>
        </is>
      </c>
      <c r="B240" t="inlineStr">
        <is>
          <t>Autumn2016</t>
        </is>
      </c>
      <c r="C240" t="inlineStr">
        <is>
          <t>Autumn</t>
        </is>
      </c>
      <c r="D240" t="n">
        <v>2016</v>
      </c>
      <c r="E240" t="n">
        <v>1.938870893254263</v>
      </c>
      <c r="F240" t="n">
        <v>2.1850659941992</v>
      </c>
      <c r="G240">
        <f>IF(OR(F240="",E240=""),"",F240-E240)</f>
        <v/>
      </c>
      <c r="H240" t="n">
        <v>1.727810237069963</v>
      </c>
      <c r="I240" t="inlineStr">
        <is>
          <t>Above median</t>
        </is>
      </c>
    </row>
    <row r="241">
      <c r="A241" t="inlineStr">
        <is>
          <t>DE</t>
        </is>
      </c>
      <c r="B241" t="inlineStr">
        <is>
          <t>Spring2016</t>
        </is>
      </c>
      <c r="C241" t="inlineStr">
        <is>
          <t>Spring</t>
        </is>
      </c>
      <c r="D241" t="n">
        <v>2016</v>
      </c>
      <c r="E241" t="n">
        <v>1.624850184809512</v>
      </c>
      <c r="F241" t="n">
        <v>2.1850659941992</v>
      </c>
      <c r="G241">
        <f>IF(OR(F241="",E241=""),"",F241-E241)</f>
        <v/>
      </c>
      <c r="H241" t="n">
        <v>1.727810237069963</v>
      </c>
      <c r="I241" t="inlineStr">
        <is>
          <t>Above median</t>
        </is>
      </c>
    </row>
    <row r="242">
      <c r="A242" t="inlineStr">
        <is>
          <t>FR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1.429394342330759</v>
      </c>
      <c r="F242" t="n">
        <v>0.7341997048160207</v>
      </c>
      <c r="G242">
        <f>IF(OR(F242="",E242=""),"",F242-E242)</f>
        <v/>
      </c>
      <c r="H242" t="n">
        <v>3.57108006486078</v>
      </c>
      <c r="I242" t="inlineStr">
        <is>
          <t>Above median</t>
        </is>
      </c>
    </row>
    <row r="243">
      <c r="A243" t="inlineStr">
        <is>
          <t>FR</t>
        </is>
      </c>
      <c r="B243" t="inlineStr">
        <is>
          <t>Spring2015</t>
        </is>
      </c>
      <c r="C243" t="inlineStr">
        <is>
          <t>Spring</t>
        </is>
      </c>
      <c r="D243" t="n">
        <v>2016</v>
      </c>
      <c r="E243" t="n">
        <v>1.6816047146198</v>
      </c>
      <c r="F243" t="n">
        <v>0.7341997048160207</v>
      </c>
      <c r="G243">
        <f>IF(OR(F243="",E243=""),"",F243-E243)</f>
        <v/>
      </c>
      <c r="H243" t="n">
        <v>3.57108006486078</v>
      </c>
      <c r="I243" t="inlineStr">
        <is>
          <t>Above median</t>
        </is>
      </c>
    </row>
    <row r="244">
      <c r="A244" t="inlineStr">
        <is>
          <t>FR</t>
        </is>
      </c>
      <c r="B244" t="inlineStr">
        <is>
          <t>Autumn2016</t>
        </is>
      </c>
      <c r="C244" t="inlineStr">
        <is>
          <t>Autumn</t>
        </is>
      </c>
      <c r="D244" t="n">
        <v>2016</v>
      </c>
      <c r="E244" t="n">
        <v>1.254473785454957</v>
      </c>
      <c r="F244" t="n">
        <v>0.7341997048160207</v>
      </c>
      <c r="G244">
        <f>IF(OR(F244="",E244=""),"",F244-E244)</f>
        <v/>
      </c>
      <c r="H244" t="n">
        <v>3.57108006486078</v>
      </c>
      <c r="I244" t="inlineStr">
        <is>
          <t>Above median</t>
        </is>
      </c>
    </row>
    <row r="245">
      <c r="A245" t="inlineStr">
        <is>
          <t>FR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1.331417785335498</v>
      </c>
      <c r="F245" t="n">
        <v>0.7341997048160207</v>
      </c>
      <c r="G245">
        <f>IF(OR(F245="",E245=""),"",F245-E245)</f>
        <v/>
      </c>
      <c r="H245" t="n">
        <v>3.57108006486078</v>
      </c>
      <c r="I245" t="inlineStr">
        <is>
          <t>Above median</t>
        </is>
      </c>
    </row>
    <row r="246">
      <c r="A246" t="inlineStr">
        <is>
          <t>NL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2.132598677773467</v>
      </c>
      <c r="F246" t="n">
        <v>2.39097826564383</v>
      </c>
      <c r="G246">
        <f>IF(OR(F246="",E246=""),"",F246-E246)</f>
        <v/>
      </c>
      <c r="H246" t="n">
        <v>0.8886943821939181</v>
      </c>
      <c r="I246" t="inlineStr">
        <is>
          <t>Above median</t>
        </is>
      </c>
    </row>
    <row r="247">
      <c r="A247" t="inlineStr">
        <is>
          <t>NL</t>
        </is>
      </c>
      <c r="B247" t="inlineStr">
        <is>
          <t>Spring2015</t>
        </is>
      </c>
      <c r="C247" t="inlineStr">
        <is>
          <t>Spring</t>
        </is>
      </c>
      <c r="D247" t="n">
        <v>2016</v>
      </c>
      <c r="E247" t="n">
        <v>1.732711988861091</v>
      </c>
      <c r="F247" t="n">
        <v>2.39097826564383</v>
      </c>
      <c r="G247">
        <f>IF(OR(F247="",E247=""),"",F247-E247)</f>
        <v/>
      </c>
      <c r="H247" t="n">
        <v>0.8886943821939181</v>
      </c>
      <c r="I247" t="inlineStr">
        <is>
          <t>Above median</t>
        </is>
      </c>
    </row>
    <row r="248">
      <c r="A248" t="inlineStr">
        <is>
          <t>NL</t>
        </is>
      </c>
      <c r="B248" t="inlineStr">
        <is>
          <t>Autumn2016</t>
        </is>
      </c>
      <c r="C248" t="inlineStr">
        <is>
          <t>Autumn</t>
        </is>
      </c>
      <c r="D248" t="n">
        <v>2016</v>
      </c>
      <c r="E248" t="n">
        <v>1.658974421945225</v>
      </c>
      <c r="F248" t="n">
        <v>2.39097826564383</v>
      </c>
      <c r="G248">
        <f>IF(OR(F248="",E248=""),"",F248-E248)</f>
        <v/>
      </c>
      <c r="H248" t="n">
        <v>0.8886943821939181</v>
      </c>
      <c r="I248" t="inlineStr">
        <is>
          <t>Above median</t>
        </is>
      </c>
    </row>
    <row r="249">
      <c r="A249" t="inlineStr">
        <is>
          <t>NL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1.677479255523839</v>
      </c>
      <c r="F249" t="n">
        <v>2.39097826564383</v>
      </c>
      <c r="G249">
        <f>IF(OR(F249="",E249=""),"",F249-E249)</f>
        <v/>
      </c>
      <c r="H249" t="n">
        <v>0.8886943821939181</v>
      </c>
      <c r="I249" t="inlineStr">
        <is>
          <t>Above median</t>
        </is>
      </c>
    </row>
    <row r="250">
      <c r="A250" t="inlineStr">
        <is>
          <t>BE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1.312930787717281</v>
      </c>
      <c r="F250" t="n">
        <v>1.463710503935746</v>
      </c>
      <c r="G250">
        <f>IF(OR(F250="",E250=""),"",F250-E250)</f>
        <v/>
      </c>
      <c r="H250" t="n">
        <v>0.6652571018505543</v>
      </c>
      <c r="I250" t="inlineStr">
        <is>
          <t>Above median</t>
        </is>
      </c>
    </row>
    <row r="251">
      <c r="A251" t="inlineStr">
        <is>
          <t>BE</t>
        </is>
      </c>
      <c r="B251" t="inlineStr">
        <is>
          <t>Spring2016</t>
        </is>
      </c>
      <c r="C251" t="inlineStr">
        <is>
          <t>Spring</t>
        </is>
      </c>
      <c r="D251" t="n">
        <v>2017</v>
      </c>
      <c r="E251" t="n">
        <v>1.566209901734994</v>
      </c>
      <c r="F251" t="n">
        <v>1.463710503935746</v>
      </c>
      <c r="G251">
        <f>IF(OR(F251="",E251=""),"",F251-E251)</f>
        <v/>
      </c>
      <c r="H251" t="n">
        <v>0.6652571018505543</v>
      </c>
      <c r="I251" t="inlineStr">
        <is>
          <t>Above median</t>
        </is>
      </c>
    </row>
    <row r="252">
      <c r="A252" t="inlineStr">
        <is>
          <t>BE</t>
        </is>
      </c>
      <c r="B252" t="inlineStr">
        <is>
          <t>Autumn2017</t>
        </is>
      </c>
      <c r="C252" t="inlineStr">
        <is>
          <t>Autumn</t>
        </is>
      </c>
      <c r="D252" t="n">
        <v>2017</v>
      </c>
      <c r="E252" t="n">
        <v>1.732555567629479</v>
      </c>
      <c r="F252" t="n">
        <v>1.463710503935746</v>
      </c>
      <c r="G252">
        <f>IF(OR(F252="",E252=""),"",F252-E252)</f>
        <v/>
      </c>
      <c r="H252" t="n">
        <v>0.6652571018505543</v>
      </c>
      <c r="I252" t="inlineStr">
        <is>
          <t>Above median</t>
        </is>
      </c>
    </row>
    <row r="253">
      <c r="A253" t="inlineStr">
        <is>
          <t>BE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1.543494370971477</v>
      </c>
      <c r="F253" t="n">
        <v>1.463710503935746</v>
      </c>
      <c r="G253">
        <f>IF(OR(F253="",E253=""),"",F253-E253)</f>
        <v/>
      </c>
      <c r="H253" t="n">
        <v>0.6652571018505543</v>
      </c>
      <c r="I253" t="inlineStr">
        <is>
          <t>Above median</t>
        </is>
      </c>
    </row>
    <row r="254">
      <c r="A254" t="inlineStr">
        <is>
          <t>DE</t>
        </is>
      </c>
      <c r="B254" t="inlineStr">
        <is>
          <t>Autumn2016</t>
        </is>
      </c>
      <c r="C254" t="inlineStr">
        <is>
          <t>Autumn</t>
        </is>
      </c>
      <c r="D254" t="n">
        <v>2017</v>
      </c>
      <c r="E254" t="n">
        <v>1.474400091381178</v>
      </c>
      <c r="F254" t="n">
        <v>3.139119319610074</v>
      </c>
      <c r="G254">
        <f>IF(OR(F254="",E254=""),"",F254-E254)</f>
        <v/>
      </c>
      <c r="H254" t="n">
        <v>2.483110415051906</v>
      </c>
      <c r="I254" t="inlineStr">
        <is>
          <t>Above median</t>
        </is>
      </c>
    </row>
    <row r="255">
      <c r="A255" t="inlineStr">
        <is>
          <t>DE</t>
        </is>
      </c>
      <c r="B255" t="inlineStr">
        <is>
          <t>Spring2016</t>
        </is>
      </c>
      <c r="C255" t="inlineStr">
        <is>
          <t>Spring</t>
        </is>
      </c>
      <c r="D255" t="n">
        <v>2017</v>
      </c>
      <c r="E255" t="n">
        <v>1.566513709558781</v>
      </c>
      <c r="F255" t="n">
        <v>3.139119319610074</v>
      </c>
      <c r="G255">
        <f>IF(OR(F255="",E255=""),"",F255-E255)</f>
        <v/>
      </c>
      <c r="H255" t="n">
        <v>2.483110415051906</v>
      </c>
      <c r="I255" t="inlineStr">
        <is>
          <t>Above median</t>
        </is>
      </c>
    </row>
    <row r="256">
      <c r="A256" t="inlineStr">
        <is>
          <t>DE</t>
        </is>
      </c>
      <c r="B256" t="inlineStr">
        <is>
          <t>Autumn2017</t>
        </is>
      </c>
      <c r="C256" t="inlineStr">
        <is>
          <t>Autumn</t>
        </is>
      </c>
      <c r="D256" t="n">
        <v>2017</v>
      </c>
      <c r="E256" t="n">
        <v>2.15185378195053</v>
      </c>
      <c r="F256" t="n">
        <v>3.139119319610074</v>
      </c>
      <c r="G256">
        <f>IF(OR(F256="",E256=""),"",F256-E256)</f>
        <v/>
      </c>
      <c r="H256" t="n">
        <v>2.483110415051906</v>
      </c>
      <c r="I256" t="inlineStr">
        <is>
          <t>Above median</t>
        </is>
      </c>
    </row>
    <row r="257">
      <c r="A257" t="inlineStr">
        <is>
          <t>DE</t>
        </is>
      </c>
      <c r="B257" t="inlineStr">
        <is>
          <t>Spring2017</t>
        </is>
      </c>
      <c r="C257" t="inlineStr">
        <is>
          <t>Spring</t>
        </is>
      </c>
      <c r="D257" t="n">
        <v>2017</v>
      </c>
      <c r="E257" t="n">
        <v>1.641172183436468</v>
      </c>
      <c r="F257" t="n">
        <v>3.139119319610074</v>
      </c>
      <c r="G257">
        <f>IF(OR(F257="",E257=""),"",F257-E257)</f>
        <v/>
      </c>
      <c r="H257" t="n">
        <v>2.483110415051906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0.7788253796826794</v>
      </c>
      <c r="F258" t="n">
        <v>3.250919380421948</v>
      </c>
      <c r="G258">
        <f>IF(OR(F258="",E258=""),"",F258-E258)</f>
        <v/>
      </c>
      <c r="H258" t="n">
        <v>1.015792257233931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Spring2016</t>
        </is>
      </c>
      <c r="C259" t="inlineStr">
        <is>
          <t>Spring</t>
        </is>
      </c>
      <c r="D259" t="n">
        <v>2017</v>
      </c>
      <c r="E259" t="n">
        <v>0.7265233755491707</v>
      </c>
      <c r="F259" t="n">
        <v>3.250919380421948</v>
      </c>
      <c r="G259">
        <f>IF(OR(F259="",E259=""),"",F259-E259)</f>
        <v/>
      </c>
      <c r="H259" t="n">
        <v>1.015792257233931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2017</v>
      </c>
      <c r="E260" t="n">
        <v>3.299970546778019</v>
      </c>
      <c r="F260" t="n">
        <v>3.250919380421948</v>
      </c>
      <c r="G260">
        <f>IF(OR(F260="",E260=""),"",F260-E260)</f>
        <v/>
      </c>
      <c r="H260" t="n">
        <v>1.015792257233931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1.298187704654374</v>
      </c>
      <c r="F261" t="n">
        <v>3.250919380421948</v>
      </c>
      <c r="G261">
        <f>IF(OR(F261="",E261=""),"",F261-E261)</f>
        <v/>
      </c>
      <c r="H261" t="n">
        <v>1.015792257233931</v>
      </c>
      <c r="I261" t="inlineStr">
        <is>
          <t>Above median</t>
        </is>
      </c>
    </row>
    <row r="262">
      <c r="A262" t="inlineStr">
        <is>
          <t>FR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1.356833169672989</v>
      </c>
      <c r="F262" t="n">
        <v>2.244141458746893</v>
      </c>
      <c r="G262">
        <f>IF(OR(F262="",E262=""),"",F262-E262)</f>
        <v/>
      </c>
      <c r="H262" t="n">
        <v>5.225476812197871</v>
      </c>
      <c r="I262" t="inlineStr">
        <is>
          <t>Above median</t>
        </is>
      </c>
    </row>
    <row r="263">
      <c r="A263" t="inlineStr">
        <is>
          <t>FR</t>
        </is>
      </c>
      <c r="B263" t="inlineStr">
        <is>
          <t>Spring2016</t>
        </is>
      </c>
      <c r="C263" t="inlineStr">
        <is>
          <t>Spring</t>
        </is>
      </c>
      <c r="D263" t="n">
        <v>2017</v>
      </c>
      <c r="E263" t="n">
        <v>1.686145619472357</v>
      </c>
      <c r="F263" t="n">
        <v>2.244141458746893</v>
      </c>
      <c r="G263">
        <f>IF(OR(F263="",E263=""),"",F263-E263)</f>
        <v/>
      </c>
      <c r="H263" t="n">
        <v>5.225476812197871</v>
      </c>
      <c r="I263" t="inlineStr">
        <is>
          <t>Above median</t>
        </is>
      </c>
    </row>
    <row r="264">
      <c r="A264" t="inlineStr">
        <is>
          <t>FR</t>
        </is>
      </c>
      <c r="B264" t="inlineStr">
        <is>
          <t>Autumn2017</t>
        </is>
      </c>
      <c r="C264" t="inlineStr">
        <is>
          <t>Autumn</t>
        </is>
      </c>
      <c r="D264" t="n">
        <v>2017</v>
      </c>
      <c r="E264" t="n">
        <v>1.610830541644881</v>
      </c>
      <c r="F264" t="n">
        <v>2.244141458746893</v>
      </c>
      <c r="G264">
        <f>IF(OR(F264="",E264=""),"",F264-E264)</f>
        <v/>
      </c>
      <c r="H264" t="n">
        <v>5.225476812197871</v>
      </c>
      <c r="I264" t="inlineStr">
        <is>
          <t>Above median</t>
        </is>
      </c>
    </row>
    <row r="265">
      <c r="A265" t="inlineStr">
        <is>
          <t>FR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1.353609964652547</v>
      </c>
      <c r="F265" t="n">
        <v>2.244141458746893</v>
      </c>
      <c r="G265">
        <f>IF(OR(F265="",E265=""),"",F265-E265)</f>
        <v/>
      </c>
      <c r="H265" t="n">
        <v>5.225476812197871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Autumn2016</t>
        </is>
      </c>
      <c r="C266" t="inlineStr">
        <is>
          <t>Autumn</t>
        </is>
      </c>
      <c r="D266" t="n">
        <v>2017</v>
      </c>
      <c r="E266" t="n">
        <v>1.651753058558825</v>
      </c>
      <c r="F266" t="n">
        <v>2.743190608906558</v>
      </c>
      <c r="G266">
        <f>IF(OR(F266="",E266=""),"",F266-E266)</f>
        <v/>
      </c>
      <c r="H266" t="n">
        <v>0.9137555620110694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Spring2016</t>
        </is>
      </c>
      <c r="C267" t="inlineStr">
        <is>
          <t>Spring</t>
        </is>
      </c>
      <c r="D267" t="n">
        <v>2017</v>
      </c>
      <c r="E267" t="n">
        <v>1.969404126722973</v>
      </c>
      <c r="F267" t="n">
        <v>2.743190608906558</v>
      </c>
      <c r="G267">
        <f>IF(OR(F267="",E267=""),"",F267-E267)</f>
        <v/>
      </c>
      <c r="H267" t="n">
        <v>0.9137555620110694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Autumn2017</t>
        </is>
      </c>
      <c r="C268" t="inlineStr">
        <is>
          <t>Autumn</t>
        </is>
      </c>
      <c r="D268" t="n">
        <v>2017</v>
      </c>
      <c r="E268" t="n">
        <v>3.2081591137888</v>
      </c>
      <c r="F268" t="n">
        <v>2.743190608906558</v>
      </c>
      <c r="G268">
        <f>IF(OR(F268="",E268=""),"",F268-E268)</f>
        <v/>
      </c>
      <c r="H268" t="n">
        <v>0.9137555620110694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Spring2017</t>
        </is>
      </c>
      <c r="C269" t="inlineStr">
        <is>
          <t>Spring</t>
        </is>
      </c>
      <c r="D269" t="n">
        <v>2017</v>
      </c>
      <c r="E269" t="n">
        <v>2.110825621251378</v>
      </c>
      <c r="F269" t="n">
        <v>2.743190608906558</v>
      </c>
      <c r="G269">
        <f>IF(OR(F269="",E269=""),"",F269-E269)</f>
        <v/>
      </c>
      <c r="H269" t="n">
        <v>0.9137555620110694</v>
      </c>
      <c r="I269" t="inlineStr">
        <is>
          <t>Above median</t>
        </is>
      </c>
    </row>
    <row r="270">
      <c r="A270" t="inlineStr">
        <is>
          <t>DE</t>
        </is>
      </c>
      <c r="B270" t="inlineStr">
        <is>
          <t>Autumn2017</t>
        </is>
      </c>
      <c r="C270" t="inlineStr">
        <is>
          <t>Autumn</t>
        </is>
      </c>
      <c r="D270" t="n">
        <v>2018</v>
      </c>
      <c r="E270" t="n">
        <v>2.120786685385845</v>
      </c>
      <c r="F270" t="n">
        <v>1.267322781405923</v>
      </c>
      <c r="G270">
        <f>IF(OR(F270="",E270=""),"",F270-E270)</f>
        <v/>
      </c>
      <c r="H270" t="n">
        <v>2.636304398649018</v>
      </c>
      <c r="I270" t="inlineStr">
        <is>
          <t>Above median</t>
        </is>
      </c>
    </row>
    <row r="271">
      <c r="A271" t="inlineStr">
        <is>
          <t>DE</t>
        </is>
      </c>
      <c r="B271" t="inlineStr">
        <is>
          <t>Spring2017</t>
        </is>
      </c>
      <c r="C271" t="inlineStr">
        <is>
          <t>Spring</t>
        </is>
      </c>
      <c r="D271" t="n">
        <v>2018</v>
      </c>
      <c r="E271" t="n">
        <v>1.853976950650349</v>
      </c>
      <c r="F271" t="n">
        <v>1.267322781405923</v>
      </c>
      <c r="G271">
        <f>IF(OR(F271="",E271=""),"",F271-E271)</f>
        <v/>
      </c>
      <c r="H271" t="n">
        <v>2.636304398649018</v>
      </c>
      <c r="I271" t="inlineStr">
        <is>
          <t>Above median</t>
        </is>
      </c>
    </row>
    <row r="272">
      <c r="A272" t="inlineStr">
        <is>
          <t>DE</t>
        </is>
      </c>
      <c r="B272" t="inlineStr">
        <is>
          <t>Autumn2018</t>
        </is>
      </c>
      <c r="C272" t="inlineStr">
        <is>
          <t>Autumn</t>
        </is>
      </c>
      <c r="D272" t="n">
        <v>2018</v>
      </c>
      <c r="E272" t="n">
        <v>1.718160911387434</v>
      </c>
      <c r="F272" t="n">
        <v>1.267322781405923</v>
      </c>
      <c r="G272">
        <f>IF(OR(F272="",E272=""),"",F272-E272)</f>
        <v/>
      </c>
      <c r="H272" t="n">
        <v>2.636304398649018</v>
      </c>
      <c r="I272" t="inlineStr">
        <is>
          <t>Above median</t>
        </is>
      </c>
    </row>
    <row r="273">
      <c r="A273" t="inlineStr">
        <is>
          <t>DE</t>
        </is>
      </c>
      <c r="B273" t="inlineStr">
        <is>
          <t>Spring2018</t>
        </is>
      </c>
      <c r="C273" t="inlineStr">
        <is>
          <t>Spring</t>
        </is>
      </c>
      <c r="D273" t="n">
        <v>2018</v>
      </c>
      <c r="E273" t="n">
        <v>2.306204352303776</v>
      </c>
      <c r="F273" t="n">
        <v>1.267322781405923</v>
      </c>
      <c r="G273">
        <f>IF(OR(F273="",E273=""),"",F273-E273)</f>
        <v/>
      </c>
      <c r="H273" t="n">
        <v>2.636304398649018</v>
      </c>
      <c r="I273" t="inlineStr">
        <is>
          <t>Above median</t>
        </is>
      </c>
    </row>
    <row r="274">
      <c r="A274" t="inlineStr">
        <is>
          <t>FI</t>
        </is>
      </c>
      <c r="B274" t="inlineStr">
        <is>
          <t>Autumn2017</t>
        </is>
      </c>
      <c r="C274" t="inlineStr">
        <is>
          <t>Autumn</t>
        </is>
      </c>
      <c r="D274" t="n">
        <v>2018</v>
      </c>
      <c r="E274" t="n">
        <v>2.654344590779423</v>
      </c>
      <c r="F274" t="n">
        <v>1.185856903043547</v>
      </c>
      <c r="G274">
        <f>IF(OR(F274="",E274=""),"",F274-E274)</f>
        <v/>
      </c>
      <c r="H274" t="n">
        <v>1.179774587977132</v>
      </c>
      <c r="I274" t="inlineStr">
        <is>
          <t>Above median</t>
        </is>
      </c>
    </row>
    <row r="275">
      <c r="A275" t="inlineStr">
        <is>
          <t>FI</t>
        </is>
      </c>
      <c r="B275" t="inlineStr">
        <is>
          <t>Spring2017</t>
        </is>
      </c>
      <c r="C275" t="inlineStr">
        <is>
          <t>Spring</t>
        </is>
      </c>
      <c r="D275" t="n">
        <v>2018</v>
      </c>
      <c r="E275" t="n">
        <v>1.745345139008192</v>
      </c>
      <c r="F275" t="n">
        <v>1.185856903043547</v>
      </c>
      <c r="G275">
        <f>IF(OR(F275="",E275=""),"",F275-E275)</f>
        <v/>
      </c>
      <c r="H275" t="n">
        <v>1.179774587977132</v>
      </c>
      <c r="I275" t="inlineStr">
        <is>
          <t>Above median</t>
        </is>
      </c>
    </row>
    <row r="276">
      <c r="A276" t="inlineStr">
        <is>
          <t>FI</t>
        </is>
      </c>
      <c r="B276" t="inlineStr">
        <is>
          <t>Autumn2018</t>
        </is>
      </c>
      <c r="C276" t="inlineStr">
        <is>
          <t>Autumn</t>
        </is>
      </c>
      <c r="D276" t="n">
        <v>2018</v>
      </c>
      <c r="E276" t="n">
        <v>2.88935300932982</v>
      </c>
      <c r="F276" t="n">
        <v>1.185856903043547</v>
      </c>
      <c r="G276">
        <f>IF(OR(F276="",E276=""),"",F276-E276)</f>
        <v/>
      </c>
      <c r="H276" t="n">
        <v>1.179774587977132</v>
      </c>
      <c r="I276" t="inlineStr">
        <is>
          <t>Above median</t>
        </is>
      </c>
    </row>
    <row r="277">
      <c r="A277" t="inlineStr">
        <is>
          <t>FI</t>
        </is>
      </c>
      <c r="B277" t="inlineStr">
        <is>
          <t>Spring2018</t>
        </is>
      </c>
      <c r="C277" t="inlineStr">
        <is>
          <t>Spring</t>
        </is>
      </c>
      <c r="D277" t="n">
        <v>2018</v>
      </c>
      <c r="E277" t="n">
        <v>2.519865182310288</v>
      </c>
      <c r="F277" t="n">
        <v>1.185856903043547</v>
      </c>
      <c r="G277">
        <f>IF(OR(F277="",E277=""),"",F277-E277)</f>
        <v/>
      </c>
      <c r="H277" t="n">
        <v>1.179774587977132</v>
      </c>
      <c r="I277" t="inlineStr">
        <is>
          <t>Above median</t>
        </is>
      </c>
    </row>
    <row r="278">
      <c r="A278" t="inlineStr">
        <is>
          <t>FR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1.745757461080699</v>
      </c>
      <c r="F278" t="n">
        <v>1.572013768554752</v>
      </c>
      <c r="G278">
        <f>IF(OR(F278="",E278=""),"",F278-E278)</f>
        <v/>
      </c>
      <c r="H278" t="n">
        <v>5.44193097188617</v>
      </c>
      <c r="I278" t="inlineStr">
        <is>
          <t>Above median</t>
        </is>
      </c>
    </row>
    <row r="279">
      <c r="A279" t="inlineStr">
        <is>
          <t>FR</t>
        </is>
      </c>
      <c r="B279" t="inlineStr">
        <is>
          <t>Spring2017</t>
        </is>
      </c>
      <c r="C279" t="inlineStr">
        <is>
          <t>Spring</t>
        </is>
      </c>
      <c r="D279" t="n">
        <v>2018</v>
      </c>
      <c r="E279" t="n">
        <v>1.72584962487905</v>
      </c>
      <c r="F279" t="n">
        <v>1.572013768554752</v>
      </c>
      <c r="G279">
        <f>IF(OR(F279="",E279=""),"",F279-E279)</f>
        <v/>
      </c>
      <c r="H279" t="n">
        <v>5.44193097188617</v>
      </c>
      <c r="I279" t="inlineStr">
        <is>
          <t>Above median</t>
        </is>
      </c>
    </row>
    <row r="280">
      <c r="A280" t="inlineStr">
        <is>
          <t>FR</t>
        </is>
      </c>
      <c r="B280" t="inlineStr">
        <is>
          <t>Autumn2018</t>
        </is>
      </c>
      <c r="C280" t="inlineStr">
        <is>
          <t>Autumn</t>
        </is>
      </c>
      <c r="D280" t="n">
        <v>2018</v>
      </c>
      <c r="E280" t="n">
        <v>1.666432466177237</v>
      </c>
      <c r="F280" t="n">
        <v>1.572013768554752</v>
      </c>
      <c r="G280">
        <f>IF(OR(F280="",E280=""),"",F280-E280)</f>
        <v/>
      </c>
      <c r="H280" t="n">
        <v>5.44193097188617</v>
      </c>
      <c r="I280" t="inlineStr">
        <is>
          <t>Above median</t>
        </is>
      </c>
    </row>
    <row r="281">
      <c r="A281" t="inlineStr">
        <is>
          <t>FR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1.989603282667241</v>
      </c>
      <c r="F281" t="n">
        <v>1.572013768554752</v>
      </c>
      <c r="G281">
        <f>IF(OR(F281="",E281=""),"",F281-E281)</f>
        <v/>
      </c>
      <c r="H281" t="n">
        <v>5.44193097188617</v>
      </c>
      <c r="I281" t="inlineStr">
        <is>
          <t>Above median</t>
        </is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1.074386415797439</v>
      </c>
      <c r="I282" t="inlineStr">
        <is>
          <t>Above median</t>
        </is>
      </c>
    </row>
    <row r="283">
      <c r="A283" t="inlineStr">
        <is>
          <t>NL</t>
        </is>
      </c>
      <c r="B283" t="inlineStr">
        <is>
          <t>Spring2017</t>
        </is>
      </c>
      <c r="C283" t="inlineStr">
        <is>
          <t>Spring</t>
        </is>
      </c>
      <c r="D283" t="n">
        <v>2018</v>
      </c>
      <c r="E283" t="n">
        <v>1.81696463155987</v>
      </c>
      <c r="F283" t="n">
        <v>2.227648933574525</v>
      </c>
      <c r="G283">
        <f>IF(OR(F283="",E283=""),"",F283-E283)</f>
        <v/>
      </c>
      <c r="H283" t="n">
        <v>1.074386415797439</v>
      </c>
      <c r="I283" t="inlineStr">
        <is>
          <t>Above median</t>
        </is>
      </c>
    </row>
    <row r="284">
      <c r="A284" t="inlineStr">
        <is>
          <t>NL</t>
        </is>
      </c>
      <c r="B284" t="inlineStr">
        <is>
          <t>Autumn2018</t>
        </is>
      </c>
      <c r="C284" t="inlineStr">
        <is>
          <t>Autumn</t>
        </is>
      </c>
      <c r="D284" t="n">
        <v>2018</v>
      </c>
      <c r="E284" t="n">
        <v>2.836804692292016</v>
      </c>
      <c r="F284" t="n">
        <v>2.227648933574525</v>
      </c>
      <c r="G284">
        <f>IF(OR(F284="",E284=""),"",F284-E284)</f>
        <v/>
      </c>
      <c r="H284" t="n">
        <v>1.074386415797439</v>
      </c>
      <c r="I284" t="inlineStr">
        <is>
          <t>Above median</t>
        </is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1.074386415797439</v>
      </c>
      <c r="I285" t="inlineStr">
        <is>
          <t>Above median</t>
        </is>
      </c>
    </row>
    <row r="286">
      <c r="A286" t="inlineStr">
        <is>
          <t>DE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1.837083008004692</v>
      </c>
      <c r="F286" t="n">
        <v>1.110244719033926</v>
      </c>
      <c r="G286">
        <f>IF(OR(F286="",E286=""),"",F286-E286)</f>
        <v/>
      </c>
      <c r="H286" t="n">
        <v>3.777613174838668</v>
      </c>
      <c r="I286" t="inlineStr">
        <is>
          <t>Above median</t>
        </is>
      </c>
    </row>
    <row r="287">
      <c r="A287" t="inlineStr">
        <is>
          <t>DE</t>
        </is>
      </c>
      <c r="B287" t="inlineStr">
        <is>
          <t>Spring2018</t>
        </is>
      </c>
      <c r="C287" t="inlineStr">
        <is>
          <t>Spring</t>
        </is>
      </c>
      <c r="D287" t="n">
        <v>2019</v>
      </c>
      <c r="E287" t="n">
        <v>2.050241516126516</v>
      </c>
      <c r="F287" t="n">
        <v>1.110244719033926</v>
      </c>
      <c r="G287">
        <f>IF(OR(F287="",E287=""),"",F287-E287)</f>
        <v/>
      </c>
      <c r="H287" t="n">
        <v>3.777613174838668</v>
      </c>
      <c r="I287" t="inlineStr">
        <is>
          <t>Above median</t>
        </is>
      </c>
    </row>
    <row r="288">
      <c r="A288" t="inlineStr">
        <is>
          <t>DE</t>
        </is>
      </c>
      <c r="B288" t="inlineStr">
        <is>
          <t>Autumn2019</t>
        </is>
      </c>
      <c r="C288" t="inlineStr">
        <is>
          <t>Autumn</t>
        </is>
      </c>
      <c r="D288" t="n">
        <v>2019</v>
      </c>
      <c r="E288" t="n">
        <v>0.4365272822569155</v>
      </c>
      <c r="F288" t="n">
        <v>1.110244719033926</v>
      </c>
      <c r="G288">
        <f>IF(OR(F288="",E288=""),"",F288-E288)</f>
        <v/>
      </c>
      <c r="H288" t="n">
        <v>3.777613174838668</v>
      </c>
      <c r="I288" t="inlineStr">
        <is>
          <t>Above median</t>
        </is>
      </c>
    </row>
    <row r="289">
      <c r="A289" t="inlineStr">
        <is>
          <t>DE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0.5436249891991096</v>
      </c>
      <c r="F289" t="n">
        <v>1.110244719033926</v>
      </c>
      <c r="G289">
        <f>IF(OR(F289="",E289=""),"",F289-E289)</f>
        <v/>
      </c>
      <c r="H289" t="n">
        <v>3.777613174838668</v>
      </c>
      <c r="I289" t="inlineStr">
        <is>
          <t>Above median</t>
        </is>
      </c>
    </row>
    <row r="290">
      <c r="A290" t="inlineStr">
        <is>
          <t>FI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2.174255546023485</v>
      </c>
      <c r="F290" t="n">
        <v>1.340680695380643</v>
      </c>
      <c r="G290">
        <f>IF(OR(F290="",E290=""),"",F290-E290)</f>
        <v/>
      </c>
      <c r="H290" t="n">
        <v>1.607545862030811</v>
      </c>
      <c r="I290" t="inlineStr">
        <is>
          <t>Above median</t>
        </is>
      </c>
    </row>
    <row r="291">
      <c r="A291" t="inlineStr">
        <is>
          <t>FI</t>
        </is>
      </c>
      <c r="B291" t="inlineStr">
        <is>
          <t>Spring2018</t>
        </is>
      </c>
      <c r="C291" t="inlineStr">
        <is>
          <t>Spring</t>
        </is>
      </c>
      <c r="D291" t="n">
        <v>2019</v>
      </c>
      <c r="E291" t="n">
        <v>2.270236667290981</v>
      </c>
      <c r="F291" t="n">
        <v>1.340680695380643</v>
      </c>
      <c r="G291">
        <f>IF(OR(F291="",E291=""),"",F291-E291)</f>
        <v/>
      </c>
      <c r="H291" t="n">
        <v>1.607545862030811</v>
      </c>
      <c r="I291" t="inlineStr">
        <is>
          <t>Above median</t>
        </is>
      </c>
    </row>
    <row r="292">
      <c r="A292" t="inlineStr">
        <is>
          <t>FI</t>
        </is>
      </c>
      <c r="B292" t="inlineStr">
        <is>
          <t>Autumn2019</t>
        </is>
      </c>
      <c r="C292" t="inlineStr">
        <is>
          <t>Autumn</t>
        </is>
      </c>
      <c r="D292" t="n">
        <v>2019</v>
      </c>
      <c r="E292" t="n">
        <v>1.354791564440649</v>
      </c>
      <c r="F292" t="n">
        <v>1.340680695380643</v>
      </c>
      <c r="G292">
        <f>IF(OR(F292="",E292=""),"",F292-E292)</f>
        <v/>
      </c>
      <c r="H292" t="n">
        <v>1.607545862030811</v>
      </c>
      <c r="I292" t="inlineStr">
        <is>
          <t>Above median</t>
        </is>
      </c>
    </row>
    <row r="293">
      <c r="A293" t="inlineStr">
        <is>
          <t>FI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1.638521358484613</v>
      </c>
      <c r="F293" t="n">
        <v>1.340680695380643</v>
      </c>
      <c r="G293">
        <f>IF(OR(F293="",E293=""),"",F293-E293)</f>
        <v/>
      </c>
      <c r="H293" t="n">
        <v>1.607545862030811</v>
      </c>
      <c r="I293" t="inlineStr">
        <is>
          <t>Above median</t>
        </is>
      </c>
    </row>
    <row r="294">
      <c r="A294" t="inlineStr">
        <is>
          <t>FR</t>
        </is>
      </c>
      <c r="B294" t="inlineStr">
        <is>
          <t>Autumn2018</t>
        </is>
      </c>
      <c r="C294" t="inlineStr">
        <is>
          <t>Autumn</t>
        </is>
      </c>
      <c r="D294" t="n">
        <v>2019</v>
      </c>
      <c r="E294" t="n">
        <v>1.641202261320762</v>
      </c>
      <c r="F294" t="n">
        <v>2.079618940333049</v>
      </c>
      <c r="G294">
        <f>IF(OR(F294="",E294=""),"",F294-E294)</f>
        <v/>
      </c>
      <c r="H294" t="n">
        <v>5.17349329356537</v>
      </c>
      <c r="I294" t="inlineStr">
        <is>
          <t>Above median</t>
        </is>
      </c>
    </row>
    <row r="295">
      <c r="A295" t="inlineStr">
        <is>
          <t>FR</t>
        </is>
      </c>
      <c r="B295" t="inlineStr">
        <is>
          <t>Spring2018</t>
        </is>
      </c>
      <c r="C295" t="inlineStr">
        <is>
          <t>Spring</t>
        </is>
      </c>
      <c r="D295" t="n">
        <v>2019</v>
      </c>
      <c r="E295" t="n">
        <v>1.837933157898797</v>
      </c>
      <c r="F295" t="n">
        <v>2.079618940333049</v>
      </c>
      <c r="G295">
        <f>IF(OR(F295="",E295=""),"",F295-E295)</f>
        <v/>
      </c>
      <c r="H295" t="n">
        <v>5.17349329356537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Autumn2019</t>
        </is>
      </c>
      <c r="C296" t="inlineStr">
        <is>
          <t>Autumn</t>
        </is>
      </c>
      <c r="D296" t="n">
        <v>2019</v>
      </c>
      <c r="E296" t="n">
        <v>1.287008245416965</v>
      </c>
      <c r="F296" t="n">
        <v>2.079618940333049</v>
      </c>
      <c r="G296">
        <f>IF(OR(F296="",E296=""),"",F296-E296)</f>
        <v/>
      </c>
      <c r="H296" t="n">
        <v>5.17349329356537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Spring2019</t>
        </is>
      </c>
      <c r="C297" t="inlineStr">
        <is>
          <t>Spring</t>
        </is>
      </c>
      <c r="D297" t="n">
        <v>2019</v>
      </c>
      <c r="E297" t="n">
        <v>1.333589129915191</v>
      </c>
      <c r="F297" t="n">
        <v>2.079618940333049</v>
      </c>
      <c r="G297">
        <f>IF(OR(F297="",E297=""),"",F297-E297)</f>
        <v/>
      </c>
      <c r="H297" t="n">
        <v>5.17349329356537</v>
      </c>
      <c r="I297" t="inlineStr">
        <is>
          <t>Above median</t>
        </is>
      </c>
    </row>
    <row r="298">
      <c r="A298" t="inlineStr">
        <is>
          <t>NL</t>
        </is>
      </c>
      <c r="B298" t="inlineStr">
        <is>
          <t>Autumn2018</t>
        </is>
      </c>
      <c r="C298" t="inlineStr">
        <is>
          <t>Autumn</t>
        </is>
      </c>
      <c r="D298" t="n">
        <v>2019</v>
      </c>
      <c r="E298" t="n">
        <v>2.397385517030304</v>
      </c>
      <c r="F298" t="n">
        <v>2.268792157142676</v>
      </c>
      <c r="G298">
        <f>IF(OR(F298="",E298=""),"",F298-E298)</f>
        <v/>
      </c>
      <c r="H298" t="n">
        <v>1.104616251936025</v>
      </c>
      <c r="I298" t="inlineStr">
        <is>
          <t>Above median</t>
        </is>
      </c>
    </row>
    <row r="299">
      <c r="A299" t="inlineStr">
        <is>
          <t>NL</t>
        </is>
      </c>
      <c r="B299" t="inlineStr">
        <is>
          <t>Spring2018</t>
        </is>
      </c>
      <c r="C299" t="inlineStr">
        <is>
          <t>Spring</t>
        </is>
      </c>
      <c r="D299" t="n">
        <v>2019</v>
      </c>
      <c r="E299" t="n">
        <v>2.590339815475473</v>
      </c>
      <c r="F299" t="n">
        <v>2.268792157142676</v>
      </c>
      <c r="G299">
        <f>IF(OR(F299="",E299=""),"",F299-E299)</f>
        <v/>
      </c>
      <c r="H299" t="n">
        <v>1.104616251936025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Autumn2019</t>
        </is>
      </c>
      <c r="C300" t="inlineStr">
        <is>
          <t>Autumn</t>
        </is>
      </c>
      <c r="D300" t="n">
        <v>2019</v>
      </c>
      <c r="E300" t="n">
        <v>1.699934171052897</v>
      </c>
      <c r="F300" t="n">
        <v>2.268792157142676</v>
      </c>
      <c r="G300">
        <f>IF(OR(F300="",E300=""),"",F300-E300)</f>
        <v/>
      </c>
      <c r="H300" t="n">
        <v>1.104616251936025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Spring2019</t>
        </is>
      </c>
      <c r="C301" t="inlineStr">
        <is>
          <t>Spring</t>
        </is>
      </c>
      <c r="D301" t="n">
        <v>2019</v>
      </c>
      <c r="E301" t="n">
        <v>1.627911133653104</v>
      </c>
      <c r="F301" t="n">
        <v>2.268792157142676</v>
      </c>
      <c r="G301">
        <f>IF(OR(F301="",E301=""),"",F301-E301)</f>
        <v/>
      </c>
      <c r="H301" t="n">
        <v>1.104616251936025</v>
      </c>
      <c r="I301" t="inlineStr">
        <is>
          <t>Above median</t>
        </is>
      </c>
    </row>
    <row r="302">
      <c r="A302" t="inlineStr">
        <is>
          <t>BE</t>
        </is>
      </c>
      <c r="B302" t="inlineStr">
        <is>
          <t>Autumn2019</t>
        </is>
      </c>
      <c r="C302" t="inlineStr">
        <is>
          <t>Autumn</t>
        </is>
      </c>
      <c r="D302" t="n">
        <v>2020</v>
      </c>
      <c r="E302" t="n">
        <v>0.9603448221321642</v>
      </c>
      <c r="F302" t="n">
        <v>-4.911676496558489</v>
      </c>
      <c r="G302">
        <f>IF(OR(F302="",E302=""),"",F302-E302)</f>
        <v/>
      </c>
      <c r="H302" t="n">
        <v>0.8845732944795045</v>
      </c>
      <c r="I302" t="inlineStr">
        <is>
          <t>Above median</t>
        </is>
      </c>
    </row>
    <row r="303">
      <c r="A303" t="inlineStr">
        <is>
          <t>BE</t>
        </is>
      </c>
      <c r="B303" t="inlineStr">
        <is>
          <t>Spring2019</t>
        </is>
      </c>
      <c r="C303" t="inlineStr">
        <is>
          <t>Spring</t>
        </is>
      </c>
      <c r="D303" t="n">
        <v>2020</v>
      </c>
      <c r="E303" t="n">
        <v>1.199077085455502</v>
      </c>
      <c r="F303" t="n">
        <v>-4.911676496558489</v>
      </c>
      <c r="G303">
        <f>IF(OR(F303="",E303=""),"",F303-E303)</f>
        <v/>
      </c>
      <c r="H303" t="n">
        <v>0.8845732944795045</v>
      </c>
      <c r="I303" t="inlineStr">
        <is>
          <t>Above median</t>
        </is>
      </c>
    </row>
    <row r="304">
      <c r="A304" t="inlineStr">
        <is>
          <t>BE</t>
        </is>
      </c>
      <c r="B304" t="inlineStr">
        <is>
          <t>Autumn2020</t>
        </is>
      </c>
      <c r="C304" t="inlineStr">
        <is>
          <t>Autumn</t>
        </is>
      </c>
      <c r="D304" t="n">
        <v>2020</v>
      </c>
      <c r="E304" t="n">
        <v>-8.420158667688538</v>
      </c>
      <c r="F304" t="n">
        <v>-4.911676496558489</v>
      </c>
      <c r="G304">
        <f>IF(OR(F304="",E304=""),"",F304-E304)</f>
        <v/>
      </c>
      <c r="H304" t="n">
        <v>0.8845732944795045</v>
      </c>
      <c r="I304" t="inlineStr">
        <is>
          <t>Above median</t>
        </is>
      </c>
    </row>
    <row r="305">
      <c r="A305" t="inlineStr">
        <is>
          <t>BE</t>
        </is>
      </c>
      <c r="B305" t="inlineStr">
        <is>
          <t>Spring2020</t>
        </is>
      </c>
      <c r="C305" t="inlineStr">
        <is>
          <t>Spring</t>
        </is>
      </c>
      <c r="D305" t="n">
        <v>2020</v>
      </c>
      <c r="E305" t="n">
        <v>-7.157599524765502</v>
      </c>
      <c r="F305" t="n">
        <v>-4.911676496558489</v>
      </c>
      <c r="G305">
        <f>IF(OR(F305="",E305=""),"",F305-E305)</f>
        <v/>
      </c>
      <c r="H305" t="n">
        <v>0.8845732944795045</v>
      </c>
      <c r="I305" t="inlineStr">
        <is>
          <t>Above median</t>
        </is>
      </c>
    </row>
    <row r="306">
      <c r="A306" t="inlineStr">
        <is>
          <t>DE</t>
        </is>
      </c>
      <c r="B306" t="inlineStr">
        <is>
          <t>Autumn2019</t>
        </is>
      </c>
      <c r="C306" t="inlineStr">
        <is>
          <t>Autumn</t>
        </is>
      </c>
      <c r="D306" t="n">
        <v>2020</v>
      </c>
      <c r="E306" t="n">
        <v>1.009841973511283</v>
      </c>
      <c r="F306" t="n">
        <v>-4.501901267987128</v>
      </c>
      <c r="G306">
        <f>IF(OR(F306="",E306=""),"",F306-E306)</f>
        <v/>
      </c>
      <c r="H306" t="n">
        <v>4.120789100512829</v>
      </c>
      <c r="I306" t="inlineStr">
        <is>
          <t>Above median</t>
        </is>
      </c>
    </row>
    <row r="307">
      <c r="A307" t="inlineStr">
        <is>
          <t>DE</t>
        </is>
      </c>
      <c r="B307" t="inlineStr">
        <is>
          <t>Spring2019</t>
        </is>
      </c>
      <c r="C307" t="inlineStr">
        <is>
          <t>Spring</t>
        </is>
      </c>
      <c r="D307" t="n">
        <v>2020</v>
      </c>
      <c r="E307" t="n">
        <v>1.545881539374183</v>
      </c>
      <c r="F307" t="n">
        <v>-4.501901267987128</v>
      </c>
      <c r="G307">
        <f>IF(OR(F307="",E307=""),"",F307-E307)</f>
        <v/>
      </c>
      <c r="H307" t="n">
        <v>4.120789100512829</v>
      </c>
      <c r="I307" t="inlineStr">
        <is>
          <t>Above median</t>
        </is>
      </c>
    </row>
    <row r="308">
      <c r="A308" t="inlineStr">
        <is>
          <t>DE</t>
        </is>
      </c>
      <c r="B308" t="inlineStr">
        <is>
          <t>Autumn2020</t>
        </is>
      </c>
      <c r="C308" t="inlineStr">
        <is>
          <t>Autumn</t>
        </is>
      </c>
      <c r="D308" t="n">
        <v>2020</v>
      </c>
      <c r="E308" t="n">
        <v>-5.568204072502758</v>
      </c>
      <c r="F308" t="n">
        <v>-4.501901267987128</v>
      </c>
      <c r="G308">
        <f>IF(OR(F308="",E308=""),"",F308-E308)</f>
        <v/>
      </c>
      <c r="H308" t="n">
        <v>4.120789100512829</v>
      </c>
      <c r="I308" t="inlineStr">
        <is>
          <t>Above median</t>
        </is>
      </c>
    </row>
    <row r="309">
      <c r="A309" t="inlineStr">
        <is>
          <t>DE</t>
        </is>
      </c>
      <c r="B309" t="inlineStr">
        <is>
          <t>Spring2020</t>
        </is>
      </c>
      <c r="C309" t="inlineStr">
        <is>
          <t>Spring</t>
        </is>
      </c>
      <c r="D309" t="n">
        <v>2020</v>
      </c>
      <c r="E309" t="n">
        <v>-6.469577184894426</v>
      </c>
      <c r="F309" t="n">
        <v>-4.501901267987128</v>
      </c>
      <c r="G309">
        <f>IF(OR(F309="",E309=""),"",F309-E309)</f>
        <v/>
      </c>
      <c r="H309" t="n">
        <v>4.120789100512829</v>
      </c>
      <c r="I309" t="inlineStr">
        <is>
          <t>Above median</t>
        </is>
      </c>
    </row>
    <row r="310">
      <c r="A310" t="inlineStr">
        <is>
          <t>FI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1.101386656602399</v>
      </c>
      <c r="F310" t="n">
        <v>-2.521663955161345</v>
      </c>
      <c r="G310">
        <f>IF(OR(F310="",E310=""),"",F310-E310)</f>
        <v/>
      </c>
      <c r="H310" t="n">
        <v>1.637512686458964</v>
      </c>
      <c r="I310" t="inlineStr">
        <is>
          <t>Above median</t>
        </is>
      </c>
    </row>
    <row r="311">
      <c r="A311" t="inlineStr">
        <is>
          <t>FI</t>
        </is>
      </c>
      <c r="B311" t="inlineStr">
        <is>
          <t>Spring2019</t>
        </is>
      </c>
      <c r="C311" t="inlineStr">
        <is>
          <t>Spring</t>
        </is>
      </c>
      <c r="D311" t="n">
        <v>2020</v>
      </c>
      <c r="E311" t="n">
        <v>1.165865571577451</v>
      </c>
      <c r="F311" t="n">
        <v>-2.521663955161345</v>
      </c>
      <c r="G311">
        <f>IF(OR(F311="",E311=""),"",F311-E311)</f>
        <v/>
      </c>
      <c r="H311" t="n">
        <v>1.637512686458964</v>
      </c>
      <c r="I311" t="inlineStr">
        <is>
          <t>Above median</t>
        </is>
      </c>
    </row>
    <row r="312">
      <c r="A312" t="inlineStr">
        <is>
          <t>FI</t>
        </is>
      </c>
      <c r="B312" t="inlineStr">
        <is>
          <t>Autumn2020</t>
        </is>
      </c>
      <c r="C312" t="inlineStr">
        <is>
          <t>Autumn</t>
        </is>
      </c>
      <c r="D312" t="n">
        <v>2020</v>
      </c>
      <c r="E312" t="n">
        <v>-4.271276757315001</v>
      </c>
      <c r="F312" t="n">
        <v>-2.521663955161345</v>
      </c>
      <c r="G312">
        <f>IF(OR(F312="",E312=""),"",F312-E312)</f>
        <v/>
      </c>
      <c r="H312" t="n">
        <v>1.637512686458964</v>
      </c>
      <c r="I312" t="inlineStr">
        <is>
          <t>Above median</t>
        </is>
      </c>
    </row>
    <row r="313">
      <c r="A313" t="inlineStr">
        <is>
          <t>FI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-6.334008638214483</v>
      </c>
      <c r="F313" t="n">
        <v>-2.521663955161345</v>
      </c>
      <c r="G313">
        <f>IF(OR(F313="",E313=""),"",F313-E313)</f>
        <v/>
      </c>
      <c r="H313" t="n">
        <v>1.637512686458964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Autumn2019</t>
        </is>
      </c>
      <c r="C314" t="inlineStr">
        <is>
          <t>Autumn</t>
        </is>
      </c>
      <c r="D314" t="n">
        <v>2020</v>
      </c>
      <c r="E314" t="n">
        <v>1.285387661815784</v>
      </c>
      <c r="F314" t="n">
        <v>-7.912013894217821</v>
      </c>
      <c r="G314">
        <f>IF(OR(F314="",E314=""),"",F314-E314)</f>
        <v/>
      </c>
      <c r="H314" t="n">
        <v>6.330557601542645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Spring2019</t>
        </is>
      </c>
      <c r="C315" t="inlineStr">
        <is>
          <t>Spring</t>
        </is>
      </c>
      <c r="D315" t="n">
        <v>2020</v>
      </c>
      <c r="E315" t="n">
        <v>1.503749975943047</v>
      </c>
      <c r="F315" t="n">
        <v>-7.912013894217821</v>
      </c>
      <c r="G315">
        <f>IF(OR(F315="",E315=""),"",F315-E315)</f>
        <v/>
      </c>
      <c r="H315" t="n">
        <v>6.330557601542645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Autumn2020</t>
        </is>
      </c>
      <c r="C316" t="inlineStr">
        <is>
          <t>Autumn</t>
        </is>
      </c>
      <c r="D316" t="n">
        <v>2020</v>
      </c>
      <c r="E316" t="n">
        <v>-9.351142600997642</v>
      </c>
      <c r="F316" t="n">
        <v>-7.912013894217821</v>
      </c>
      <c r="G316">
        <f>IF(OR(F316="",E316=""),"",F316-E316)</f>
        <v/>
      </c>
      <c r="H316" t="n">
        <v>6.330557601542645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Spring2020</t>
        </is>
      </c>
      <c r="C317" t="inlineStr">
        <is>
          <t>Spring</t>
        </is>
      </c>
      <c r="D317" t="n">
        <v>2020</v>
      </c>
      <c r="E317" t="n">
        <v>-8.248298085436833</v>
      </c>
      <c r="F317" t="n">
        <v>-7.912013894217821</v>
      </c>
      <c r="G317">
        <f>IF(OR(F317="",E317=""),"",F317-E317)</f>
        <v/>
      </c>
      <c r="H317" t="n">
        <v>6.330557601542645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1.283121405819165</v>
      </c>
      <c r="F318" t="n">
        <v>-3.903950943482849</v>
      </c>
      <c r="G318">
        <f>IF(OR(F318="",E318=""),"",F318-E318)</f>
        <v/>
      </c>
      <c r="H318" t="n">
        <v>1.670735682705939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Spring2019</t>
        </is>
      </c>
      <c r="C319" t="inlineStr">
        <is>
          <t>Spring</t>
        </is>
      </c>
      <c r="D319" t="n">
        <v>2020</v>
      </c>
      <c r="E319" t="n">
        <v>1.619436814413677</v>
      </c>
      <c r="F319" t="n">
        <v>-3.903950943482849</v>
      </c>
      <c r="G319">
        <f>IF(OR(F319="",E319=""),"",F319-E319)</f>
        <v/>
      </c>
      <c r="H319" t="n">
        <v>1.670735682705939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Autumn2020</t>
        </is>
      </c>
      <c r="C320" t="inlineStr">
        <is>
          <t>Autumn</t>
        </is>
      </c>
      <c r="D320" t="n">
        <v>2020</v>
      </c>
      <c r="E320" t="n">
        <v>-5.322221758798595</v>
      </c>
      <c r="F320" t="n">
        <v>-3.903950943482849</v>
      </c>
      <c r="G320">
        <f>IF(OR(F320="",E320=""),"",F320-E320)</f>
        <v/>
      </c>
      <c r="H320" t="n">
        <v>1.670735682705939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-6.84789638206369</v>
      </c>
      <c r="F321" t="n">
        <v>-3.903950943482849</v>
      </c>
      <c r="G321">
        <f>IF(OR(F321="",E321=""),"",F321-E321)</f>
        <v/>
      </c>
      <c r="H321" t="n">
        <v>1.670735682705939</v>
      </c>
      <c r="I321" t="inlineStr">
        <is>
          <t>Above median</t>
        </is>
      </c>
    </row>
    <row r="322">
      <c r="A322" t="inlineStr">
        <is>
          <t>BE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4.123904979564874</v>
      </c>
      <c r="F322" t="n">
        <v>6.066717579844368</v>
      </c>
      <c r="G322">
        <f>IF(OR(F322="",E322=""),"",F322-E322)</f>
        <v/>
      </c>
      <c r="H322" t="n">
        <v>0.7822299027838661</v>
      </c>
      <c r="I322" t="inlineStr">
        <is>
          <t>Above median</t>
        </is>
      </c>
    </row>
    <row r="323">
      <c r="A323" t="inlineStr">
        <is>
          <t>BE</t>
        </is>
      </c>
      <c r="B323" t="inlineStr">
        <is>
          <t>Spring2020</t>
        </is>
      </c>
      <c r="C323" t="inlineStr">
        <is>
          <t>Spring</t>
        </is>
      </c>
      <c r="D323" t="n">
        <v>2021</v>
      </c>
      <c r="E323" t="n">
        <v>6.68991298414483</v>
      </c>
      <c r="F323" t="n">
        <v>6.066717579844368</v>
      </c>
      <c r="G323">
        <f>IF(OR(F323="",E323=""),"",F323-E323)</f>
        <v/>
      </c>
      <c r="H323" t="n">
        <v>0.7822299027838661</v>
      </c>
      <c r="I323" t="inlineStr">
        <is>
          <t>Above median</t>
        </is>
      </c>
    </row>
    <row r="324">
      <c r="A324" t="inlineStr">
        <is>
          <t>BE</t>
        </is>
      </c>
      <c r="B324" t="inlineStr">
        <is>
          <t>Autumn2021</t>
        </is>
      </c>
      <c r="C324" t="inlineStr">
        <is>
          <t>Autumn</t>
        </is>
      </c>
      <c r="D324" t="n">
        <v>2021</v>
      </c>
      <c r="E324" t="n">
        <v>5.983602933941645</v>
      </c>
      <c r="F324" t="n">
        <v>6.066717579844368</v>
      </c>
      <c r="G324">
        <f>IF(OR(F324="",E324=""),"",F324-E324)</f>
        <v/>
      </c>
      <c r="H324" t="n">
        <v>0.7822299027838661</v>
      </c>
      <c r="I324" t="inlineStr">
        <is>
          <t>Above median</t>
        </is>
      </c>
    </row>
    <row r="325">
      <c r="A325" t="inlineStr">
        <is>
          <t>BE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4.542307146368851</v>
      </c>
      <c r="F325" t="n">
        <v>6.066717579844368</v>
      </c>
      <c r="G325">
        <f>IF(OR(F325="",E325=""),"",F325-E325)</f>
        <v/>
      </c>
      <c r="H325" t="n">
        <v>0.7822299027838661</v>
      </c>
      <c r="I325" t="inlineStr">
        <is>
          <t>Above median</t>
        </is>
      </c>
    </row>
    <row r="326">
      <c r="A326" t="inlineStr">
        <is>
          <t>DE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3.516841814195537</v>
      </c>
      <c r="F326" t="n">
        <v>3.831452641785919</v>
      </c>
      <c r="G326">
        <f>IF(OR(F326="",E326=""),"",F326-E326)</f>
        <v/>
      </c>
      <c r="H326" t="n">
        <v>6.815691930724731</v>
      </c>
      <c r="I326" t="inlineStr">
        <is>
          <t>Above median</t>
        </is>
      </c>
    </row>
    <row r="327">
      <c r="A327" t="inlineStr">
        <is>
          <t>DE</t>
        </is>
      </c>
      <c r="B327" t="inlineStr">
        <is>
          <t>Spring2020</t>
        </is>
      </c>
      <c r="C327" t="inlineStr">
        <is>
          <t>Spring</t>
        </is>
      </c>
      <c r="D327" t="n">
        <v>2021</v>
      </c>
      <c r="E327" t="n">
        <v>5.872379539050265</v>
      </c>
      <c r="F327" t="n">
        <v>3.831452641785919</v>
      </c>
      <c r="G327">
        <f>IF(OR(F327="",E327=""),"",F327-E327)</f>
        <v/>
      </c>
      <c r="H327" t="n">
        <v>6.815691930724731</v>
      </c>
      <c r="I327" t="inlineStr">
        <is>
          <t>Above median</t>
        </is>
      </c>
    </row>
    <row r="328">
      <c r="A328" t="inlineStr">
        <is>
          <t>DE</t>
        </is>
      </c>
      <c r="B328" t="inlineStr">
        <is>
          <t>Autumn2021</t>
        </is>
      </c>
      <c r="C328" t="inlineStr">
        <is>
          <t>Autumn</t>
        </is>
      </c>
      <c r="D328" t="n">
        <v>2021</v>
      </c>
      <c r="E328" t="n">
        <v>2.734338923172808</v>
      </c>
      <c r="F328" t="n">
        <v>3.831452641785919</v>
      </c>
      <c r="G328">
        <f>IF(OR(F328="",E328=""),"",F328-E328)</f>
        <v/>
      </c>
      <c r="H328" t="n">
        <v>6.815691930724731</v>
      </c>
      <c r="I328" t="inlineStr">
        <is>
          <t>Above median</t>
        </is>
      </c>
    </row>
    <row r="329">
      <c r="A329" t="inlineStr">
        <is>
          <t>DE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3.405406776981335</v>
      </c>
      <c r="F329" t="n">
        <v>3.831452641785919</v>
      </c>
      <c r="G329">
        <f>IF(OR(F329="",E329=""),"",F329-E329)</f>
        <v/>
      </c>
      <c r="H329" t="n">
        <v>6.815691930724731</v>
      </c>
      <c r="I329" t="inlineStr">
        <is>
          <t>Above median</t>
        </is>
      </c>
    </row>
    <row r="330">
      <c r="A330" t="inlineStr">
        <is>
          <t>ES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5.350853621568263</v>
      </c>
      <c r="F330" t="n">
        <v>6.469314314287704</v>
      </c>
      <c r="G330">
        <f>IF(OR(F330="",E330=""),"",F330-E330)</f>
        <v/>
      </c>
      <c r="H330" t="n">
        <v>0.9567497242089777</v>
      </c>
      <c r="I330" t="inlineStr">
        <is>
          <t>Above median</t>
        </is>
      </c>
    </row>
    <row r="331">
      <c r="A331" t="inlineStr">
        <is>
          <t>ES</t>
        </is>
      </c>
      <c r="B331" t="inlineStr">
        <is>
          <t>Spring2020</t>
        </is>
      </c>
      <c r="C331" t="inlineStr">
        <is>
          <t>Spring</t>
        </is>
      </c>
      <c r="D331" t="n">
        <v>2021</v>
      </c>
      <c r="E331" t="n">
        <v>6.976175954197417</v>
      </c>
      <c r="F331" t="n">
        <v>6.469314314287704</v>
      </c>
      <c r="G331">
        <f>IF(OR(F331="",E331=""),"",F331-E331)</f>
        <v/>
      </c>
      <c r="H331" t="n">
        <v>0.9567497242089777</v>
      </c>
      <c r="I331" t="inlineStr">
        <is>
          <t>Above median</t>
        </is>
      </c>
    </row>
    <row r="332">
      <c r="A332" t="inlineStr">
        <is>
          <t>ES</t>
        </is>
      </c>
      <c r="B332" t="inlineStr">
        <is>
          <t>Autumn2021</t>
        </is>
      </c>
      <c r="C332" t="inlineStr">
        <is>
          <t>Autumn</t>
        </is>
      </c>
      <c r="D332" t="n">
        <v>2021</v>
      </c>
      <c r="E332" t="n">
        <v>4.623451084710362</v>
      </c>
      <c r="F332" t="n">
        <v>6.469314314287704</v>
      </c>
      <c r="G332">
        <f>IF(OR(F332="",E332=""),"",F332-E332)</f>
        <v/>
      </c>
      <c r="H332" t="n">
        <v>0.9567497242089777</v>
      </c>
      <c r="I332" t="inlineStr">
        <is>
          <t>Above median</t>
        </is>
      </c>
    </row>
    <row r="333">
      <c r="A333" t="inlineStr">
        <is>
          <t>ES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5.88125326449247</v>
      </c>
      <c r="F333" t="n">
        <v>6.469314314287704</v>
      </c>
      <c r="G333">
        <f>IF(OR(F333="",E333=""),"",F333-E333)</f>
        <v/>
      </c>
      <c r="H333" t="n">
        <v>0.9567497242089777</v>
      </c>
      <c r="I333" t="inlineStr">
        <is>
          <t>Above median</t>
        </is>
      </c>
    </row>
    <row r="334">
      <c r="A334" t="inlineStr">
        <is>
          <t>FI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2.900169440971712</v>
      </c>
      <c r="F334" t="n">
        <v>2.641572009022019</v>
      </c>
      <c r="G334">
        <f>IF(OR(F334="",E334=""),"",F334-E334)</f>
        <v/>
      </c>
      <c r="H334" t="n">
        <v>1.529733934023222</v>
      </c>
      <c r="I334" t="inlineStr">
        <is>
          <t>Above median</t>
        </is>
      </c>
    </row>
    <row r="335">
      <c r="A335" t="inlineStr">
        <is>
          <t>FI</t>
        </is>
      </c>
      <c r="B335" t="inlineStr">
        <is>
          <t>Spring2020</t>
        </is>
      </c>
      <c r="C335" t="inlineStr">
        <is>
          <t>Spring</t>
        </is>
      </c>
      <c r="D335" t="n">
        <v>2021</v>
      </c>
      <c r="E335" t="n">
        <v>3.673560818821353</v>
      </c>
      <c r="F335" t="n">
        <v>2.641572009022019</v>
      </c>
      <c r="G335">
        <f>IF(OR(F335="",E335=""),"",F335-E335)</f>
        <v/>
      </c>
      <c r="H335" t="n">
        <v>1.529733934023222</v>
      </c>
      <c r="I335" t="inlineStr">
        <is>
          <t>Above median</t>
        </is>
      </c>
    </row>
    <row r="336">
      <c r="A336" t="inlineStr">
        <is>
          <t>FI</t>
        </is>
      </c>
      <c r="B336" t="inlineStr">
        <is>
          <t>Autumn2021</t>
        </is>
      </c>
      <c r="C336" t="inlineStr">
        <is>
          <t>Autumn</t>
        </is>
      </c>
      <c r="D336" t="n">
        <v>2021</v>
      </c>
      <c r="E336" t="n">
        <v>3.40412762679374</v>
      </c>
      <c r="F336" t="n">
        <v>2.641572009022019</v>
      </c>
      <c r="G336">
        <f>IF(OR(F336="",E336=""),"",F336-E336)</f>
        <v/>
      </c>
      <c r="H336" t="n">
        <v>1.529733934023222</v>
      </c>
      <c r="I336" t="inlineStr">
        <is>
          <t>Above median</t>
        </is>
      </c>
    </row>
    <row r="337">
      <c r="A337" t="inlineStr">
        <is>
          <t>FI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2.739564988065335</v>
      </c>
      <c r="F337" t="n">
        <v>2.641572009022019</v>
      </c>
      <c r="G337">
        <f>IF(OR(F337="",E337=""),"",F337-E337)</f>
        <v/>
      </c>
      <c r="H337" t="n">
        <v>1.529733934023222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Autumn2020</t>
        </is>
      </c>
      <c r="C338" t="inlineStr">
        <is>
          <t>Autumn</t>
        </is>
      </c>
      <c r="D338" t="n">
        <v>2021</v>
      </c>
      <c r="E338" t="n">
        <v>5.795265902617808</v>
      </c>
      <c r="F338" t="n">
        <v>6.570188477254643</v>
      </c>
      <c r="G338">
        <f>IF(OR(F338="",E338=""),"",F338-E338)</f>
        <v/>
      </c>
      <c r="H338" t="n">
        <v>7.379051811415314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2021</v>
      </c>
      <c r="E339" t="n">
        <v>7.401134491337769</v>
      </c>
      <c r="F339" t="n">
        <v>6.570188477254643</v>
      </c>
      <c r="G339">
        <f>IF(OR(F339="",E339=""),"",F339-E339)</f>
        <v/>
      </c>
      <c r="H339" t="n">
        <v>7.379051811415314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Autumn2021</t>
        </is>
      </c>
      <c r="C340" t="inlineStr">
        <is>
          <t>Autumn</t>
        </is>
      </c>
      <c r="D340" t="n">
        <v>2021</v>
      </c>
      <c r="E340" t="n">
        <v>6.542579429206707</v>
      </c>
      <c r="F340" t="n">
        <v>6.570188477254643</v>
      </c>
      <c r="G340">
        <f>IF(OR(F340="",E340=""),"",F340-E340)</f>
        <v/>
      </c>
      <c r="H340" t="n">
        <v>7.379051811415314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Spring2021</t>
        </is>
      </c>
      <c r="C341" t="inlineStr">
        <is>
          <t>Spring</t>
        </is>
      </c>
      <c r="D341" t="n">
        <v>2021</v>
      </c>
      <c r="E341" t="n">
        <v>5.714702673402861</v>
      </c>
      <c r="F341" t="n">
        <v>6.570188477254643</v>
      </c>
      <c r="G341">
        <f>IF(OR(F341="",E341=""),"",F341-E341)</f>
        <v/>
      </c>
      <c r="H341" t="n">
        <v>7.379051811415314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Autumn2020</t>
        </is>
      </c>
      <c r="C342" t="inlineStr">
        <is>
          <t>Autumn</t>
        </is>
      </c>
      <c r="D342" t="n">
        <v>2021</v>
      </c>
      <c r="E342" t="n">
        <v>2.161323818880434</v>
      </c>
      <c r="F342" t="n">
        <v>6.01976435632946</v>
      </c>
      <c r="G342">
        <f>IF(OR(F342="",E342=""),"",F342-E342)</f>
        <v/>
      </c>
      <c r="H342" t="n">
        <v>1.619800877878083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Spring2020</t>
        </is>
      </c>
      <c r="C343" t="inlineStr">
        <is>
          <t>Spring</t>
        </is>
      </c>
      <c r="D343" t="n">
        <v>2021</v>
      </c>
      <c r="E343" t="n">
        <v>4.963640025345617</v>
      </c>
      <c r="F343" t="n">
        <v>6.01976435632946</v>
      </c>
      <c r="G343">
        <f>IF(OR(F343="",E343=""),"",F343-E343)</f>
        <v/>
      </c>
      <c r="H343" t="n">
        <v>1.619800877878083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Autumn2021</t>
        </is>
      </c>
      <c r="C344" t="inlineStr">
        <is>
          <t>Autumn</t>
        </is>
      </c>
      <c r="D344" t="n">
        <v>2021</v>
      </c>
      <c r="E344" t="n">
        <v>3.972824818052256</v>
      </c>
      <c r="F344" t="n">
        <v>6.01976435632946</v>
      </c>
      <c r="G344">
        <f>IF(OR(F344="",E344=""),"",F344-E344)</f>
        <v/>
      </c>
      <c r="H344" t="n">
        <v>1.619800877878083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Spring2021</t>
        </is>
      </c>
      <c r="C345" t="inlineStr">
        <is>
          <t>Spring</t>
        </is>
      </c>
      <c r="D345" t="n">
        <v>2021</v>
      </c>
      <c r="E345" t="n">
        <v>2.338236916434577</v>
      </c>
      <c r="F345" t="n">
        <v>6.01976435632946</v>
      </c>
      <c r="G345">
        <f>IF(OR(F345="",E345=""),"",F345-E345)</f>
        <v/>
      </c>
      <c r="H345" t="n">
        <v>1.619800877878083</v>
      </c>
      <c r="I345" t="inlineStr">
        <is>
          <t>Above median</t>
        </is>
      </c>
    </row>
    <row r="346">
      <c r="A346" t="inlineStr">
        <is>
          <t>BE</t>
        </is>
      </c>
      <c r="B346" t="inlineStr">
        <is>
          <t>Autumn2021</t>
        </is>
      </c>
      <c r="C346" t="inlineStr">
        <is>
          <t>Autumn</t>
        </is>
      </c>
      <c r="D346" t="n">
        <v>2022</v>
      </c>
      <c r="E346" t="n">
        <v>2.647136452938059</v>
      </c>
      <c r="F346" t="n">
        <v>3.945716681463399</v>
      </c>
      <c r="G346">
        <f>IF(OR(F346="",E346=""),"",F346-E346)</f>
        <v/>
      </c>
      <c r="H346" t="n">
        <v>0.9017256060395069</v>
      </c>
      <c r="I346" t="inlineStr">
        <is>
          <t>Above median</t>
        </is>
      </c>
    </row>
    <row r="347">
      <c r="A347" t="inlineStr">
        <is>
          <t>BE</t>
        </is>
      </c>
      <c r="B347" t="inlineStr">
        <is>
          <t>Spring2021</t>
        </is>
      </c>
      <c r="C347" t="inlineStr">
        <is>
          <t>Spring</t>
        </is>
      </c>
      <c r="D347" t="n">
        <v>2022</v>
      </c>
      <c r="E347" t="n">
        <v>3.671117125209777</v>
      </c>
      <c r="F347" t="n">
        <v>3.945716681463399</v>
      </c>
      <c r="G347">
        <f>IF(OR(F347="",E347=""),"",F347-E347)</f>
        <v/>
      </c>
      <c r="H347" t="n">
        <v>0.9017256060395069</v>
      </c>
      <c r="I347" t="inlineStr">
        <is>
          <t>Above median</t>
        </is>
      </c>
    </row>
    <row r="348">
      <c r="A348" t="inlineStr">
        <is>
          <t>BE</t>
        </is>
      </c>
      <c r="B348" t="inlineStr">
        <is>
          <t>Autumn2022</t>
        </is>
      </c>
      <c r="C348" t="inlineStr">
        <is>
          <t>Autumn</t>
        </is>
      </c>
      <c r="D348" t="n">
        <v>2022</v>
      </c>
      <c r="E348" t="n">
        <v>2.817114751231209</v>
      </c>
      <c r="F348" t="n">
        <v>3.945716681463399</v>
      </c>
      <c r="G348">
        <f>IF(OR(F348="",E348=""),"",F348-E348)</f>
        <v/>
      </c>
      <c r="H348" t="n">
        <v>0.9017256060395069</v>
      </c>
      <c r="I348" t="inlineStr">
        <is>
          <t>Above median</t>
        </is>
      </c>
    </row>
    <row r="349">
      <c r="A349" t="inlineStr">
        <is>
          <t>BE</t>
        </is>
      </c>
      <c r="B349" t="inlineStr">
        <is>
          <t>Spring2022</t>
        </is>
      </c>
      <c r="C349" t="inlineStr">
        <is>
          <t>Spring</t>
        </is>
      </c>
      <c r="D349" t="n">
        <v>2022</v>
      </c>
      <c r="E349" t="n">
        <v>2.016579561869025</v>
      </c>
      <c r="F349" t="n">
        <v>3.945716681463399</v>
      </c>
      <c r="G349">
        <f>IF(OR(F349="",E349=""),"",F349-E349)</f>
        <v/>
      </c>
      <c r="H349" t="n">
        <v>0.9017256060395069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Autumn2021</t>
        </is>
      </c>
      <c r="C350" t="inlineStr">
        <is>
          <t>Autumn</t>
        </is>
      </c>
      <c r="D350" t="n">
        <v>2022</v>
      </c>
      <c r="E350" t="n">
        <v>4.592778443460088</v>
      </c>
      <c r="F350" t="n">
        <v>1.931834126476093</v>
      </c>
      <c r="G350">
        <f>IF(OR(F350="",E350=""),"",F350-E350)</f>
        <v/>
      </c>
      <c r="H350" t="n">
        <v>8.176158377540112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Spring2021</t>
        </is>
      </c>
      <c r="C351" t="inlineStr">
        <is>
          <t>Spring</t>
        </is>
      </c>
      <c r="D351" t="n">
        <v>2022</v>
      </c>
      <c r="E351" t="n">
        <v>4.054769973410322</v>
      </c>
      <c r="F351" t="n">
        <v>1.931834126476093</v>
      </c>
      <c r="G351">
        <f>IF(OR(F351="",E351=""),"",F351-E351)</f>
        <v/>
      </c>
      <c r="H351" t="n">
        <v>8.176158377540112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Autumn2022</t>
        </is>
      </c>
      <c r="C352" t="inlineStr">
        <is>
          <t>Autumn</t>
        </is>
      </c>
      <c r="D352" t="n">
        <v>2022</v>
      </c>
      <c r="E352" t="n">
        <v>1.55845355711639</v>
      </c>
      <c r="F352" t="n">
        <v>1.931834126476093</v>
      </c>
      <c r="G352">
        <f>IF(OR(F352="",E352=""),"",F352-E352)</f>
        <v/>
      </c>
      <c r="H352" t="n">
        <v>8.176158377540112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Spring2022</t>
        </is>
      </c>
      <c r="C353" t="inlineStr">
        <is>
          <t>Spring</t>
        </is>
      </c>
      <c r="D353" t="n">
        <v>2022</v>
      </c>
      <c r="E353" t="n">
        <v>1.557968342243976</v>
      </c>
      <c r="F353" t="n">
        <v>1.931834126476093</v>
      </c>
      <c r="G353">
        <f>IF(OR(F353="",E353=""),"",F353-E353)</f>
        <v/>
      </c>
      <c r="H353" t="n">
        <v>8.176158377540112</v>
      </c>
      <c r="I353" t="inlineStr">
        <is>
          <t>Above median</t>
        </is>
      </c>
    </row>
    <row r="354">
      <c r="A354" t="inlineStr">
        <is>
          <t>ES</t>
        </is>
      </c>
      <c r="B354" t="inlineStr">
        <is>
          <t>Autumn2021</t>
        </is>
      </c>
      <c r="C354" t="inlineStr">
        <is>
          <t>Autumn</t>
        </is>
      </c>
      <c r="D354" t="n">
        <v>2022</v>
      </c>
      <c r="E354" t="n">
        <v>5.527823615283389</v>
      </c>
      <c r="F354" t="n">
        <v>6.175712557377276</v>
      </c>
      <c r="G354">
        <f>IF(OR(F354="",E354=""),"",F354-E354)</f>
        <v/>
      </c>
      <c r="H354" t="n">
        <v>0.7506448684246857</v>
      </c>
      <c r="I354" t="inlineStr">
        <is>
          <t>Above median</t>
        </is>
      </c>
    </row>
    <row r="355">
      <c r="A355" t="inlineStr">
        <is>
          <t>ES</t>
        </is>
      </c>
      <c r="B355" t="inlineStr">
        <is>
          <t>Spring2021</t>
        </is>
      </c>
      <c r="C355" t="inlineStr">
        <is>
          <t>Spring</t>
        </is>
      </c>
      <c r="D355" t="n">
        <v>2022</v>
      </c>
      <c r="E355" t="n">
        <v>6.777991800115157</v>
      </c>
      <c r="F355" t="n">
        <v>6.175712557377276</v>
      </c>
      <c r="G355">
        <f>IF(OR(F355="",E355=""),"",F355-E355)</f>
        <v/>
      </c>
      <c r="H355" t="n">
        <v>0.7506448684246857</v>
      </c>
      <c r="I355" t="inlineStr">
        <is>
          <t>Above median</t>
        </is>
      </c>
    </row>
    <row r="356">
      <c r="A356" t="inlineStr">
        <is>
          <t>ES</t>
        </is>
      </c>
      <c r="B356" t="inlineStr">
        <is>
          <t>Autumn2022</t>
        </is>
      </c>
      <c r="C356" t="inlineStr">
        <is>
          <t>Autumn</t>
        </is>
      </c>
      <c r="D356" t="n">
        <v>2022</v>
      </c>
      <c r="E356" t="n">
        <v>4.547669246739372</v>
      </c>
      <c r="F356" t="n">
        <v>6.175712557377276</v>
      </c>
      <c r="G356">
        <f>IF(OR(F356="",E356=""),"",F356-E356)</f>
        <v/>
      </c>
      <c r="H356" t="n">
        <v>0.7506448684246857</v>
      </c>
      <c r="I356" t="inlineStr">
        <is>
          <t>Above median</t>
        </is>
      </c>
    </row>
    <row r="357">
      <c r="A357" t="inlineStr">
        <is>
          <t>ES</t>
        </is>
      </c>
      <c r="B357" t="inlineStr">
        <is>
          <t>Spring2022</t>
        </is>
      </c>
      <c r="C357" t="inlineStr">
        <is>
          <t>Spring</t>
        </is>
      </c>
      <c r="D357" t="n">
        <v>2022</v>
      </c>
      <c r="E357" t="n">
        <v>4.026089481560913</v>
      </c>
      <c r="F357" t="n">
        <v>6.175712557377276</v>
      </c>
      <c r="G357">
        <f>IF(OR(F357="",E357=""),"",F357-E357)</f>
        <v/>
      </c>
      <c r="H357" t="n">
        <v>0.7506448684246857</v>
      </c>
      <c r="I357" t="inlineStr">
        <is>
          <t>Above median</t>
        </is>
      </c>
    </row>
    <row r="358">
      <c r="A358" t="inlineStr">
        <is>
          <t>FI</t>
        </is>
      </c>
      <c r="B358" t="inlineStr">
        <is>
          <t>Autumn2021</t>
        </is>
      </c>
      <c r="C358" t="inlineStr">
        <is>
          <t>Autumn</t>
        </is>
      </c>
      <c r="D358" t="n">
        <v>2022</v>
      </c>
      <c r="E358" t="n">
        <v>2.827224586640664</v>
      </c>
      <c r="F358" t="n">
        <v>0.7600629155646718</v>
      </c>
      <c r="G358">
        <f>IF(OR(F358="",E358=""),"",F358-E358)</f>
        <v/>
      </c>
      <c r="H358" t="n">
        <v>1.409708663565979</v>
      </c>
      <c r="I358" t="inlineStr">
        <is>
          <t>Above median</t>
        </is>
      </c>
    </row>
    <row r="359">
      <c r="A359" t="inlineStr">
        <is>
          <t>FI</t>
        </is>
      </c>
      <c r="B359" t="inlineStr">
        <is>
          <t>Spring2021</t>
        </is>
      </c>
      <c r="C359" t="inlineStr">
        <is>
          <t>Spring</t>
        </is>
      </c>
      <c r="D359" t="n">
        <v>2022</v>
      </c>
      <c r="E359" t="n">
        <v>2.751701241130511</v>
      </c>
      <c r="F359" t="n">
        <v>0.7600629155646718</v>
      </c>
      <c r="G359">
        <f>IF(OR(F359="",E359=""),"",F359-E359)</f>
        <v/>
      </c>
      <c r="H359" t="n">
        <v>1.409708663565979</v>
      </c>
      <c r="I359" t="inlineStr">
        <is>
          <t>Above median</t>
        </is>
      </c>
    </row>
    <row r="360">
      <c r="A360" t="inlineStr">
        <is>
          <t>FI</t>
        </is>
      </c>
      <c r="B360" t="inlineStr">
        <is>
          <t>Autumn2022</t>
        </is>
      </c>
      <c r="C360" t="inlineStr">
        <is>
          <t>Autumn</t>
        </is>
      </c>
      <c r="D360" t="n">
        <v>2022</v>
      </c>
      <c r="E360" t="n">
        <v>2.327853537647107</v>
      </c>
      <c r="F360" t="n">
        <v>0.7600629155646718</v>
      </c>
      <c r="G360">
        <f>IF(OR(F360="",E360=""),"",F360-E360)</f>
        <v/>
      </c>
      <c r="H360" t="n">
        <v>1.409708663565979</v>
      </c>
      <c r="I360" t="inlineStr">
        <is>
          <t>Above median</t>
        </is>
      </c>
    </row>
    <row r="361">
      <c r="A361" t="inlineStr">
        <is>
          <t>FI</t>
        </is>
      </c>
      <c r="B361" t="inlineStr">
        <is>
          <t>Spring2022</t>
        </is>
      </c>
      <c r="C361" t="inlineStr">
        <is>
          <t>Spring</t>
        </is>
      </c>
      <c r="D361" t="n">
        <v>2022</v>
      </c>
      <c r="E361" t="n">
        <v>1.603112304026943</v>
      </c>
      <c r="F361" t="n">
        <v>0.7600629155646718</v>
      </c>
      <c r="G361">
        <f>IF(OR(F361="",E361=""),"",F361-E361)</f>
        <v/>
      </c>
      <c r="H361" t="n">
        <v>1.409708663565979</v>
      </c>
      <c r="I361" t="inlineStr">
        <is>
          <t>Above median</t>
        </is>
      </c>
    </row>
    <row r="362">
      <c r="A362" t="inlineStr">
        <is>
          <t>FR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3.766147557940314</v>
      </c>
      <c r="F362" t="n">
        <v>2.761671160127166</v>
      </c>
      <c r="G362">
        <f>IF(OR(F362="",E362=""),"",F362-E362)</f>
        <v/>
      </c>
      <c r="H362" t="n">
        <v>9.634739451684258</v>
      </c>
      <c r="I362" t="inlineStr">
        <is>
          <t>Above median</t>
        </is>
      </c>
    </row>
    <row r="363">
      <c r="A363" t="inlineStr">
        <is>
          <t>FR</t>
        </is>
      </c>
      <c r="B363" t="inlineStr">
        <is>
          <t>Spring2021</t>
        </is>
      </c>
      <c r="C363" t="inlineStr">
        <is>
          <t>Spring</t>
        </is>
      </c>
      <c r="D363" t="n">
        <v>2022</v>
      </c>
      <c r="E363" t="n">
        <v>4.211477073724845</v>
      </c>
      <c r="F363" t="n">
        <v>2.761671160127166</v>
      </c>
      <c r="G363">
        <f>IF(OR(F363="",E363=""),"",F363-E363)</f>
        <v/>
      </c>
      <c r="H363" t="n">
        <v>9.634739451684258</v>
      </c>
      <c r="I363" t="inlineStr">
        <is>
          <t>Above median</t>
        </is>
      </c>
    </row>
    <row r="364">
      <c r="A364" t="inlineStr">
        <is>
          <t>FR</t>
        </is>
      </c>
      <c r="B364" t="inlineStr">
        <is>
          <t>Autumn2022</t>
        </is>
      </c>
      <c r="C364" t="inlineStr">
        <is>
          <t>Autumn</t>
        </is>
      </c>
      <c r="D364" t="n">
        <v>2022</v>
      </c>
      <c r="E364" t="n">
        <v>2.629458440119525</v>
      </c>
      <c r="F364" t="n">
        <v>2.761671160127166</v>
      </c>
      <c r="G364">
        <f>IF(OR(F364="",E364=""),"",F364-E364)</f>
        <v/>
      </c>
      <c r="H364" t="n">
        <v>9.634739451684258</v>
      </c>
      <c r="I364" t="inlineStr">
        <is>
          <t>Above median</t>
        </is>
      </c>
    </row>
    <row r="365">
      <c r="A365" t="inlineStr">
        <is>
          <t>FR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3.098952418316858</v>
      </c>
      <c r="F365" t="n">
        <v>2.761671160127166</v>
      </c>
      <c r="G365">
        <f>IF(OR(F365="",E365=""),"",F365-E365)</f>
        <v/>
      </c>
      <c r="H365" t="n">
        <v>9.634739451684258</v>
      </c>
      <c r="I365" t="inlineStr">
        <is>
          <t>Above median</t>
        </is>
      </c>
    </row>
    <row r="366">
      <c r="A366" t="inlineStr">
        <is>
          <t>NL</t>
        </is>
      </c>
      <c r="B366" t="inlineStr">
        <is>
          <t>Autumn2021</t>
        </is>
      </c>
      <c r="C366" t="inlineStr">
        <is>
          <t>Autumn</t>
        </is>
      </c>
      <c r="D366" t="n">
        <v>2022</v>
      </c>
      <c r="E366" t="n">
        <v>3.348977083556104</v>
      </c>
      <c r="F366" t="n">
        <v>4.889291210402315</v>
      </c>
      <c r="G366">
        <f>IF(OR(F366="",E366=""),"",F366-E366)</f>
        <v/>
      </c>
      <c r="H366" t="n">
        <v>1.844354431086444</v>
      </c>
      <c r="I366" t="inlineStr">
        <is>
          <t>Above median</t>
        </is>
      </c>
    </row>
    <row r="367">
      <c r="A367" t="inlineStr">
        <is>
          <t>NL</t>
        </is>
      </c>
      <c r="B367" t="inlineStr">
        <is>
          <t>Spring2021</t>
        </is>
      </c>
      <c r="C367" t="inlineStr">
        <is>
          <t>Spring</t>
        </is>
      </c>
      <c r="D367" t="n">
        <v>2022</v>
      </c>
      <c r="E367" t="n">
        <v>3.579048671287688</v>
      </c>
      <c r="F367" t="n">
        <v>4.889291210402315</v>
      </c>
      <c r="G367">
        <f>IF(OR(F367="",E367=""),"",F367-E367)</f>
        <v/>
      </c>
      <c r="H367" t="n">
        <v>1.844354431086444</v>
      </c>
      <c r="I367" t="inlineStr">
        <is>
          <t>Above median</t>
        </is>
      </c>
    </row>
    <row r="368">
      <c r="A368" t="inlineStr">
        <is>
          <t>NL</t>
        </is>
      </c>
      <c r="B368" t="inlineStr">
        <is>
          <t>Autumn2022</t>
        </is>
      </c>
      <c r="C368" t="inlineStr">
        <is>
          <t>Autumn</t>
        </is>
      </c>
      <c r="D368" t="n">
        <v>2022</v>
      </c>
      <c r="E368" t="n">
        <v>4.649019663074072</v>
      </c>
      <c r="F368" t="n">
        <v>4.889291210402315</v>
      </c>
      <c r="G368">
        <f>IF(OR(F368="",E368=""),"",F368-E368)</f>
        <v/>
      </c>
      <c r="H368" t="n">
        <v>1.844354431086444</v>
      </c>
      <c r="I368" t="inlineStr">
        <is>
          <t>Above median</t>
        </is>
      </c>
    </row>
    <row r="369">
      <c r="A369" t="inlineStr">
        <is>
          <t>NL</t>
        </is>
      </c>
      <c r="B369" t="inlineStr">
        <is>
          <t>Spring2022</t>
        </is>
      </c>
      <c r="C369" t="inlineStr">
        <is>
          <t>Spring</t>
        </is>
      </c>
      <c r="D369" t="n">
        <v>2022</v>
      </c>
      <c r="E369" t="n">
        <v>3.271330674458595</v>
      </c>
      <c r="F369" t="n">
        <v>4.889291210402315</v>
      </c>
      <c r="G369">
        <f>IF(OR(F369="",E369=""),"",F369-E369)</f>
        <v/>
      </c>
      <c r="H369" t="n">
        <v>1.844354431086444</v>
      </c>
      <c r="I369" t="inlineStr">
        <is>
          <t>Above median</t>
        </is>
      </c>
    </row>
    <row r="370">
      <c r="A370" t="inlineStr">
        <is>
          <t>BE</t>
        </is>
      </c>
      <c r="B370" t="inlineStr">
        <is>
          <t>Autumn2022</t>
        </is>
      </c>
      <c r="C370" t="inlineStr">
        <is>
          <t>Autumn</t>
        </is>
      </c>
      <c r="D370" t="n">
        <v>2023</v>
      </c>
      <c r="E370" t="n">
        <v>0.1608186912456899</v>
      </c>
      <c r="F370" t="n">
        <v>1.549182781075526</v>
      </c>
      <c r="G370">
        <f>IF(OR(F370="",E370=""),"",F370-E370)</f>
        <v/>
      </c>
      <c r="H370" t="n">
        <v>0.7009977438789824</v>
      </c>
      <c r="I370" t="inlineStr">
        <is>
          <t>Above median</t>
        </is>
      </c>
    </row>
    <row r="371">
      <c r="A371" t="inlineStr">
        <is>
          <t>BE</t>
        </is>
      </c>
      <c r="B371" t="inlineStr">
        <is>
          <t>Spring2022</t>
        </is>
      </c>
      <c r="C371" t="inlineStr">
        <is>
          <t>Spring</t>
        </is>
      </c>
      <c r="D371" t="n">
        <v>2023</v>
      </c>
      <c r="E371" t="n">
        <v>1.776624080830547</v>
      </c>
      <c r="F371" t="n">
        <v>1.549182781075526</v>
      </c>
      <c r="G371">
        <f>IF(OR(F371="",E371=""),"",F371-E371)</f>
        <v/>
      </c>
      <c r="H371" t="n">
        <v>0.7009977438789824</v>
      </c>
      <c r="I371" t="inlineStr">
        <is>
          <t>Above median</t>
        </is>
      </c>
    </row>
    <row r="372">
      <c r="A372" t="inlineStr">
        <is>
          <t>BE</t>
        </is>
      </c>
      <c r="B372" t="inlineStr">
        <is>
          <t>Autumn2023</t>
        </is>
      </c>
      <c r="C372" t="inlineStr">
        <is>
          <t>Autumn</t>
        </is>
      </c>
      <c r="D372" t="n">
        <v>2023</v>
      </c>
      <c r="E372" t="n">
        <v>1.44096095579862</v>
      </c>
      <c r="F372" t="n">
        <v>1.549182781075526</v>
      </c>
      <c r="G372">
        <f>IF(OR(F372="",E372=""),"",F372-E372)</f>
        <v/>
      </c>
      <c r="H372" t="n">
        <v>0.7009977438789824</v>
      </c>
      <c r="I372" t="inlineStr">
        <is>
          <t>Above median</t>
        </is>
      </c>
    </row>
    <row r="373">
      <c r="A373" t="inlineStr">
        <is>
          <t>BE</t>
        </is>
      </c>
      <c r="B373" t="inlineStr">
        <is>
          <t>Spring2023</t>
        </is>
      </c>
      <c r="C373" t="inlineStr">
        <is>
          <t>Spring</t>
        </is>
      </c>
      <c r="D373" t="n">
        <v>2023</v>
      </c>
      <c r="E373" t="n">
        <v>1.233072806561886</v>
      </c>
      <c r="F373" t="n">
        <v>1.549182781075526</v>
      </c>
      <c r="G373">
        <f>IF(OR(F373="",E373=""),"",F373-E373)</f>
        <v/>
      </c>
      <c r="H373" t="n">
        <v>0.7009977438789824</v>
      </c>
      <c r="I373" t="inlineStr">
        <is>
          <t>Above median</t>
        </is>
      </c>
    </row>
    <row r="374">
      <c r="A374" t="inlineStr">
        <is>
          <t>DE</t>
        </is>
      </c>
      <c r="B374" t="inlineStr">
        <is>
          <t>Autumn2022</t>
        </is>
      </c>
      <c r="C374" t="inlineStr">
        <is>
          <t>Autumn</t>
        </is>
      </c>
      <c r="D374" t="n">
        <v>2023</v>
      </c>
      <c r="E374" t="n">
        <v>-0.6259552448300343</v>
      </c>
      <c r="F374" t="n">
        <v>-0.8168910842708624</v>
      </c>
      <c r="G374">
        <f>IF(OR(F374="",E374=""),"",F374-E374)</f>
        <v/>
      </c>
      <c r="H374" t="n">
        <v>7.687018411363156</v>
      </c>
      <c r="I374" t="inlineStr">
        <is>
          <t>Above median</t>
        </is>
      </c>
    </row>
    <row r="375">
      <c r="A375" t="inlineStr">
        <is>
          <t>DE</t>
        </is>
      </c>
      <c r="B375" t="inlineStr">
        <is>
          <t>Spring2022</t>
        </is>
      </c>
      <c r="C375" t="inlineStr">
        <is>
          <t>Spring</t>
        </is>
      </c>
      <c r="D375" t="n">
        <v>2023</v>
      </c>
      <c r="E375" t="n">
        <v>2.409031659139682</v>
      </c>
      <c r="F375" t="n">
        <v>-0.8168910842708624</v>
      </c>
      <c r="G375">
        <f>IF(OR(F375="",E375=""),"",F375-E375)</f>
        <v/>
      </c>
      <c r="H375" t="n">
        <v>7.687018411363156</v>
      </c>
      <c r="I375" t="inlineStr">
        <is>
          <t>Above median</t>
        </is>
      </c>
    </row>
    <row r="376">
      <c r="A376" t="inlineStr">
        <is>
          <t>DE</t>
        </is>
      </c>
      <c r="B376" t="inlineStr">
        <is>
          <t>Autumn2023</t>
        </is>
      </c>
      <c r="C376" t="inlineStr">
        <is>
          <t>Autumn</t>
        </is>
      </c>
      <c r="D376" t="n">
        <v>2023</v>
      </c>
      <c r="E376" t="n">
        <v>-0.2733491870976157</v>
      </c>
      <c r="F376" t="n">
        <v>-0.8168910842708624</v>
      </c>
      <c r="G376">
        <f>IF(OR(F376="",E376=""),"",F376-E376)</f>
        <v/>
      </c>
      <c r="H376" t="n">
        <v>7.687018411363156</v>
      </c>
      <c r="I376" t="inlineStr">
        <is>
          <t>Above median</t>
        </is>
      </c>
    </row>
    <row r="377">
      <c r="A377" t="inlineStr">
        <is>
          <t>DE</t>
        </is>
      </c>
      <c r="B377" t="inlineStr">
        <is>
          <t>Spring2023</t>
        </is>
      </c>
      <c r="C377" t="inlineStr">
        <is>
          <t>Spring</t>
        </is>
      </c>
      <c r="D377" t="n">
        <v>2023</v>
      </c>
      <c r="E377" t="n">
        <v>0.1895730527823769</v>
      </c>
      <c r="F377" t="n">
        <v>-0.8168910842708624</v>
      </c>
      <c r="G377">
        <f>IF(OR(F377="",E377=""),"",F377-E377)</f>
        <v/>
      </c>
      <c r="H377" t="n">
        <v>7.687018411363156</v>
      </c>
      <c r="I377" t="inlineStr">
        <is>
          <t>Above median</t>
        </is>
      </c>
    </row>
    <row r="378">
      <c r="A378" t="inlineStr">
        <is>
          <t>ES</t>
        </is>
      </c>
      <c r="B378" t="inlineStr">
        <is>
          <t>Autumn2022</t>
        </is>
      </c>
      <c r="C378" t="inlineStr">
        <is>
          <t>Autumn</t>
        </is>
      </c>
      <c r="D378" t="n">
        <v>2023</v>
      </c>
      <c r="E378" t="n">
        <v>0.9550399603865944</v>
      </c>
      <c r="F378" t="n">
        <v>2.430978463969634</v>
      </c>
      <c r="G378">
        <f>IF(OR(F378="",E378=""),"",F378-E378)</f>
        <v/>
      </c>
      <c r="H378" t="n">
        <v>0.9908078367736068</v>
      </c>
      <c r="I378" t="inlineStr">
        <is>
          <t>Above median</t>
        </is>
      </c>
    </row>
    <row r="379">
      <c r="A379" t="inlineStr">
        <is>
          <t>ES</t>
        </is>
      </c>
      <c r="B379" t="inlineStr">
        <is>
          <t>Spring2022</t>
        </is>
      </c>
      <c r="C379" t="inlineStr">
        <is>
          <t>Spring</t>
        </is>
      </c>
      <c r="D379" t="n">
        <v>2023</v>
      </c>
      <c r="E379" t="n">
        <v>3.37296849743105</v>
      </c>
      <c r="F379" t="n">
        <v>2.430978463969634</v>
      </c>
      <c r="G379">
        <f>IF(OR(F379="",E379=""),"",F379-E379)</f>
        <v/>
      </c>
      <c r="H379" t="n">
        <v>0.9908078367736068</v>
      </c>
      <c r="I379" t="inlineStr">
        <is>
          <t>Above median</t>
        </is>
      </c>
    </row>
    <row r="380">
      <c r="A380" t="inlineStr">
        <is>
          <t>ES</t>
        </is>
      </c>
      <c r="B380" t="inlineStr">
        <is>
          <t>Autumn2023</t>
        </is>
      </c>
      <c r="C380" t="inlineStr">
        <is>
          <t>Autumn</t>
        </is>
      </c>
      <c r="D380" t="n">
        <v>2023</v>
      </c>
      <c r="E380" t="n">
        <v>2.365484497228709</v>
      </c>
      <c r="F380" t="n">
        <v>2.430978463969634</v>
      </c>
      <c r="G380">
        <f>IF(OR(F380="",E380=""),"",F380-E380)</f>
        <v/>
      </c>
      <c r="H380" t="n">
        <v>0.9908078367736068</v>
      </c>
      <c r="I380" t="inlineStr">
        <is>
          <t>Above median</t>
        </is>
      </c>
    </row>
    <row r="381">
      <c r="A381" t="inlineStr">
        <is>
          <t>ES</t>
        </is>
      </c>
      <c r="B381" t="inlineStr">
        <is>
          <t>Spring2023</t>
        </is>
      </c>
      <c r="C381" t="inlineStr">
        <is>
          <t>Spring</t>
        </is>
      </c>
      <c r="D381" t="n">
        <v>2023</v>
      </c>
      <c r="E381" t="n">
        <v>1.936681176345667</v>
      </c>
      <c r="F381" t="n">
        <v>2.430978463969634</v>
      </c>
      <c r="G381">
        <f>IF(OR(F381="",E381=""),"",F381-E381)</f>
        <v/>
      </c>
      <c r="H381" t="n">
        <v>0.9908078367736068</v>
      </c>
      <c r="I381" t="inlineStr">
        <is>
          <t>Above median</t>
        </is>
      </c>
    </row>
    <row r="382">
      <c r="A382" t="inlineStr">
        <is>
          <t>FI</t>
        </is>
      </c>
      <c r="B382" t="inlineStr">
        <is>
          <t>Autumn2022</t>
        </is>
      </c>
      <c r="C382" t="inlineStr">
        <is>
          <t>Autumn</t>
        </is>
      </c>
      <c r="D382" t="n">
        <v>2023</v>
      </c>
      <c r="E382" t="n">
        <v>0.2399878611282436</v>
      </c>
      <c r="F382" t="n">
        <v>-1.298005405307383</v>
      </c>
      <c r="G382">
        <f>IF(OR(F382="",E382=""),"",F382-E382)</f>
        <v/>
      </c>
      <c r="H382" t="n">
        <v>1.308722193926259</v>
      </c>
      <c r="I382" t="inlineStr">
        <is>
          <t>Above median</t>
        </is>
      </c>
    </row>
    <row r="383">
      <c r="A383" t="inlineStr">
        <is>
          <t>FI</t>
        </is>
      </c>
      <c r="B383" t="inlineStr">
        <is>
          <t>Spring2022</t>
        </is>
      </c>
      <c r="C383" t="inlineStr">
        <is>
          <t>Spring</t>
        </is>
      </c>
      <c r="D383" t="n">
        <v>2023</v>
      </c>
      <c r="E383" t="n">
        <v>1.664320363648697</v>
      </c>
      <c r="F383" t="n">
        <v>-1.298005405307383</v>
      </c>
      <c r="G383">
        <f>IF(OR(F383="",E383=""),"",F383-E383)</f>
        <v/>
      </c>
      <c r="H383" t="n">
        <v>1.308722193926259</v>
      </c>
      <c r="I383" t="inlineStr">
        <is>
          <t>Above median</t>
        </is>
      </c>
    </row>
    <row r="384">
      <c r="A384" t="inlineStr">
        <is>
          <t>FI</t>
        </is>
      </c>
      <c r="B384" t="inlineStr">
        <is>
          <t>Autumn2023</t>
        </is>
      </c>
      <c r="C384" t="inlineStr">
        <is>
          <t>Autumn</t>
        </is>
      </c>
      <c r="D384" t="n">
        <v>2023</v>
      </c>
      <c r="E384" t="n">
        <v>0.1370597471564761</v>
      </c>
      <c r="F384" t="n">
        <v>-1.298005405307383</v>
      </c>
      <c r="G384">
        <f>IF(OR(F384="",E384=""),"",F384-E384)</f>
        <v/>
      </c>
      <c r="H384" t="n">
        <v>1.308722193926259</v>
      </c>
      <c r="I384" t="inlineStr">
        <is>
          <t>Above median</t>
        </is>
      </c>
    </row>
    <row r="385">
      <c r="A385" t="inlineStr">
        <is>
          <t>FI</t>
        </is>
      </c>
      <c r="B385" t="inlineStr">
        <is>
          <t>Spring2023</t>
        </is>
      </c>
      <c r="C385" t="inlineStr">
        <is>
          <t>Spring</t>
        </is>
      </c>
      <c r="D385" t="n">
        <v>2023</v>
      </c>
      <c r="E385" t="n">
        <v>0.1978909161836295</v>
      </c>
      <c r="F385" t="n">
        <v>-1.298005405307383</v>
      </c>
      <c r="G385">
        <f>IF(OR(F385="",E385=""),"",F385-E385)</f>
        <v/>
      </c>
      <c r="H385" t="n">
        <v>1.308722193926259</v>
      </c>
      <c r="I385" t="inlineStr">
        <is>
          <t>Above median</t>
        </is>
      </c>
    </row>
    <row r="386">
      <c r="A386" t="inlineStr">
        <is>
          <t>FR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0.4395065145862631</v>
      </c>
      <c r="F386" t="n">
        <v>1.802247083175507</v>
      </c>
      <c r="G386">
        <f>IF(OR(F386="",E386=""),"",F386-E386)</f>
        <v/>
      </c>
      <c r="H386" t="n">
        <v>10.29193780166767</v>
      </c>
      <c r="I386" t="inlineStr">
        <is>
          <t>Above median</t>
        </is>
      </c>
    </row>
    <row r="387">
      <c r="A387" t="inlineStr">
        <is>
          <t>FR</t>
        </is>
      </c>
      <c r="B387" t="inlineStr">
        <is>
          <t>Spring2022</t>
        </is>
      </c>
      <c r="C387" t="inlineStr">
        <is>
          <t>Spring</t>
        </is>
      </c>
      <c r="D387" t="n">
        <v>2023</v>
      </c>
      <c r="E387" t="n">
        <v>1.769109124061696</v>
      </c>
      <c r="F387" t="n">
        <v>1.802247083175507</v>
      </c>
      <c r="G387">
        <f>IF(OR(F387="",E387=""),"",F387-E387)</f>
        <v/>
      </c>
      <c r="H387" t="n">
        <v>10.29193780166767</v>
      </c>
      <c r="I387" t="inlineStr">
        <is>
          <t>Above median</t>
        </is>
      </c>
    </row>
    <row r="388">
      <c r="A388" t="inlineStr">
        <is>
          <t>FR</t>
        </is>
      </c>
      <c r="B388" t="inlineStr">
        <is>
          <t>Autumn2023</t>
        </is>
      </c>
      <c r="C388" t="inlineStr">
        <is>
          <t>Autumn</t>
        </is>
      </c>
      <c r="D388" t="n">
        <v>2023</v>
      </c>
      <c r="E388" t="n">
        <v>1.002276295034399</v>
      </c>
      <c r="F388" t="n">
        <v>1.802247083175507</v>
      </c>
      <c r="G388">
        <f>IF(OR(F388="",E388=""),"",F388-E388)</f>
        <v/>
      </c>
      <c r="H388" t="n">
        <v>10.29193780166767</v>
      </c>
      <c r="I388" t="inlineStr">
        <is>
          <t>Above median</t>
        </is>
      </c>
    </row>
    <row r="389">
      <c r="A389" t="inlineStr">
        <is>
          <t>FR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0.7242602636413187</v>
      </c>
      <c r="F389" t="n">
        <v>1.802247083175507</v>
      </c>
      <c r="G389">
        <f>IF(OR(F389="",E389=""),"",F389-E389)</f>
        <v/>
      </c>
      <c r="H389" t="n">
        <v>10.29193780166767</v>
      </c>
      <c r="I389" t="inlineStr">
        <is>
          <t>Above median</t>
        </is>
      </c>
    </row>
    <row r="390">
      <c r="A390" t="inlineStr">
        <is>
          <t>NL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0.6485732352807583</v>
      </c>
      <c r="F390" t="n">
        <v>-0.5846935562217797</v>
      </c>
      <c r="G390">
        <f>IF(OR(F390="",E390=""),"",F390-E390)</f>
        <v/>
      </c>
      <c r="H390" t="n">
        <v>1.85880803934477</v>
      </c>
      <c r="I390" t="inlineStr">
        <is>
          <t>Above median</t>
        </is>
      </c>
    </row>
    <row r="391">
      <c r="A391" t="inlineStr">
        <is>
          <t>NL</t>
        </is>
      </c>
      <c r="B391" t="inlineStr">
        <is>
          <t>Spring2022</t>
        </is>
      </c>
      <c r="C391" t="inlineStr">
        <is>
          <t>Spring</t>
        </is>
      </c>
      <c r="D391" t="n">
        <v>2023</v>
      </c>
      <c r="E391" t="n">
        <v>1.568250017019501</v>
      </c>
      <c r="F391" t="n">
        <v>-0.5846935562217797</v>
      </c>
      <c r="G391">
        <f>IF(OR(F391="",E391=""),"",F391-E391)</f>
        <v/>
      </c>
      <c r="H391" t="n">
        <v>1.85880803934477</v>
      </c>
      <c r="I391" t="inlineStr">
        <is>
          <t>Above median</t>
        </is>
      </c>
    </row>
    <row r="392">
      <c r="A392" t="inlineStr">
        <is>
          <t>NL</t>
        </is>
      </c>
      <c r="B392" t="inlineStr">
        <is>
          <t>Autumn2023</t>
        </is>
      </c>
      <c r="C392" t="inlineStr">
        <is>
          <t>Autumn</t>
        </is>
      </c>
      <c r="D392" t="n">
        <v>2023</v>
      </c>
      <c r="E392" t="n">
        <v>0.5799247285826814</v>
      </c>
      <c r="F392" t="n">
        <v>-0.5846935562217797</v>
      </c>
      <c r="G392">
        <f>IF(OR(F392="",E392=""),"",F392-E392)</f>
        <v/>
      </c>
      <c r="H392" t="n">
        <v>1.85880803934477</v>
      </c>
      <c r="I392" t="inlineStr">
        <is>
          <t>Above median</t>
        </is>
      </c>
    </row>
    <row r="393">
      <c r="A393" t="inlineStr">
        <is>
          <t>NL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1.800994175168302</v>
      </c>
      <c r="F393" t="n">
        <v>-0.5846935562217797</v>
      </c>
      <c r="G393">
        <f>IF(OR(F393="",E393=""),"",F393-E393)</f>
        <v/>
      </c>
      <c r="H393" t="n">
        <v>1.85880803934477</v>
      </c>
      <c r="I393" t="inlineStr">
        <is>
          <t>Above median</t>
        </is>
      </c>
    </row>
    <row r="394">
      <c r="A394" t="inlineStr">
        <is>
          <t>BE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1.366814397179428</v>
      </c>
      <c r="F394" t="n">
        <v>1.091758418498549</v>
      </c>
      <c r="G394">
        <f>IF(OR(F394="",E394=""),"",F394-E394)</f>
        <v/>
      </c>
      <c r="H394" t="n">
        <v>1.124032332732111</v>
      </c>
      <c r="I394" t="inlineStr">
        <is>
          <t>Above median</t>
        </is>
      </c>
    </row>
    <row r="395">
      <c r="A395" t="inlineStr">
        <is>
          <t>BE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1.361184496232393</v>
      </c>
      <c r="F395" t="n">
        <v>1.091758418498549</v>
      </c>
      <c r="G395">
        <f>IF(OR(F395="",E395=""),"",F395-E395)</f>
        <v/>
      </c>
      <c r="H395" t="n">
        <v>1.124032332732111</v>
      </c>
      <c r="I395" t="inlineStr">
        <is>
          <t>Above median</t>
        </is>
      </c>
    </row>
    <row r="396">
      <c r="A396" t="inlineStr">
        <is>
          <t>BE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1.144309940913812</v>
      </c>
      <c r="F396" t="n">
        <v>1.091758418498549</v>
      </c>
      <c r="G396">
        <f>IF(OR(F396="",E396=""),"",F396-E396)</f>
        <v/>
      </c>
      <c r="H396" t="n">
        <v>1.124032332732111</v>
      </c>
      <c r="I396" t="inlineStr">
        <is>
          <t>Above median</t>
        </is>
      </c>
    </row>
    <row r="397">
      <c r="A397" t="inlineStr">
        <is>
          <t>BE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1.27417313530005</v>
      </c>
      <c r="F397" t="n">
        <v>1.091758418498549</v>
      </c>
      <c r="G397">
        <f>IF(OR(F397="",E397=""),"",F397-E397)</f>
        <v/>
      </c>
      <c r="H397" t="n">
        <v>1.124032332732111</v>
      </c>
      <c r="I397" t="inlineStr">
        <is>
          <t>Above median</t>
        </is>
      </c>
    </row>
    <row r="398">
      <c r="A398" t="inlineStr">
        <is>
          <t>DE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0.8045058451062292</v>
      </c>
      <c r="F398" t="n">
        <v>0.04052339456431485</v>
      </c>
      <c r="G398">
        <f>IF(OR(F398="",E398=""),"",F398-E398)</f>
        <v/>
      </c>
      <c r="H398" t="n">
        <v>7.109230495453148</v>
      </c>
      <c r="I398" t="inlineStr">
        <is>
          <t>Above median</t>
        </is>
      </c>
    </row>
    <row r="399">
      <c r="A399" t="inlineStr">
        <is>
          <t>DE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1.358688832068133</v>
      </c>
      <c r="F399" t="n">
        <v>0.04052339456431485</v>
      </c>
      <c r="G399">
        <f>IF(OR(F399="",E399=""),"",F399-E399)</f>
        <v/>
      </c>
      <c r="H399" t="n">
        <v>7.109230495453148</v>
      </c>
      <c r="I399" t="inlineStr">
        <is>
          <t>Above median</t>
        </is>
      </c>
    </row>
    <row r="400">
      <c r="A400" t="inlineStr">
        <is>
          <t>DE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-0.1114510968873272</v>
      </c>
      <c r="F400" t="n">
        <v>0.04052339456431485</v>
      </c>
      <c r="G400">
        <f>IF(OR(F400="",E400=""),"",F400-E400)</f>
        <v/>
      </c>
      <c r="H400" t="n">
        <v>7.109230495453148</v>
      </c>
      <c r="I400" t="inlineStr">
        <is>
          <t>Above median</t>
        </is>
      </c>
    </row>
    <row r="401">
      <c r="A401" t="inlineStr">
        <is>
          <t>DE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0.1275365656890015</v>
      </c>
      <c r="F401" t="n">
        <v>0.04052339456431485</v>
      </c>
      <c r="G401">
        <f>IF(OR(F401="",E401=""),"",F401-E401)</f>
        <v/>
      </c>
      <c r="H401" t="n">
        <v>7.109230495453148</v>
      </c>
      <c r="I401" t="inlineStr">
        <is>
          <t>Above median</t>
        </is>
      </c>
    </row>
    <row r="402">
      <c r="A402" t="inlineStr">
        <is>
          <t>ES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1.660542743130144</v>
      </c>
      <c r="F402" t="n">
        <v>3.396903137344779</v>
      </c>
      <c r="G402">
        <f>IF(OR(F402="",E402=""),"",F402-E402)</f>
        <v/>
      </c>
      <c r="H402" t="n">
        <v>0.8048560270887087</v>
      </c>
      <c r="I402" t="inlineStr">
        <is>
          <t>Above median</t>
        </is>
      </c>
    </row>
    <row r="403">
      <c r="A403" t="inlineStr">
        <is>
          <t>ES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1.964876847331687</v>
      </c>
      <c r="F403" t="n">
        <v>3.396903137344779</v>
      </c>
      <c r="G403">
        <f>IF(OR(F403="",E403=""),"",F403-E403)</f>
        <v/>
      </c>
      <c r="H403" t="n">
        <v>0.8048560270887087</v>
      </c>
      <c r="I403" t="inlineStr">
        <is>
          <t>Above median</t>
        </is>
      </c>
    </row>
    <row r="404">
      <c r="A404" t="inlineStr">
        <is>
          <t>ES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2.966936931003072</v>
      </c>
      <c r="F404" t="n">
        <v>3.396903137344779</v>
      </c>
      <c r="G404">
        <f>IF(OR(F404="",E404=""),"",F404-E404)</f>
        <v/>
      </c>
      <c r="H404" t="n">
        <v>0.8048560270887087</v>
      </c>
      <c r="I404" t="inlineStr">
        <is>
          <t>Above median</t>
        </is>
      </c>
    </row>
    <row r="405">
      <c r="A405" t="inlineStr">
        <is>
          <t>ES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2.144730461207822</v>
      </c>
      <c r="F405" t="n">
        <v>3.396903137344779</v>
      </c>
      <c r="G405">
        <f>IF(OR(F405="",E405=""),"",F405-E405)</f>
        <v/>
      </c>
      <c r="H405" t="n">
        <v>0.8048560270887087</v>
      </c>
      <c r="I405" t="inlineStr">
        <is>
          <t>Above median</t>
        </is>
      </c>
    </row>
    <row r="406">
      <c r="A406" t="inlineStr">
        <is>
          <t>FI</t>
        </is>
      </c>
      <c r="B406" t="inlineStr">
        <is>
          <t>Autumn2023</t>
        </is>
      </c>
      <c r="C406" t="inlineStr">
        <is>
          <t>Autumn</t>
        </is>
      </c>
      <c r="D406" t="n">
        <v>2024</v>
      </c>
      <c r="E406" t="n">
        <v>0.8259921956103033</v>
      </c>
      <c r="F406" t="n">
        <v>0.8814466149882676</v>
      </c>
      <c r="G406">
        <f>IF(OR(F406="",E406=""),"",F406-E406)</f>
        <v/>
      </c>
      <c r="H406" t="n">
        <v>2.465185230482875</v>
      </c>
      <c r="I406" t="inlineStr">
        <is>
          <t>Above median</t>
        </is>
      </c>
    </row>
    <row r="407">
      <c r="A407" t="inlineStr">
        <is>
          <t>FI</t>
        </is>
      </c>
      <c r="B407" t="inlineStr">
        <is>
          <t>Spring2023</t>
        </is>
      </c>
      <c r="C407" t="inlineStr">
        <is>
          <t>Spring</t>
        </is>
      </c>
      <c r="D407" t="n">
        <v>2024</v>
      </c>
      <c r="E407" t="n">
        <v>1.375433393552461</v>
      </c>
      <c r="F407" t="n">
        <v>0.8814466149882676</v>
      </c>
      <c r="G407">
        <f>IF(OR(F407="",E407=""),"",F407-E407)</f>
        <v/>
      </c>
      <c r="H407" t="n">
        <v>2.465185230482875</v>
      </c>
      <c r="I407" t="inlineStr">
        <is>
          <t>Above median</t>
        </is>
      </c>
    </row>
    <row r="408">
      <c r="A408" t="inlineStr">
        <is>
          <t>FI</t>
        </is>
      </c>
      <c r="B408" t="inlineStr">
        <is>
          <t>Autumn2024</t>
        </is>
      </c>
      <c r="C408" t="inlineStr">
        <is>
          <t>Autumn</t>
        </is>
      </c>
      <c r="D408" t="n">
        <v>2024</v>
      </c>
      <c r="E408" t="n">
        <v>-0.2781603584441905</v>
      </c>
      <c r="F408" t="n">
        <v>0.8814466149882676</v>
      </c>
      <c r="G408">
        <f>IF(OR(F408="",E408=""),"",F408-E408)</f>
        <v/>
      </c>
      <c r="H408" t="n">
        <v>2.465185230482875</v>
      </c>
      <c r="I408" t="inlineStr">
        <is>
          <t>Above median</t>
        </is>
      </c>
    </row>
    <row r="409">
      <c r="A409" t="inlineStr">
        <is>
          <t>FI</t>
        </is>
      </c>
      <c r="B409" t="inlineStr">
        <is>
          <t>Spring2024</t>
        </is>
      </c>
      <c r="C409" t="inlineStr">
        <is>
          <t>Spring</t>
        </is>
      </c>
      <c r="D409" t="n">
        <v>2024</v>
      </c>
      <c r="E409" t="n">
        <v>0.03957338592484039</v>
      </c>
      <c r="F409" t="n">
        <v>0.8814466149882676</v>
      </c>
      <c r="G409">
        <f>IF(OR(F409="",E409=""),"",F409-E409)</f>
        <v/>
      </c>
      <c r="H409" t="n">
        <v>2.465185230482875</v>
      </c>
      <c r="I409" t="inlineStr">
        <is>
          <t>Above median</t>
        </is>
      </c>
    </row>
    <row r="410">
      <c r="A410" t="inlineStr">
        <is>
          <t>FR</t>
        </is>
      </c>
      <c r="B410" t="inlineStr">
        <is>
          <t>Autumn2023</t>
        </is>
      </c>
      <c r="C410" t="inlineStr">
        <is>
          <t>Autumn</t>
        </is>
      </c>
      <c r="D410" t="n">
        <v>2024</v>
      </c>
      <c r="E410" t="n">
        <v>1.247095433006873</v>
      </c>
      <c r="F410" t="n">
        <v>1.414482884555374</v>
      </c>
      <c r="G410">
        <f>IF(OR(F410="",E410=""),"",F410-E410)</f>
        <v/>
      </c>
      <c r="H410" t="n">
        <v>11.0988927927906</v>
      </c>
      <c r="I410" t="inlineStr">
        <is>
          <t>Above median</t>
        </is>
      </c>
    </row>
    <row r="411">
      <c r="A411" t="inlineStr">
        <is>
          <t>FR</t>
        </is>
      </c>
      <c r="B411" t="inlineStr">
        <is>
          <t>Spring2023</t>
        </is>
      </c>
      <c r="C411" t="inlineStr">
        <is>
          <t>Spring</t>
        </is>
      </c>
      <c r="D411" t="n">
        <v>2024</v>
      </c>
      <c r="E411" t="n">
        <v>1.41860461240253</v>
      </c>
      <c r="F411" t="n">
        <v>1.414482884555374</v>
      </c>
      <c r="G411">
        <f>IF(OR(F411="",E411=""),"",F411-E411)</f>
        <v/>
      </c>
      <c r="H411" t="n">
        <v>11.0988927927906</v>
      </c>
      <c r="I411" t="inlineStr">
        <is>
          <t>Above median</t>
        </is>
      </c>
    </row>
    <row r="412">
      <c r="A412" t="inlineStr">
        <is>
          <t>FR</t>
        </is>
      </c>
      <c r="B412" t="inlineStr">
        <is>
          <t>Autumn2024</t>
        </is>
      </c>
      <c r="C412" t="inlineStr">
        <is>
          <t>Autumn</t>
        </is>
      </c>
      <c r="D412" t="n">
        <v>2024</v>
      </c>
      <c r="E412" t="n">
        <v>1.13903040986485</v>
      </c>
      <c r="F412" t="n">
        <v>1.414482884555374</v>
      </c>
      <c r="G412">
        <f>IF(OR(F412="",E412=""),"",F412-E412)</f>
        <v/>
      </c>
      <c r="H412" t="n">
        <v>11.0988927927906</v>
      </c>
      <c r="I412" t="inlineStr">
        <is>
          <t>Above median</t>
        </is>
      </c>
    </row>
    <row r="413">
      <c r="A413" t="inlineStr">
        <is>
          <t>FR</t>
        </is>
      </c>
      <c r="B413" t="inlineStr">
        <is>
          <t>Spring2024</t>
        </is>
      </c>
      <c r="C413" t="inlineStr">
        <is>
          <t>Spring</t>
        </is>
      </c>
      <c r="D413" t="n">
        <v>2024</v>
      </c>
      <c r="E413" t="n">
        <v>0.728519105148373</v>
      </c>
      <c r="F413" t="n">
        <v>1.414482884555374</v>
      </c>
      <c r="G413">
        <f>IF(OR(F413="",E413=""),"",F413-E413)</f>
        <v/>
      </c>
      <c r="H413" t="n">
        <v>11.0988927927906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Autumn2023</t>
        </is>
      </c>
      <c r="C414" t="inlineStr">
        <is>
          <t>Autumn</t>
        </is>
      </c>
      <c r="D414" t="n">
        <v>2024</v>
      </c>
      <c r="E414" t="n">
        <v>1.090974188365412</v>
      </c>
      <c r="F414" t="n">
        <v>1.058640812818894</v>
      </c>
      <c r="G414">
        <f>IF(OR(F414="",E414=""),"",F414-E414)</f>
        <v/>
      </c>
      <c r="H414" t="n">
        <v>1.822594343533637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Spring2023</t>
        </is>
      </c>
      <c r="C415" t="inlineStr">
        <is>
          <t>Spring</t>
        </is>
      </c>
      <c r="D415" t="n">
        <v>2024</v>
      </c>
      <c r="E415" t="n">
        <v>1.181076174566176</v>
      </c>
      <c r="F415" t="n">
        <v>1.058640812818894</v>
      </c>
      <c r="G415">
        <f>IF(OR(F415="",E415=""),"",F415-E415)</f>
        <v/>
      </c>
      <c r="H415" t="n">
        <v>1.822594343533637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Autumn2024</t>
        </is>
      </c>
      <c r="C416" t="inlineStr">
        <is>
          <t>Autumn</t>
        </is>
      </c>
      <c r="D416" t="n">
        <v>2024</v>
      </c>
      <c r="E416" t="n">
        <v>0.8413433186627683</v>
      </c>
      <c r="F416" t="n">
        <v>1.058640812818894</v>
      </c>
      <c r="G416">
        <f>IF(OR(F416="",E416=""),"",F416-E416)</f>
        <v/>
      </c>
      <c r="H416" t="n">
        <v>1.822594343533637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Spring2024</t>
        </is>
      </c>
      <c r="C417" t="inlineStr">
        <is>
          <t>Spring</t>
        </is>
      </c>
      <c r="D417" t="n">
        <v>2024</v>
      </c>
      <c r="E417" t="n">
        <v>0.7604211807421546</v>
      </c>
      <c r="F417" t="n">
        <v>1.058640812818894</v>
      </c>
      <c r="G417">
        <f>IF(OR(F417="",E417=""),"",F417-E417)</f>
        <v/>
      </c>
      <c r="H417" t="n">
        <v>1.822594343533637</v>
      </c>
      <c r="I417" t="inlineStr">
        <is>
          <t>Above median</t>
        </is>
      </c>
    </row>
    <row r="418">
      <c r="A418" t="inlineStr">
        <is>
          <t>BE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1.244583216913275</v>
      </c>
      <c r="F418" t="n">
        <v>0.9783351307489526</v>
      </c>
      <c r="G418">
        <f>IF(OR(F418="",E418=""),"",F418-E418)</f>
        <v/>
      </c>
      <c r="H418" t="n">
        <v>1.388852621215412</v>
      </c>
      <c r="I418" t="inlineStr">
        <is>
          <t>Above median</t>
        </is>
      </c>
    </row>
    <row r="419">
      <c r="A419" t="inlineStr">
        <is>
          <t>BE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1.3772936758913</v>
      </c>
      <c r="F419" t="n">
        <v>0.9783351307489526</v>
      </c>
      <c r="G419">
        <f>IF(OR(F419="",E419=""),"",F419-E419)</f>
        <v/>
      </c>
      <c r="H419" t="n">
        <v>1.388852621215412</v>
      </c>
      <c r="I419" t="inlineStr">
        <is>
          <t>Above median</t>
        </is>
      </c>
    </row>
    <row r="420">
      <c r="A420" t="inlineStr">
        <is>
          <t>BE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0.9978473576010671</v>
      </c>
      <c r="F420" t="n">
        <v>0.9783351307489526</v>
      </c>
      <c r="G420">
        <f>IF(OR(F420="",E420=""),"",F420-E420)</f>
        <v/>
      </c>
      <c r="H420" t="n">
        <v>1.388852621215412</v>
      </c>
      <c r="I420" t="inlineStr">
        <is>
          <t>Above median</t>
        </is>
      </c>
    </row>
    <row r="421">
      <c r="A421" t="inlineStr">
        <is>
          <t>BE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0.7689381594133238</v>
      </c>
      <c r="F421" t="n">
        <v>0.9783351307489526</v>
      </c>
      <c r="G421">
        <f>IF(OR(F421="",E421=""),"",F421-E421)</f>
        <v/>
      </c>
      <c r="H421" t="n">
        <v>1.388852621215412</v>
      </c>
      <c r="I421" t="inlineStr">
        <is>
          <t>Above median</t>
        </is>
      </c>
    </row>
    <row r="422">
      <c r="A422" t="inlineStr">
        <is>
          <t>DE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0.6933380823341828</v>
      </c>
      <c r="F422" t="n">
        <v>0.3402558811283772</v>
      </c>
      <c r="G422">
        <f>IF(OR(F422="",E422=""),"",F422-E422)</f>
        <v/>
      </c>
      <c r="H422" t="n">
        <v>7.280321526767084</v>
      </c>
      <c r="I422" t="inlineStr">
        <is>
          <t>Above median</t>
        </is>
      </c>
    </row>
    <row r="423">
      <c r="A423" t="inlineStr">
        <is>
          <t>DE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1.014129227832639</v>
      </c>
      <c r="F423" t="n">
        <v>0.3402558811283772</v>
      </c>
      <c r="G423">
        <f>IF(OR(F423="",E423=""),"",F423-E423)</f>
        <v/>
      </c>
      <c r="H423" t="n">
        <v>7.280321526767084</v>
      </c>
      <c r="I423" t="inlineStr">
        <is>
          <t>Above median</t>
        </is>
      </c>
    </row>
    <row r="424">
      <c r="A424" t="inlineStr">
        <is>
          <t>DE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0.1706874881985287</v>
      </c>
      <c r="F424" t="n">
        <v>0.3402558811283772</v>
      </c>
      <c r="G424">
        <f>IF(OR(F424="",E424=""),"",F424-E424)</f>
        <v/>
      </c>
      <c r="H424" t="n">
        <v>7.280321526767084</v>
      </c>
      <c r="I424" t="inlineStr">
        <is>
          <t>Above median</t>
        </is>
      </c>
    </row>
    <row r="425">
      <c r="A425" t="inlineStr">
        <is>
          <t>DE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-0.02983152121627253</v>
      </c>
      <c r="F425" t="n">
        <v>0.3402558811283772</v>
      </c>
      <c r="G425">
        <f>IF(OR(F425="",E425=""),"",F425-E425)</f>
        <v/>
      </c>
      <c r="H425" t="n">
        <v>7.280321526767084</v>
      </c>
      <c r="I425" t="inlineStr">
        <is>
          <t>Above median</t>
        </is>
      </c>
    </row>
    <row r="426">
      <c r="A426" t="inlineStr">
        <is>
          <t>ES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2.346065305084433</v>
      </c>
      <c r="F426" t="n">
        <v>2.785785224373413</v>
      </c>
      <c r="G426">
        <f>IF(OR(F426="",E426=""),"",F426-E426)</f>
        <v/>
      </c>
      <c r="H426" t="n">
        <v>0.9040995377184335</v>
      </c>
      <c r="I426" t="inlineStr">
        <is>
          <t>Above median</t>
        </is>
      </c>
    </row>
    <row r="427">
      <c r="A427" t="inlineStr">
        <is>
          <t>ES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1.947420292593427</v>
      </c>
      <c r="F427" t="n">
        <v>2.785785224373413</v>
      </c>
      <c r="G427">
        <f>IF(OR(F427="",E427=""),"",F427-E427)</f>
        <v/>
      </c>
      <c r="H427" t="n">
        <v>0.9040995377184335</v>
      </c>
      <c r="I427" t="inlineStr">
        <is>
          <t>Above median</t>
        </is>
      </c>
    </row>
    <row r="428">
      <c r="A428" t="inlineStr">
        <is>
          <t>ES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2.868040959329998</v>
      </c>
      <c r="F428" t="n">
        <v>2.785785224373413</v>
      </c>
      <c r="G428">
        <f>IF(OR(F428="",E428=""),"",F428-E428)</f>
        <v/>
      </c>
      <c r="H428" t="n">
        <v>0.9040995377184335</v>
      </c>
      <c r="I428" t="inlineStr">
        <is>
          <t>Above median</t>
        </is>
      </c>
    </row>
    <row r="429">
      <c r="A429" t="inlineStr">
        <is>
          <t>ES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2.551006850124016</v>
      </c>
      <c r="F429" t="n">
        <v>2.785785224373413</v>
      </c>
      <c r="G429">
        <f>IF(OR(F429="",E429=""),"",F429-E429)</f>
        <v/>
      </c>
      <c r="H429" t="n">
        <v>0.9040995377184335</v>
      </c>
      <c r="I429" t="inlineStr">
        <is>
          <t>Above median</t>
        </is>
      </c>
    </row>
    <row r="430">
      <c r="A430" t="inlineStr">
        <is>
          <t>FI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1.544507858030109</v>
      </c>
      <c r="F430" t="n">
        <v>0.7999014912137302</v>
      </c>
      <c r="G430">
        <f>IF(OR(F430="",E430=""),"",F430-E430)</f>
        <v/>
      </c>
      <c r="H430" t="n">
        <v>1.313253684497368</v>
      </c>
      <c r="I430" t="inlineStr">
        <is>
          <t>Above median</t>
        </is>
      </c>
    </row>
    <row r="431">
      <c r="A431" t="inlineStr">
        <is>
          <t>FI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1.36065626925197</v>
      </c>
      <c r="F431" t="n">
        <v>0.7999014912137302</v>
      </c>
      <c r="G431">
        <f>IF(OR(F431="",E431=""),"",F431-E431)</f>
        <v/>
      </c>
      <c r="H431" t="n">
        <v>1.313253684497368</v>
      </c>
      <c r="I431" t="inlineStr">
        <is>
          <t>Above median</t>
        </is>
      </c>
    </row>
    <row r="432">
      <c r="A432" t="inlineStr">
        <is>
          <t>FI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0.07572023836193154</v>
      </c>
      <c r="F432" t="n">
        <v>0.7999014912137302</v>
      </c>
      <c r="G432">
        <f>IF(OR(F432="",E432=""),"",F432-E432)</f>
        <v/>
      </c>
      <c r="H432" t="n">
        <v>1.313253684497368</v>
      </c>
      <c r="I432" t="inlineStr">
        <is>
          <t>Above median</t>
        </is>
      </c>
    </row>
    <row r="433">
      <c r="A433" t="inlineStr">
        <is>
          <t>FI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0.9759636250904258</v>
      </c>
      <c r="F433" t="n">
        <v>0.7999014912137302</v>
      </c>
      <c r="G433">
        <f>IF(OR(F433="",E433=""),"",F433-E433)</f>
        <v/>
      </c>
      <c r="H433" t="n">
        <v>1.313253684497368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0.8225882824496322</v>
      </c>
      <c r="F434" t="n">
        <v>0.8856194604563682</v>
      </c>
      <c r="G434">
        <f>IF(OR(F434="",E434=""),"",F434-E434)</f>
        <v/>
      </c>
      <c r="H434" t="n">
        <v>10.19774333808712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1.259406997940027</v>
      </c>
      <c r="F435" t="n">
        <v>0.8856194604563682</v>
      </c>
      <c r="G435">
        <f>IF(OR(F435="",E435=""),"",F435-E435)</f>
        <v/>
      </c>
      <c r="H435" t="n">
        <v>10.19774333808712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0.69714532745484</v>
      </c>
      <c r="F436" t="n">
        <v>0.8856194604563682</v>
      </c>
      <c r="G436">
        <f>IF(OR(F436="",E436=""),"",F436-E436)</f>
        <v/>
      </c>
      <c r="H436" t="n">
        <v>10.19774333808712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0.5726626965854908</v>
      </c>
      <c r="F437" t="n">
        <v>0.8856194604563682</v>
      </c>
      <c r="G437">
        <f>IF(OR(F437="",E437=""),"",F437-E437)</f>
        <v/>
      </c>
      <c r="H437" t="n">
        <v>10.19774333808712</v>
      </c>
      <c r="I437" t="inlineStr">
        <is>
          <t>Above median</t>
        </is>
      </c>
    </row>
    <row r="438">
      <c r="A438" t="inlineStr">
        <is>
          <t>NL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1.551316113361789</v>
      </c>
      <c r="F438" t="n">
        <v>1.56298017110206</v>
      </c>
      <c r="G438">
        <f>IF(OR(F438="",E438=""),"",F438-E438)</f>
        <v/>
      </c>
      <c r="H438" t="n">
        <v>2.036323027173855</v>
      </c>
      <c r="I438" t="inlineStr">
        <is>
          <t>Above median</t>
        </is>
      </c>
    </row>
    <row r="439">
      <c r="A439" t="inlineStr">
        <is>
          <t>NL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1.466418224705546</v>
      </c>
      <c r="F439" t="n">
        <v>1.56298017110206</v>
      </c>
      <c r="G439">
        <f>IF(OR(F439="",E439=""),"",F439-E439)</f>
        <v/>
      </c>
      <c r="H439" t="n">
        <v>2.036323027173855</v>
      </c>
      <c r="I439" t="inlineStr">
        <is>
          <t>Above median</t>
        </is>
      </c>
    </row>
    <row r="440">
      <c r="A440" t="inlineStr">
        <is>
          <t>NL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1.696670837427194</v>
      </c>
      <c r="F440" t="n">
        <v>1.56298017110206</v>
      </c>
      <c r="G440">
        <f>IF(OR(F440="",E440=""),"",F440-E440)</f>
        <v/>
      </c>
      <c r="H440" t="n">
        <v>2.036323027173855</v>
      </c>
      <c r="I440" t="inlineStr">
        <is>
          <t>Above median</t>
        </is>
      </c>
    </row>
    <row r="441">
      <c r="A441" t="inlineStr">
        <is>
          <t>NL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1.282511180567347</v>
      </c>
      <c r="F441" t="n">
        <v>1.56298017110206</v>
      </c>
      <c r="G441">
        <f>IF(OR(F441="",E441=""),"",F441-E441)</f>
        <v/>
      </c>
      <c r="H441" t="n">
        <v>2.036323027173855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0.1267719413234721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0.1267719413234721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0.8845732944795045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0.8845732944795045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0.604158921189814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0.604158921189814</v>
      </c>
      <c r="I7" t="inlineStr">
        <is>
          <t>Below median</t>
        </is>
      </c>
      <c r="J7" t="n">
        <v>2020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0.08296364641818736</v>
      </c>
      <c r="I8" t="inlineStr">
        <is>
          <t>Below median</t>
        </is>
      </c>
      <c r="J8" t="n">
        <v>2020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0.08296364641818736</v>
      </c>
      <c r="I9" t="inlineStr">
        <is>
          <t>Below median</t>
        </is>
      </c>
      <c r="J9" t="n">
        <v>2020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0.1056774945749017</v>
      </c>
      <c r="I10" t="inlineStr">
        <is>
          <t>Below median</t>
        </is>
      </c>
      <c r="J10" t="n">
        <v>2020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0.1056774945749017</v>
      </c>
      <c r="I11" t="inlineStr">
        <is>
          <t>Below median</t>
        </is>
      </c>
      <c r="J11" t="n">
        <v>2020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0.2585841869305087</v>
      </c>
      <c r="I12" t="inlineStr">
        <is>
          <t>Below median</t>
        </is>
      </c>
      <c r="J12" t="n">
        <v>2020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0.2585841869305087</v>
      </c>
      <c r="I13" t="inlineStr">
        <is>
          <t>Below median</t>
        </is>
      </c>
      <c r="J13" t="n">
        <v>2020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4.646911666641573</v>
      </c>
      <c r="F14" t="n">
        <v>5.289900562096076</v>
      </c>
      <c r="G14">
        <f>IF(OR(F14="",E14=""),"",F14-E14)</f>
        <v/>
      </c>
      <c r="H14" t="n">
        <v>0.1605865470863667</v>
      </c>
      <c r="I14" t="inlineStr">
        <is>
          <t>Below median</t>
        </is>
      </c>
      <c r="J14" t="n">
        <v>2022</v>
      </c>
    </row>
    <row r="15">
      <c r="A15" t="inlineStr">
        <is>
          <t>AT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3.919646006806898</v>
      </c>
      <c r="F15" t="n">
        <v>5.289900562096076</v>
      </c>
      <c r="G15">
        <f>IF(OR(F15="",E15=""),"",F15-E15)</f>
        <v/>
      </c>
      <c r="H15" t="n">
        <v>0.1605865470863667</v>
      </c>
      <c r="I15" t="inlineStr">
        <is>
          <t>Below median</t>
        </is>
      </c>
      <c r="J15" t="n">
        <v>2022</v>
      </c>
    </row>
    <row r="16">
      <c r="A16" t="inlineStr">
        <is>
          <t>ES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4.547669246739372</v>
      </c>
      <c r="F16" t="n">
        <v>6.175712557377276</v>
      </c>
      <c r="G16">
        <f>IF(OR(F16="",E16=""),"",F16-E16)</f>
        <v/>
      </c>
      <c r="H16" t="n">
        <v>0.7506448684246857</v>
      </c>
      <c r="I16" t="inlineStr">
        <is>
          <t>Below median</t>
        </is>
      </c>
      <c r="J16" t="n">
        <v>2022</v>
      </c>
    </row>
    <row r="17">
      <c r="A17" t="inlineStr">
        <is>
          <t>ES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4.026089481560913</v>
      </c>
      <c r="F17" t="n">
        <v>6.175712557377276</v>
      </c>
      <c r="G17">
        <f>IF(OR(F17="",E17=""),"",F17-E17)</f>
        <v/>
      </c>
      <c r="H17" t="n">
        <v>0.7506448684246857</v>
      </c>
      <c r="I17" t="inlineStr">
        <is>
          <t>Below median</t>
        </is>
      </c>
      <c r="J17" t="n">
        <v>2022</v>
      </c>
    </row>
    <row r="18">
      <c r="A18" t="inlineStr">
        <is>
          <t>IE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7.871083766264508</v>
      </c>
      <c r="F18" t="n">
        <v>7.989444336924596</v>
      </c>
      <c r="G18">
        <f>IF(OR(F18="",E18=""),"",F18-E18)</f>
        <v/>
      </c>
      <c r="H18" t="n">
        <v>0.1271052692901665</v>
      </c>
      <c r="I18" t="inlineStr">
        <is>
          <t>Below median</t>
        </is>
      </c>
      <c r="J18" t="n">
        <v>2022</v>
      </c>
    </row>
    <row r="19">
      <c r="A19" t="inlineStr">
        <is>
          <t>IE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5.381686196249635</v>
      </c>
      <c r="F19" t="n">
        <v>7.989444336924596</v>
      </c>
      <c r="G19">
        <f>IF(OR(F19="",E19=""),"",F19-E19)</f>
        <v/>
      </c>
      <c r="H19" t="n">
        <v>0.1271052692901665</v>
      </c>
      <c r="I19" t="inlineStr">
        <is>
          <t>Below median</t>
        </is>
      </c>
      <c r="J19" t="n">
        <v>2022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0.1820226390657338</v>
      </c>
      <c r="I20" t="inlineStr">
        <is>
          <t>Below median</t>
        </is>
      </c>
      <c r="J20" t="n">
        <v>2022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0.1820226390657338</v>
      </c>
      <c r="I21" t="inlineStr">
        <is>
          <t>Below median</t>
        </is>
      </c>
      <c r="J21" t="n">
        <v>2022</v>
      </c>
    </row>
    <row r="22">
      <c r="A22" t="inlineStr">
        <is>
          <t>PT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6.586125160880973</v>
      </c>
      <c r="F22" t="n">
        <v>6.752612450243378</v>
      </c>
      <c r="G22">
        <f>IF(OR(F22="",E22=""),"",F22-E22)</f>
        <v/>
      </c>
      <c r="H22" t="n">
        <v>0.4233952595104215</v>
      </c>
      <c r="I22" t="inlineStr">
        <is>
          <t>Below median</t>
        </is>
      </c>
      <c r="J22" t="n">
        <v>2022</v>
      </c>
    </row>
    <row r="23">
      <c r="A23" t="inlineStr">
        <is>
          <t>PT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5.805468708187478</v>
      </c>
      <c r="F23" t="n">
        <v>6.752612450243378</v>
      </c>
      <c r="G23">
        <f>IF(OR(F23="",E23=""),"",F23-E23)</f>
        <v/>
      </c>
      <c r="H23" t="n">
        <v>0.4233952595104215</v>
      </c>
      <c r="I23" t="inlineStr">
        <is>
          <t>Below median</t>
        </is>
      </c>
      <c r="J23" t="n">
        <v>2022</v>
      </c>
    </row>
    <row r="24">
      <c r="A24" t="inlineStr">
        <is>
          <t>AT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0.3143623002578089</v>
      </c>
      <c r="F24" t="n">
        <v>0.9524130020840387</v>
      </c>
      <c r="G24">
        <f>IF(OR(F24="",E24=""),"",F24-E24)</f>
        <v/>
      </c>
      <c r="H24" t="n">
        <v>0.1731590937268616</v>
      </c>
      <c r="I24" t="inlineStr">
        <is>
          <t>Below median</t>
        </is>
      </c>
      <c r="J24" t="n">
        <v>2025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0.1731590937268616</v>
      </c>
      <c r="I25" t="inlineStr">
        <is>
          <t>Below median</t>
        </is>
      </c>
      <c r="J25" t="n">
        <v>2025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0.1147657704770987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0.1147657704770987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0.4082085189590179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0.4082085189590179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0.1926127574837464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0.1926127574837464</v>
      </c>
      <c r="I31" t="inlineStr">
        <is>
          <t>Below median</t>
        </is>
      </c>
      <c r="J31" t="n">
        <v>2025</v>
      </c>
    </row>
    <row r="32">
      <c r="A32" t="inlineStr">
        <is>
          <t>DE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-5.568204072502758</v>
      </c>
      <c r="F32" t="n">
        <v>-4.501901267987128</v>
      </c>
      <c r="G32">
        <f>IF(OR(F32="",E32=""),"",F32-E32)</f>
        <v/>
      </c>
      <c r="H32" t="n">
        <v>4.120789100512829</v>
      </c>
      <c r="I32" t="inlineStr">
        <is>
          <t>Above median</t>
        </is>
      </c>
      <c r="J32" t="n">
        <v>2020</v>
      </c>
    </row>
    <row r="33">
      <c r="A33" t="inlineStr">
        <is>
          <t>DE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-6.469577184894426</v>
      </c>
      <c r="F33" t="n">
        <v>-4.501901267987128</v>
      </c>
      <c r="G33">
        <f>IF(OR(F33="",E33=""),"",F33-E33)</f>
        <v/>
      </c>
      <c r="H33" t="n">
        <v>4.120789100512829</v>
      </c>
      <c r="I33" t="inlineStr">
        <is>
          <t>Above median</t>
        </is>
      </c>
      <c r="J33" t="n">
        <v>2020</v>
      </c>
    </row>
    <row r="34">
      <c r="A34" t="inlineStr">
        <is>
          <t>FI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-4.271276757315001</v>
      </c>
      <c r="F34" t="n">
        <v>-2.521663955161345</v>
      </c>
      <c r="G34">
        <f>IF(OR(F34="",E34=""),"",F34-E34)</f>
        <v/>
      </c>
      <c r="H34" t="n">
        <v>1.637512686458964</v>
      </c>
      <c r="I34" t="inlineStr">
        <is>
          <t>Above median</t>
        </is>
      </c>
      <c r="J34" t="n">
        <v>2020</v>
      </c>
    </row>
    <row r="35">
      <c r="A35" t="inlineStr">
        <is>
          <t>FI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-6.334008638214483</v>
      </c>
      <c r="F35" t="n">
        <v>-2.521663955161345</v>
      </c>
      <c r="G35">
        <f>IF(OR(F35="",E35=""),"",F35-E35)</f>
        <v/>
      </c>
      <c r="H35" t="n">
        <v>1.637512686458964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6.330557601542645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6.330557601542645</v>
      </c>
      <c r="I37" t="inlineStr">
        <is>
          <t>Above median</t>
        </is>
      </c>
      <c r="J37" t="n">
        <v>2020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1.670735682705939</v>
      </c>
      <c r="I38" t="inlineStr">
        <is>
          <t>Above median</t>
        </is>
      </c>
      <c r="J38" t="n">
        <v>2020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1.670735682705939</v>
      </c>
      <c r="I39" t="inlineStr">
        <is>
          <t>Above median</t>
        </is>
      </c>
      <c r="J39" t="n">
        <v>2020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2.817114751231209</v>
      </c>
      <c r="F40" t="n">
        <v>3.945716681463399</v>
      </c>
      <c r="G40">
        <f>IF(OR(F40="",E40=""),"",F40-E40)</f>
        <v/>
      </c>
      <c r="H40" t="n">
        <v>0.9017256060395069</v>
      </c>
      <c r="I40" t="inlineStr">
        <is>
          <t>Above median</t>
        </is>
      </c>
      <c r="J40" t="n">
        <v>2022</v>
      </c>
    </row>
    <row r="41">
      <c r="A41" t="inlineStr">
        <is>
          <t>BE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2.016579561869025</v>
      </c>
      <c r="F41" t="n">
        <v>3.945716681463399</v>
      </c>
      <c r="G41">
        <f>IF(OR(F41="",E41=""),"",F41-E41)</f>
        <v/>
      </c>
      <c r="H41" t="n">
        <v>0.9017256060395069</v>
      </c>
      <c r="I41" t="inlineStr">
        <is>
          <t>Above median</t>
        </is>
      </c>
      <c r="J41" t="n">
        <v>2022</v>
      </c>
    </row>
    <row r="42">
      <c r="A42" t="inlineStr">
        <is>
          <t>DE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1.55845355711639</v>
      </c>
      <c r="F42" t="n">
        <v>1.931834126476093</v>
      </c>
      <c r="G42">
        <f>IF(OR(F42="",E42=""),"",F42-E42)</f>
        <v/>
      </c>
      <c r="H42" t="n">
        <v>8.176158377540112</v>
      </c>
      <c r="I42" t="inlineStr">
        <is>
          <t>Above median</t>
        </is>
      </c>
      <c r="J42" t="n">
        <v>2022</v>
      </c>
    </row>
    <row r="43">
      <c r="A43" t="inlineStr">
        <is>
          <t>DE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1.557968342243976</v>
      </c>
      <c r="F43" t="n">
        <v>1.931834126476093</v>
      </c>
      <c r="G43">
        <f>IF(OR(F43="",E43=""),"",F43-E43)</f>
        <v/>
      </c>
      <c r="H43" t="n">
        <v>8.176158377540112</v>
      </c>
      <c r="I43" t="inlineStr">
        <is>
          <t>Above median</t>
        </is>
      </c>
      <c r="J43" t="n">
        <v>2022</v>
      </c>
    </row>
    <row r="44">
      <c r="A44" t="inlineStr">
        <is>
          <t>FI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2.327853537647107</v>
      </c>
      <c r="F44" t="n">
        <v>0.7600629155646718</v>
      </c>
      <c r="G44">
        <f>IF(OR(F44="",E44=""),"",F44-E44)</f>
        <v/>
      </c>
      <c r="H44" t="n">
        <v>1.409708663565979</v>
      </c>
      <c r="I44" t="inlineStr">
        <is>
          <t>Above median</t>
        </is>
      </c>
      <c r="J44" t="n">
        <v>2022</v>
      </c>
    </row>
    <row r="45">
      <c r="A45" t="inlineStr">
        <is>
          <t>FI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1.603112304026943</v>
      </c>
      <c r="F45" t="n">
        <v>0.7600629155646718</v>
      </c>
      <c r="G45">
        <f>IF(OR(F45="",E45=""),"",F45-E45)</f>
        <v/>
      </c>
      <c r="H45" t="n">
        <v>1.409708663565979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9.634739451684258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9.634739451684258</v>
      </c>
      <c r="I47" t="inlineStr">
        <is>
          <t>Above median</t>
        </is>
      </c>
      <c r="J47" t="n">
        <v>2022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1.844354431086444</v>
      </c>
      <c r="I48" t="inlineStr">
        <is>
          <t>Above median</t>
        </is>
      </c>
      <c r="J48" t="n">
        <v>2022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1.844354431086444</v>
      </c>
      <c r="I49" t="inlineStr">
        <is>
          <t>Above median</t>
        </is>
      </c>
      <c r="J49" t="n">
        <v>2022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1.388852621215412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1.388852621215412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7.280321526767084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7.280321526767084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0.9040995377184335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0.9040995377184335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1.313253684497368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1.313253684497368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10.19774333808712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10.19774333808712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2.036323027173855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2.036323027173855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2026-09-14T08:11:04Z</dcterms:created>
  <dcterms:modified xsi:type="dcterms:W3CDTF">2026-09-14T08:11:07Z</dcterms:modified>
</cp:coreProperties>
</file>