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nbnl-my.sharepoint.com/personal/w_a_van_den_end_dnb_nl/Documents/Projecten_nw/AI/Data/"/>
    </mc:Choice>
  </mc:AlternateContent>
  <xr:revisionPtr revIDLastSave="267" documentId="8_{4491F266-4DF3-4EC6-992B-D81D270F38A9}" xr6:coauthVersionLast="47" xr6:coauthVersionMax="47" xr10:uidLastSave="{F3C8CAAC-7935-4AE6-8FD0-04CB2BC1FA45}"/>
  <bookViews>
    <workbookView xWindow="-110" yWindow="-110" windowWidth="19420" windowHeight="11500" xr2:uid="{00000000-000D-0000-FFFF-FFFF00000000}"/>
  </bookViews>
  <sheets>
    <sheet name="Summary" sheetId="1" r:id="rId1"/>
    <sheet name="data" sheetId="27" r:id="rId2"/>
    <sheet name="Sheet 1" sheetId="2" r:id="rId3"/>
    <sheet name="Sheet 4" sheetId="5" r:id="rId4"/>
    <sheet name="Sheet 7" sheetId="8" r:id="rId5"/>
    <sheet name="Sheet 10" sheetId="11" r:id="rId6"/>
    <sheet name="Sheet 13" sheetId="14" r:id="rId7"/>
    <sheet name="Sheet 16" sheetId="17" r:id="rId8"/>
    <sheet name="Sheet 19" sheetId="20" r:id="rId9"/>
    <sheet name="Sheet 22" sheetId="23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27" l="1"/>
  <c r="L4" i="27"/>
  <c r="L5" i="27"/>
  <c r="L6" i="27"/>
  <c r="L7" i="27"/>
  <c r="L8" i="27"/>
  <c r="L9" i="27"/>
  <c r="L10" i="27"/>
  <c r="L11" i="27"/>
  <c r="L12" i="27"/>
  <c r="L13" i="27"/>
  <c r="L14" i="27"/>
  <c r="L15" i="27"/>
  <c r="L16" i="27"/>
  <c r="L17" i="27"/>
  <c r="L18" i="27"/>
  <c r="L19" i="27"/>
  <c r="L20" i="27"/>
  <c r="L21" i="27"/>
  <c r="L22" i="27"/>
  <c r="L23" i="27"/>
  <c r="L24" i="27"/>
  <c r="L25" i="27"/>
  <c r="L26" i="27"/>
  <c r="L27" i="27"/>
  <c r="L28" i="27"/>
  <c r="L29" i="27"/>
  <c r="L30" i="27"/>
  <c r="L31" i="27"/>
  <c r="L32" i="27"/>
  <c r="L33" i="27"/>
  <c r="L34" i="27"/>
  <c r="L35" i="27"/>
  <c r="L36" i="27"/>
  <c r="L37" i="27"/>
  <c r="L38" i="27"/>
  <c r="L39" i="27"/>
  <c r="L40" i="27"/>
  <c r="L41" i="27"/>
  <c r="L42" i="27"/>
  <c r="L43" i="27"/>
  <c r="L44" i="27"/>
  <c r="L45" i="27"/>
  <c r="L46" i="27"/>
  <c r="L47" i="27"/>
  <c r="L48" i="27"/>
  <c r="L49" i="27"/>
  <c r="L50" i="27"/>
  <c r="L51" i="27"/>
  <c r="L52" i="27"/>
  <c r="L53" i="27"/>
  <c r="L54" i="27"/>
  <c r="L55" i="27"/>
  <c r="L56" i="27"/>
  <c r="L57" i="27"/>
  <c r="L58" i="27"/>
  <c r="L59" i="27"/>
  <c r="L60" i="27"/>
  <c r="L61" i="27"/>
  <c r="L62" i="27"/>
  <c r="L63" i="27"/>
  <c r="L64" i="27"/>
  <c r="L65" i="27"/>
  <c r="L66" i="27"/>
  <c r="L67" i="27"/>
  <c r="L68" i="27"/>
  <c r="L69" i="27"/>
  <c r="L70" i="27"/>
  <c r="L71" i="27"/>
  <c r="L72" i="27"/>
  <c r="L73" i="27"/>
  <c r="L74" i="27"/>
  <c r="L75" i="27"/>
  <c r="L76" i="27"/>
  <c r="L77" i="27"/>
  <c r="L78" i="27"/>
  <c r="L79" i="27"/>
  <c r="L80" i="27"/>
  <c r="L81" i="27"/>
  <c r="L82" i="27"/>
  <c r="L83" i="27"/>
  <c r="L84" i="27"/>
  <c r="L85" i="27"/>
  <c r="L86" i="27"/>
  <c r="L87" i="27"/>
  <c r="L88" i="27"/>
  <c r="L89" i="27"/>
  <c r="L90" i="27"/>
  <c r="L91" i="27"/>
  <c r="L92" i="27"/>
  <c r="L93" i="27"/>
  <c r="L94" i="27"/>
  <c r="L95" i="27"/>
  <c r="L96" i="27"/>
  <c r="L97" i="27"/>
  <c r="L98" i="27"/>
  <c r="L99" i="27"/>
  <c r="L100" i="27"/>
  <c r="L101" i="27"/>
  <c r="L102" i="27"/>
  <c r="L103" i="27"/>
  <c r="L104" i="27"/>
  <c r="L105" i="27"/>
  <c r="L106" i="27"/>
  <c r="L107" i="27"/>
  <c r="L108" i="27"/>
  <c r="L109" i="27"/>
  <c r="L110" i="27"/>
  <c r="L111" i="27"/>
  <c r="L112" i="27"/>
  <c r="L113" i="27"/>
  <c r="L114" i="27"/>
  <c r="L115" i="27"/>
  <c r="L116" i="27"/>
  <c r="L117" i="27"/>
  <c r="L118" i="27"/>
  <c r="L119" i="27"/>
  <c r="L120" i="27"/>
  <c r="L121" i="27"/>
  <c r="L122" i="27"/>
  <c r="L123" i="27"/>
  <c r="L124" i="27"/>
  <c r="L125" i="27"/>
  <c r="L126" i="27"/>
  <c r="L127" i="27"/>
  <c r="L128" i="27"/>
  <c r="L129" i="27"/>
  <c r="L130" i="27"/>
  <c r="L131" i="27"/>
  <c r="L132" i="27"/>
  <c r="L133" i="27"/>
  <c r="L134" i="27"/>
  <c r="L135" i="27"/>
  <c r="L136" i="27"/>
  <c r="L137" i="27"/>
  <c r="L138" i="27"/>
  <c r="L139" i="27"/>
  <c r="L140" i="27"/>
  <c r="L141" i="27"/>
  <c r="L142" i="27"/>
  <c r="L143" i="27"/>
  <c r="L144" i="27"/>
  <c r="L145" i="27"/>
  <c r="L146" i="27"/>
  <c r="L147" i="27"/>
  <c r="L148" i="27"/>
  <c r="L149" i="27"/>
  <c r="L150" i="27"/>
  <c r="L151" i="27"/>
  <c r="L152" i="27"/>
  <c r="L153" i="27"/>
  <c r="L154" i="27"/>
  <c r="L155" i="27"/>
  <c r="L156" i="27"/>
  <c r="L157" i="27"/>
  <c r="L158" i="27"/>
  <c r="L159" i="27"/>
  <c r="L160" i="27"/>
  <c r="L161" i="27"/>
  <c r="L162" i="27"/>
  <c r="L163" i="27"/>
  <c r="L164" i="27"/>
  <c r="L165" i="27"/>
  <c r="L166" i="27"/>
  <c r="L167" i="27"/>
  <c r="L168" i="27"/>
  <c r="L169" i="27"/>
  <c r="L170" i="27"/>
  <c r="L171" i="27"/>
  <c r="L172" i="27"/>
  <c r="L173" i="27"/>
  <c r="L174" i="27"/>
  <c r="L175" i="27"/>
  <c r="L176" i="27"/>
  <c r="L177" i="27"/>
  <c r="L178" i="27"/>
  <c r="L179" i="27"/>
  <c r="L180" i="27"/>
  <c r="L181" i="27"/>
  <c r="L182" i="27"/>
  <c r="L183" i="27"/>
  <c r="L184" i="27"/>
  <c r="L185" i="27"/>
  <c r="L186" i="27"/>
  <c r="L187" i="27"/>
  <c r="L188" i="27"/>
  <c r="L189" i="27"/>
  <c r="L190" i="27"/>
  <c r="L191" i="27"/>
  <c r="L192" i="27"/>
  <c r="L193" i="27"/>
  <c r="L194" i="27"/>
  <c r="L195" i="27"/>
  <c r="L196" i="27"/>
  <c r="L197" i="27"/>
  <c r="L198" i="27"/>
  <c r="L199" i="27"/>
  <c r="L200" i="27"/>
  <c r="L201" i="27"/>
  <c r="L202" i="27"/>
  <c r="L203" i="27"/>
  <c r="L204" i="27"/>
  <c r="L205" i="27"/>
  <c r="L206" i="27"/>
  <c r="L207" i="27"/>
  <c r="L208" i="27"/>
  <c r="L209" i="27"/>
  <c r="L210" i="27"/>
  <c r="L211" i="27"/>
  <c r="L212" i="27"/>
  <c r="L213" i="27"/>
  <c r="L214" i="27"/>
  <c r="L215" i="27"/>
  <c r="L216" i="27"/>
  <c r="L217" i="27"/>
  <c r="L218" i="27"/>
  <c r="L219" i="27"/>
  <c r="L220" i="27"/>
  <c r="L221" i="27"/>
  <c r="L222" i="27"/>
  <c r="L223" i="27"/>
  <c r="L224" i="27"/>
  <c r="L225" i="27"/>
  <c r="L226" i="27"/>
  <c r="L227" i="27"/>
  <c r="L228" i="27"/>
  <c r="L229" i="27"/>
  <c r="L230" i="27"/>
  <c r="L231" i="27"/>
  <c r="L232" i="27"/>
  <c r="L233" i="27"/>
  <c r="L234" i="27"/>
  <c r="L235" i="27"/>
  <c r="L236" i="27"/>
  <c r="L237" i="27"/>
  <c r="L238" i="27"/>
  <c r="L239" i="27"/>
  <c r="L240" i="27"/>
  <c r="L241" i="27"/>
  <c r="L2" i="27"/>
</calcChain>
</file>

<file path=xl/sharedStrings.xml><?xml version="1.0" encoding="utf-8"?>
<sst xmlns="http://schemas.openxmlformats.org/spreadsheetml/2006/main" count="1299" uniqueCount="98">
  <si>
    <t>International trade of EU and non-EU countries since 2002 by CPA 2.2 [ds-059366__custom_22834853]</t>
  </si>
  <si>
    <t>Open product page</t>
  </si>
  <si>
    <t>Open in Data Browser</t>
  </si>
  <si>
    <t xml:space="preserve">Description: </t>
  </si>
  <si>
    <t>-</t>
  </si>
  <si>
    <t xml:space="preserve">Last update of data: </t>
  </si>
  <si>
    <t>15/09/2026 11:00</t>
  </si>
  <si>
    <t xml:space="preserve">Last change of data structure: </t>
  </si>
  <si>
    <t>Institutional source(s)</t>
  </si>
  <si>
    <t>Eurostat</t>
  </si>
  <si>
    <t>Contents</t>
  </si>
  <si>
    <t>PARTNER</t>
  </si>
  <si>
    <t>PRODUCT</t>
  </si>
  <si>
    <t>FLOW</t>
  </si>
  <si>
    <t>INDICATORS</t>
  </si>
  <si>
    <t>Sheet 1</t>
  </si>
  <si>
    <t>Extra-EU</t>
  </si>
  <si>
    <t>TOTAL</t>
  </si>
  <si>
    <t>EXPORT</t>
  </si>
  <si>
    <t>VALUE_EUR</t>
  </si>
  <si>
    <t>Sheet 4</t>
  </si>
  <si>
    <t>Electronic components and boards</t>
  </si>
  <si>
    <t>Sheet 7</t>
  </si>
  <si>
    <t>Computers and peripheral equipment</t>
  </si>
  <si>
    <t>Sheet 10</t>
  </si>
  <si>
    <t>Other special-purpose machinery n.e.c.</t>
  </si>
  <si>
    <t>Sheet 13</t>
  </si>
  <si>
    <t>Intra-EU</t>
  </si>
  <si>
    <t>Sheet 16</t>
  </si>
  <si>
    <t>Sheet 19</t>
  </si>
  <si>
    <t>Sheet 22</t>
  </si>
  <si>
    <t>Data extracted on 19/09/2026 10:16:28 from [ESTAT]</t>
  </si>
  <si>
    <t xml:space="preserve">Dataset: </t>
  </si>
  <si>
    <t xml:space="preserve">Last updated: </t>
  </si>
  <si>
    <t>TIME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</si>
  <si>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</si>
  <si>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</si>
  <si>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</si>
  <si>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</si>
  <si>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</si>
  <si>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</si>
  <si>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</si>
  <si>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</si>
  <si>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</si>
  <si>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</si>
  <si>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</si>
  <si>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</si>
  <si>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</si>
  <si>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</si>
  <si>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</si>
  <si>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</si>
  <si>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</si>
  <si>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</si>
  <si>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</si>
  <si>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</si>
  <si>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</si>
  <si>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</si>
  <si>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</si>
  <si>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</si>
  <si>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</si>
  <si>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FREQ (Labels)</t>
  </si>
  <si>
    <t>Annual</t>
  </si>
  <si>
    <t>REPORTER (Labels)</t>
  </si>
  <si>
    <t/>
  </si>
  <si>
    <t>Belgium (incl. Luxembourg 'LU' -&gt; 1998)</t>
  </si>
  <si>
    <t>:</t>
  </si>
  <si>
    <t>Germany (incl. German Democratic Republic 'DD' from 1991)</t>
  </si>
  <si>
    <t>Ireland (Eire)</t>
  </si>
  <si>
    <t>Spain (incl. Canary Islands 'XB' from 1997)</t>
  </si>
  <si>
    <t>France (incl. Saint Barthélemy 'BL' -&gt; 2012; incl. French Guiana 'GF', Guadeloupe 'GP', Martinique 'MQ', Réunion 'RE' from 1997; incl. Mayotte 'YT' from 2014)</t>
  </si>
  <si>
    <t>Italy (incl. San Marino 'SM' -&gt; 1993)</t>
  </si>
  <si>
    <t>Netherlands</t>
  </si>
  <si>
    <t>Austria</t>
  </si>
  <si>
    <t>Portugal</t>
  </si>
  <si>
    <t>Finland</t>
  </si>
  <si>
    <t>Special value</t>
  </si>
  <si>
    <t>not available</t>
  </si>
  <si>
    <t>Data extracted on 19/09/2026 10:16:29 from [ESTAT]</t>
  </si>
  <si>
    <t>country</t>
  </si>
  <si>
    <t>year</t>
  </si>
  <si>
    <t>total_export</t>
  </si>
  <si>
    <t>share</t>
  </si>
  <si>
    <t>AT</t>
  </si>
  <si>
    <t>BE</t>
  </si>
  <si>
    <t>DE</t>
  </si>
  <si>
    <t>ES</t>
  </si>
  <si>
    <t>FI</t>
  </si>
  <si>
    <t>FR</t>
  </si>
  <si>
    <t>IE</t>
  </si>
  <si>
    <t>IT</t>
  </si>
  <si>
    <t>NL</t>
  </si>
  <si>
    <t>PT</t>
  </si>
  <si>
    <t>CPA 2.2 261 intra</t>
  </si>
  <si>
    <t>CPA 2.2 261 extra</t>
  </si>
  <si>
    <t>CPA 2.2 262 extra</t>
  </si>
  <si>
    <t>CPA 2.2 262 intra</t>
  </si>
  <si>
    <t>CPA 2.2 2899 extra</t>
  </si>
  <si>
    <t>CPA 2.2 2899 intra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</si>
</sst>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Aptos Narrow"/>
      <family val="2"/>
      <scheme val="minor"/>
    </font>
    <font>
      <b/>
      <sz val="9"/>
      <name val="Arial"/>
    </font>
    <font>
      <sz val="9"/>
      <name val="Arial"/>
    </font>
    <font>
      <b/>
      <sz val="9"/>
      <color indexed="9"/>
      <name val="Arial"/>
    </font>
    <font>
      <b/>
      <sz val="11"/>
      <name val="Arial"/>
    </font>
    <font>
      <u/>
      <sz val="9"/>
      <color indexed="12"/>
      <name val="Arial"/>
    </font>
  </fonts>
  <fills count="7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mediumGray">
        <bgColor indexed="22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0" fillId="5" borderId="0" xfId="0" applyFill="1"/>
    <xf numFmtId="3" fontId="2" fillId="0" borderId="0" xfId="0" applyNumberFormat="1" applyFont="1" applyAlignment="1">
      <alignment horizontal="right" vertical="center" shrinkToFit="1"/>
    </xf>
    <xf numFmtId="3" fontId="2" fillId="6" borderId="0" xfId="0" applyNumberFormat="1" applyFont="1" applyFill="1" applyAlignment="1">
      <alignment horizontal="right" vertical="center" shrinkToFit="1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2" fillId="6" borderId="0" xfId="0" applyFont="1" applyFill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3" fontId="0" fillId="0" borderId="0" xfId="0" applyNumberFormat="1"/>
    <xf numFmtId="0" fontId="2" fillId="0" borderId="0" xfId="0" applyFont="1" applyAlignment="1">
      <alignment horizontal="left"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16</xdr:col>
      <xdr:colOff>443409</xdr:colOff>
      <xdr:row>3</xdr:row>
      <xdr:rowOff>57150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ec.europa.eu/eurostat/databrowser/view/ds-059366__custom_22834853/default/table" TargetMode="External"/><Relationship Id="rId1" Type="http://schemas.openxmlformats.org/officeDocument/2006/relationships/hyperlink" Target="https://ec.europa.eu/eurostat/databrowser/product/page/ds-059366__custom_2283485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O23"/>
  <sheetViews>
    <sheetView showGridLines="0" tabSelected="1" workbookViewId="0"/>
  </sheetViews>
  <sheetFormatPr defaultRowHeight="14.5" x14ac:dyDescent="0.35"/>
  <cols>
    <col min="1" max="1" width="19.90625" customWidth="1"/>
    <col min="2" max="2" width="8.90625" customWidth="1"/>
    <col min="3" max="3" width="9.81640625" customWidth="1"/>
    <col min="4" max="4" width="26.90625" customWidth="1"/>
    <col min="5" max="5" width="6.90625" customWidth="1"/>
    <col min="6" max="6" width="12.36328125" customWidth="1"/>
  </cols>
  <sheetData>
    <row r="6" spans="1:15" x14ac:dyDescent="0.35">
      <c r="A6" s="11" t="s">
        <v>0</v>
      </c>
    </row>
    <row r="7" spans="1:15" x14ac:dyDescent="0.35">
      <c r="A7" s="14" t="s">
        <v>1</v>
      </c>
      <c r="B7" s="14" t="s">
        <v>2</v>
      </c>
    </row>
    <row r="8" spans="1:15" ht="42.75" customHeight="1" x14ac:dyDescent="0.35">
      <c r="A8" s="12" t="s">
        <v>3</v>
      </c>
      <c r="B8" s="17" t="s">
        <v>4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</row>
    <row r="10" spans="1:15" x14ac:dyDescent="0.35">
      <c r="A10" s="2" t="s">
        <v>5</v>
      </c>
      <c r="D10" s="2" t="s">
        <v>6</v>
      </c>
    </row>
    <row r="11" spans="1:15" x14ac:dyDescent="0.35">
      <c r="A11" s="2" t="s">
        <v>7</v>
      </c>
      <c r="D11" s="2" t="s">
        <v>6</v>
      </c>
    </row>
    <row r="13" spans="1:15" x14ac:dyDescent="0.35">
      <c r="B13" s="1" t="s">
        <v>8</v>
      </c>
    </row>
    <row r="14" spans="1:15" x14ac:dyDescent="0.35">
      <c r="C14" s="2" t="s">
        <v>9</v>
      </c>
    </row>
    <row r="15" spans="1:15" x14ac:dyDescent="0.35">
      <c r="B15" s="11" t="s">
        <v>10</v>
      </c>
      <c r="C15" s="11" t="s">
        <v>11</v>
      </c>
      <c r="D15" s="11" t="s">
        <v>12</v>
      </c>
      <c r="E15" s="11" t="s">
        <v>13</v>
      </c>
      <c r="F15" s="11" t="s">
        <v>14</v>
      </c>
    </row>
    <row r="16" spans="1:15" x14ac:dyDescent="0.35">
      <c r="B16" s="15" t="s">
        <v>15</v>
      </c>
      <c r="C16" s="2" t="s">
        <v>16</v>
      </c>
      <c r="D16" s="2" t="s">
        <v>17</v>
      </c>
      <c r="E16" s="2" t="s">
        <v>18</v>
      </c>
      <c r="F16" s="2" t="s">
        <v>19</v>
      </c>
    </row>
    <row r="17" spans="2:6" x14ac:dyDescent="0.35">
      <c r="B17" s="14" t="s">
        <v>20</v>
      </c>
      <c r="C17" s="13" t="s">
        <v>16</v>
      </c>
      <c r="D17" s="13" t="s">
        <v>21</v>
      </c>
      <c r="E17" s="13" t="s">
        <v>18</v>
      </c>
      <c r="F17" s="13" t="s">
        <v>19</v>
      </c>
    </row>
    <row r="18" spans="2:6" x14ac:dyDescent="0.35">
      <c r="B18" s="15" t="s">
        <v>22</v>
      </c>
      <c r="C18" s="2" t="s">
        <v>16</v>
      </c>
      <c r="D18" s="2" t="s">
        <v>23</v>
      </c>
      <c r="E18" s="2" t="s">
        <v>18</v>
      </c>
      <c r="F18" s="2" t="s">
        <v>19</v>
      </c>
    </row>
    <row r="19" spans="2:6" x14ac:dyDescent="0.35">
      <c r="B19" s="14" t="s">
        <v>24</v>
      </c>
      <c r="C19" s="13" t="s">
        <v>16</v>
      </c>
      <c r="D19" s="13" t="s">
        <v>25</v>
      </c>
      <c r="E19" s="13" t="s">
        <v>18</v>
      </c>
      <c r="F19" s="13" t="s">
        <v>19</v>
      </c>
    </row>
    <row r="20" spans="2:6" x14ac:dyDescent="0.35">
      <c r="B20" s="15" t="s">
        <v>26</v>
      </c>
      <c r="C20" s="2" t="s">
        <v>27</v>
      </c>
      <c r="D20" s="2" t="s">
        <v>17</v>
      </c>
      <c r="E20" s="2" t="s">
        <v>18</v>
      </c>
      <c r="F20" s="2" t="s">
        <v>19</v>
      </c>
    </row>
    <row r="21" spans="2:6" x14ac:dyDescent="0.35">
      <c r="B21" s="14" t="s">
        <v>28</v>
      </c>
      <c r="C21" s="13" t="s">
        <v>27</v>
      </c>
      <c r="D21" s="13" t="s">
        <v>21</v>
      </c>
      <c r="E21" s="13" t="s">
        <v>18</v>
      </c>
      <c r="F21" s="13" t="s">
        <v>19</v>
      </c>
    </row>
    <row r="22" spans="2:6" x14ac:dyDescent="0.35">
      <c r="B22" s="15" t="s">
        <v>29</v>
      </c>
      <c r="C22" s="2" t="s">
        <v>27</v>
      </c>
      <c r="D22" s="2" t="s">
        <v>23</v>
      </c>
      <c r="E22" s="2" t="s">
        <v>18</v>
      </c>
      <c r="F22" s="2" t="s">
        <v>19</v>
      </c>
    </row>
    <row r="23" spans="2:6" x14ac:dyDescent="0.35">
      <c r="B23" s="14" t="s">
        <v>30</v>
      </c>
      <c r="C23" s="13" t="s">
        <v>27</v>
      </c>
      <c r="D23" s="13" t="s">
        <v>25</v>
      </c>
      <c r="E23" s="13" t="s">
        <v>18</v>
      </c>
      <c r="F23" s="13" t="s">
        <v>19</v>
      </c>
    </row>
  </sheetData>
  <mergeCells count="1">
    <mergeCell ref="B8:O8"/>
  </mergeCells>
  <hyperlinks>
    <hyperlink ref="A7" r:id="rId1" xr:uid="{00000000-0004-0000-0000-000000000000}"/>
    <hyperlink ref="B7" r:id="rId2" xr:uid="{00000000-0004-0000-0000-000001000000}"/>
    <hyperlink ref="B16" location="'Sheet 1'!A1" display="Sheet 1" xr:uid="{00000000-0004-0000-0000-000002000000}"/>
    <hyperlink ref="B17" location="'Sheet 4'!A1" display="Sheet 4" xr:uid="{00000000-0004-0000-0000-000005000000}"/>
    <hyperlink ref="B18" location="'Sheet 7'!A1" display="Sheet 7" xr:uid="{00000000-0004-0000-0000-000008000000}"/>
    <hyperlink ref="B19" location="'Sheet 10'!A1" display="Sheet 10" xr:uid="{00000000-0004-0000-0000-00000B000000}"/>
    <hyperlink ref="B20" location="'Sheet 13'!A1" display="Sheet 13" xr:uid="{00000000-0004-0000-0000-00000E000000}"/>
    <hyperlink ref="B21" location="'Sheet 16'!A1" display="Sheet 16" xr:uid="{00000000-0004-0000-0000-000011000000}"/>
    <hyperlink ref="B22" location="'Sheet 19'!A1" display="Sheet 19" xr:uid="{00000000-0004-0000-0000-000014000000}"/>
    <hyperlink ref="B23" location="'Sheet 22'!A1" display="Sheet 22" xr:uid="{00000000-0004-0000-0000-000017000000}"/>
  </hyperlinks>
  <pageMargins left="0.7" right="0.7" top="0.75" bottom="0.75" header="0.3" footer="0.3"/>
  <headerFooter>
    <oddHeader>&amp;L&amp;"Aptos"&amp;10&amp;K7FAA39 | DNB PUBLIC |&amp;1#_x000D_</oddHeader>
  </headerFooter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45227-E7A1-4EE3-9EC4-272BB6A2B688}">
  <dimension ref="A1:L24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G2" sqref="G2"/>
    </sheetView>
  </sheetViews>
  <sheetFormatPr defaultRowHeight="14.5" x14ac:dyDescent="0.35"/>
  <cols>
    <col min="3" max="3" width="15.08984375" bestFit="1" customWidth="1"/>
    <col min="4" max="4" width="14.7265625" bestFit="1" customWidth="1"/>
    <col min="5" max="5" width="15.08984375" bestFit="1" customWidth="1"/>
    <col min="6" max="6" width="14.7265625" bestFit="1" customWidth="1"/>
    <col min="7" max="7" width="16.08984375" bestFit="1" customWidth="1"/>
    <col min="8" max="8" width="15.7265625" bestFit="1" customWidth="1"/>
    <col min="11" max="11" width="16.08984375" bestFit="1" customWidth="1"/>
    <col min="14" max="14" width="14.54296875" bestFit="1" customWidth="1"/>
    <col min="21" max="21" width="14.54296875" bestFit="1" customWidth="1"/>
  </cols>
  <sheetData>
    <row r="1" spans="1:12" x14ac:dyDescent="0.35">
      <c r="A1" t="s">
        <v>78</v>
      </c>
      <c r="B1" t="s">
        <v>79</v>
      </c>
      <c r="C1" t="s">
        <v>93</v>
      </c>
      <c r="D1" t="s">
        <v>92</v>
      </c>
      <c r="E1" t="s">
        <v>94</v>
      </c>
      <c r="F1" t="s">
        <v>95</v>
      </c>
      <c r="G1" t="s">
        <v>96</v>
      </c>
      <c r="H1" t="s">
        <v>97</v>
      </c>
      <c r="K1" t="s">
        <v>80</v>
      </c>
      <c r="L1" t="s">
        <v>81</v>
      </c>
    </row>
    <row r="2" spans="1:12" x14ac:dyDescent="0.35">
      <c r="A2" t="s">
        <v>82</v>
      </c>
      <c r="B2">
        <v>2002</v>
      </c>
      <c r="C2" s="16">
        <v>970441011</v>
      </c>
      <c r="D2" s="16">
        <v>1352970368</v>
      </c>
      <c r="E2" s="16">
        <v>594216714</v>
      </c>
      <c r="F2" s="16">
        <v>1050392413</v>
      </c>
      <c r="G2" s="16">
        <v>452688130</v>
      </c>
      <c r="H2" s="16">
        <v>272694726</v>
      </c>
      <c r="K2" s="16">
        <v>83198982398</v>
      </c>
      <c r="L2">
        <f t="shared" ref="L2:L65" si="0">SUM(C2:H2)/K2</f>
        <v>5.641178806187927E-2</v>
      </c>
    </row>
    <row r="3" spans="1:12" x14ac:dyDescent="0.35">
      <c r="A3" t="s">
        <v>82</v>
      </c>
      <c r="B3">
        <v>2003</v>
      </c>
      <c r="C3" s="16">
        <v>849582646</v>
      </c>
      <c r="D3" s="16">
        <v>1314284036</v>
      </c>
      <c r="E3" s="16">
        <v>563719201</v>
      </c>
      <c r="F3" s="16">
        <v>1057292411</v>
      </c>
      <c r="G3" s="16">
        <v>445117617</v>
      </c>
      <c r="H3" s="16">
        <v>289045216</v>
      </c>
      <c r="K3" s="16">
        <v>85878805465</v>
      </c>
      <c r="L3">
        <f t="shared" si="0"/>
        <v>5.2621145607826839E-2</v>
      </c>
    </row>
    <row r="4" spans="1:12" x14ac:dyDescent="0.35">
      <c r="A4" t="s">
        <v>82</v>
      </c>
      <c r="B4">
        <v>2004</v>
      </c>
      <c r="C4" s="16">
        <v>671840601</v>
      </c>
      <c r="D4" s="16">
        <v>1504953676</v>
      </c>
      <c r="E4" s="16">
        <v>746097643</v>
      </c>
      <c r="F4" s="16">
        <v>1381763681</v>
      </c>
      <c r="G4" s="16">
        <v>524165921</v>
      </c>
      <c r="H4" s="16">
        <v>390540891</v>
      </c>
      <c r="K4" s="16">
        <v>95164850432</v>
      </c>
      <c r="L4">
        <f t="shared" si="0"/>
        <v>5.4845485379389033E-2</v>
      </c>
    </row>
    <row r="5" spans="1:12" x14ac:dyDescent="0.35">
      <c r="A5" t="s">
        <v>82</v>
      </c>
      <c r="B5">
        <v>2005</v>
      </c>
      <c r="C5" s="16">
        <v>577836754</v>
      </c>
      <c r="D5" s="16">
        <v>1575723005</v>
      </c>
      <c r="E5" s="16">
        <v>762073259</v>
      </c>
      <c r="F5" s="16">
        <v>1060017068</v>
      </c>
      <c r="G5" s="16">
        <v>488132036</v>
      </c>
      <c r="H5" s="16">
        <v>470708917</v>
      </c>
      <c r="K5" s="16">
        <v>100620644589</v>
      </c>
      <c r="L5">
        <f t="shared" si="0"/>
        <v>4.9040542913988107E-2</v>
      </c>
    </row>
    <row r="6" spans="1:12" x14ac:dyDescent="0.35">
      <c r="A6" t="s">
        <v>82</v>
      </c>
      <c r="B6">
        <v>2006</v>
      </c>
      <c r="C6" s="16">
        <v>760094123</v>
      </c>
      <c r="D6" s="16">
        <v>1809024531</v>
      </c>
      <c r="E6" s="16">
        <v>426131675</v>
      </c>
      <c r="F6" s="16">
        <v>1031691758</v>
      </c>
      <c r="G6" s="16">
        <v>539788704</v>
      </c>
      <c r="H6" s="16">
        <v>441936541</v>
      </c>
      <c r="K6" s="16">
        <v>108913131868</v>
      </c>
      <c r="L6">
        <f t="shared" si="0"/>
        <v>4.5987726604633683E-2</v>
      </c>
    </row>
    <row r="7" spans="1:12" x14ac:dyDescent="0.35">
      <c r="A7" t="s">
        <v>82</v>
      </c>
      <c r="B7">
        <v>2007</v>
      </c>
      <c r="C7" s="16">
        <v>585462128</v>
      </c>
      <c r="D7" s="16">
        <v>1439230344</v>
      </c>
      <c r="E7" s="16">
        <v>391657587</v>
      </c>
      <c r="F7" s="16">
        <v>1030841586</v>
      </c>
      <c r="G7" s="16">
        <v>734584485</v>
      </c>
      <c r="H7" s="16">
        <v>893944983</v>
      </c>
      <c r="K7" s="16">
        <v>119387392490</v>
      </c>
      <c r="L7">
        <f t="shared" si="0"/>
        <v>4.2514716228726976E-2</v>
      </c>
    </row>
    <row r="8" spans="1:12" x14ac:dyDescent="0.35">
      <c r="A8" t="s">
        <v>82</v>
      </c>
      <c r="B8">
        <v>2008</v>
      </c>
      <c r="C8" s="16">
        <v>707118327</v>
      </c>
      <c r="D8" s="16">
        <v>1195752529</v>
      </c>
      <c r="E8" s="16">
        <v>321836204</v>
      </c>
      <c r="F8" s="16">
        <v>1122316434</v>
      </c>
      <c r="G8" s="16">
        <v>760504255</v>
      </c>
      <c r="H8" s="16">
        <v>897230750</v>
      </c>
      <c r="K8" s="16">
        <v>123258767441</v>
      </c>
      <c r="L8">
        <f t="shared" si="0"/>
        <v>4.0603671470231251E-2</v>
      </c>
    </row>
    <row r="9" spans="1:12" x14ac:dyDescent="0.35">
      <c r="A9" t="s">
        <v>82</v>
      </c>
      <c r="B9">
        <v>2009</v>
      </c>
      <c r="C9" s="16">
        <v>507516418</v>
      </c>
      <c r="D9" s="16">
        <v>949160956</v>
      </c>
      <c r="E9" s="16">
        <v>213048001</v>
      </c>
      <c r="F9" s="16">
        <v>929892110</v>
      </c>
      <c r="G9" s="16">
        <v>636807159</v>
      </c>
      <c r="H9" s="16">
        <v>663087502</v>
      </c>
      <c r="K9" s="16">
        <v>98213743491</v>
      </c>
      <c r="L9">
        <f t="shared" si="0"/>
        <v>3.9704342868850523E-2</v>
      </c>
    </row>
    <row r="10" spans="1:12" x14ac:dyDescent="0.35">
      <c r="A10" t="s">
        <v>82</v>
      </c>
      <c r="B10">
        <v>2010</v>
      </c>
      <c r="C10" s="16">
        <v>777790773</v>
      </c>
      <c r="D10" s="16">
        <v>1357254710</v>
      </c>
      <c r="E10" s="16">
        <v>231317752</v>
      </c>
      <c r="F10" s="16">
        <v>1068219526</v>
      </c>
      <c r="G10" s="16">
        <v>773897730</v>
      </c>
      <c r="H10" s="16">
        <v>741447612</v>
      </c>
      <c r="K10" s="16">
        <v>115078517863</v>
      </c>
      <c r="L10">
        <f t="shared" si="0"/>
        <v>4.3013485009364194E-2</v>
      </c>
    </row>
    <row r="11" spans="1:12" x14ac:dyDescent="0.35">
      <c r="A11" t="s">
        <v>82</v>
      </c>
      <c r="B11">
        <v>2011</v>
      </c>
      <c r="C11" s="16">
        <v>842148350</v>
      </c>
      <c r="D11" s="16">
        <v>1153045756</v>
      </c>
      <c r="E11" s="16">
        <v>311363108</v>
      </c>
      <c r="F11" s="16">
        <v>779369155</v>
      </c>
      <c r="G11" s="16">
        <v>855516038</v>
      </c>
      <c r="H11" s="16">
        <v>864481109</v>
      </c>
      <c r="K11" s="16">
        <v>127462352596</v>
      </c>
      <c r="L11">
        <f t="shared" si="0"/>
        <v>3.7704650966491095E-2</v>
      </c>
    </row>
    <row r="12" spans="1:12" x14ac:dyDescent="0.35">
      <c r="A12" t="s">
        <v>82</v>
      </c>
      <c r="B12">
        <v>2012</v>
      </c>
      <c r="C12" s="16">
        <v>777609377</v>
      </c>
      <c r="D12" s="16">
        <v>1060802488</v>
      </c>
      <c r="E12" s="16">
        <v>238886268</v>
      </c>
      <c r="F12" s="16">
        <v>789811574</v>
      </c>
      <c r="G12" s="16">
        <v>942752232</v>
      </c>
      <c r="H12" s="16">
        <v>768345370</v>
      </c>
      <c r="K12" s="16">
        <v>129678513652</v>
      </c>
      <c r="L12">
        <f t="shared" si="0"/>
        <v>3.5304285807021905E-2</v>
      </c>
    </row>
    <row r="13" spans="1:12" x14ac:dyDescent="0.35">
      <c r="A13" t="s">
        <v>82</v>
      </c>
      <c r="B13">
        <v>2013</v>
      </c>
      <c r="C13" s="16">
        <v>825036942</v>
      </c>
      <c r="D13" s="16">
        <v>1030942848</v>
      </c>
      <c r="E13" s="16">
        <v>274161764</v>
      </c>
      <c r="F13" s="16">
        <v>1149708436</v>
      </c>
      <c r="G13" s="16">
        <v>792283150</v>
      </c>
      <c r="H13" s="16">
        <v>760434903</v>
      </c>
      <c r="K13" s="16">
        <v>131884592219</v>
      </c>
      <c r="L13">
        <f t="shared" si="0"/>
        <v>3.6642400463090599E-2</v>
      </c>
    </row>
    <row r="14" spans="1:12" x14ac:dyDescent="0.35">
      <c r="A14" t="s">
        <v>82</v>
      </c>
      <c r="B14">
        <v>2014</v>
      </c>
      <c r="C14" s="16">
        <v>669866264</v>
      </c>
      <c r="D14" s="16">
        <v>1045560827</v>
      </c>
      <c r="E14" s="16">
        <v>289744631</v>
      </c>
      <c r="F14" s="16">
        <v>1312988244</v>
      </c>
      <c r="G14" s="16">
        <v>853385748</v>
      </c>
      <c r="H14" s="16">
        <v>781721982</v>
      </c>
      <c r="K14" s="16">
        <v>134172544432</v>
      </c>
      <c r="L14">
        <f t="shared" si="0"/>
        <v>3.6917148116769639E-2</v>
      </c>
    </row>
    <row r="15" spans="1:12" x14ac:dyDescent="0.35">
      <c r="A15" t="s">
        <v>82</v>
      </c>
      <c r="B15">
        <v>2015</v>
      </c>
      <c r="C15" s="16">
        <v>709779855</v>
      </c>
      <c r="D15" s="16">
        <v>1164472860</v>
      </c>
      <c r="E15" s="16">
        <v>240064659</v>
      </c>
      <c r="F15" s="16">
        <v>945051995</v>
      </c>
      <c r="G15" s="16">
        <v>973805054</v>
      </c>
      <c r="H15" s="16">
        <v>832012116</v>
      </c>
      <c r="K15" s="16">
        <v>137756781413</v>
      </c>
      <c r="L15">
        <f t="shared" si="0"/>
        <v>3.5317219879099734E-2</v>
      </c>
    </row>
    <row r="16" spans="1:12" x14ac:dyDescent="0.35">
      <c r="A16" t="s">
        <v>82</v>
      </c>
      <c r="B16">
        <v>2016</v>
      </c>
      <c r="C16" s="16">
        <v>814412293</v>
      </c>
      <c r="D16" s="16">
        <v>1049242697</v>
      </c>
      <c r="E16" s="16">
        <v>214316916</v>
      </c>
      <c r="F16" s="16">
        <v>1178583602</v>
      </c>
      <c r="G16" s="16">
        <v>904362717</v>
      </c>
      <c r="H16" s="16">
        <v>815914179</v>
      </c>
      <c r="K16" s="16">
        <v>137409879273</v>
      </c>
      <c r="L16">
        <f t="shared" si="0"/>
        <v>3.6218883462609298E-2</v>
      </c>
    </row>
    <row r="17" spans="1:12" x14ac:dyDescent="0.35">
      <c r="A17" t="s">
        <v>82</v>
      </c>
      <c r="B17">
        <v>2017</v>
      </c>
      <c r="C17" s="16">
        <v>939078743</v>
      </c>
      <c r="D17" s="16">
        <v>1052007172</v>
      </c>
      <c r="E17" s="16">
        <v>215230707</v>
      </c>
      <c r="F17" s="16">
        <v>1304036405</v>
      </c>
      <c r="G17" s="16">
        <v>1008117659</v>
      </c>
      <c r="H17" s="16">
        <v>1022424936</v>
      </c>
      <c r="K17" s="16">
        <v>148756390257</v>
      </c>
      <c r="L17">
        <f t="shared" si="0"/>
        <v>3.7248118298832296E-2</v>
      </c>
    </row>
    <row r="18" spans="1:12" x14ac:dyDescent="0.35">
      <c r="A18" t="s">
        <v>82</v>
      </c>
      <c r="B18">
        <v>2018</v>
      </c>
      <c r="C18" s="16">
        <v>969739228</v>
      </c>
      <c r="D18" s="16">
        <v>1068670431</v>
      </c>
      <c r="E18" s="16">
        <v>203972228</v>
      </c>
      <c r="F18" s="16">
        <v>1437580873</v>
      </c>
      <c r="G18" s="16">
        <v>1251425148</v>
      </c>
      <c r="H18" s="16">
        <v>948274768</v>
      </c>
      <c r="K18" s="16">
        <v>156428829131</v>
      </c>
      <c r="L18">
        <f t="shared" si="0"/>
        <v>3.7586822765745605E-2</v>
      </c>
    </row>
    <row r="19" spans="1:12" x14ac:dyDescent="0.35">
      <c r="A19" t="s">
        <v>82</v>
      </c>
      <c r="B19">
        <v>2019</v>
      </c>
      <c r="C19" s="16">
        <v>927067432</v>
      </c>
      <c r="D19" s="16">
        <v>1059310358</v>
      </c>
      <c r="E19" s="16">
        <v>217564410</v>
      </c>
      <c r="F19" s="16">
        <v>1391741539</v>
      </c>
      <c r="G19" s="16">
        <v>1252911616</v>
      </c>
      <c r="H19" s="16">
        <v>989951712</v>
      </c>
      <c r="K19" s="16">
        <v>159588478070</v>
      </c>
      <c r="L19">
        <f t="shared" si="0"/>
        <v>3.6585016271908105E-2</v>
      </c>
    </row>
    <row r="20" spans="1:12" x14ac:dyDescent="0.35">
      <c r="A20" t="s">
        <v>82</v>
      </c>
      <c r="B20">
        <v>2020</v>
      </c>
      <c r="C20" s="16">
        <v>784361961</v>
      </c>
      <c r="D20" s="16">
        <v>907032272</v>
      </c>
      <c r="E20" s="16">
        <v>216163729</v>
      </c>
      <c r="F20" s="16">
        <v>1325214280</v>
      </c>
      <c r="G20" s="16">
        <v>1411110474</v>
      </c>
      <c r="H20" s="16">
        <v>898047723</v>
      </c>
      <c r="K20" s="16">
        <v>148287998641</v>
      </c>
      <c r="L20">
        <f t="shared" si="0"/>
        <v>3.737275092920242E-2</v>
      </c>
    </row>
    <row r="21" spans="1:12" x14ac:dyDescent="0.35">
      <c r="A21" t="s">
        <v>82</v>
      </c>
      <c r="B21">
        <v>2021</v>
      </c>
      <c r="C21" s="16">
        <v>946803201</v>
      </c>
      <c r="D21" s="16">
        <v>1060922965</v>
      </c>
      <c r="E21" s="16">
        <v>247339902</v>
      </c>
      <c r="F21" s="16">
        <v>1450579436</v>
      </c>
      <c r="G21" s="16">
        <v>1682639787</v>
      </c>
      <c r="H21" s="16">
        <v>1057285815</v>
      </c>
      <c r="K21" s="16">
        <v>171541232889</v>
      </c>
      <c r="L21">
        <f t="shared" si="0"/>
        <v>3.7574471148699079E-2</v>
      </c>
    </row>
    <row r="22" spans="1:12" x14ac:dyDescent="0.35">
      <c r="A22" t="s">
        <v>82</v>
      </c>
      <c r="B22">
        <v>2022</v>
      </c>
      <c r="C22" s="16">
        <v>1102387882</v>
      </c>
      <c r="D22" s="16">
        <v>1314787062</v>
      </c>
      <c r="E22" s="16">
        <v>296863549</v>
      </c>
      <c r="F22" s="16">
        <v>1495991964</v>
      </c>
      <c r="G22" s="16">
        <v>2099980876</v>
      </c>
      <c r="H22" s="16">
        <v>1096114799</v>
      </c>
      <c r="K22" s="16">
        <v>201398398368</v>
      </c>
      <c r="L22">
        <f t="shared" si="0"/>
        <v>3.6773510574137476E-2</v>
      </c>
    </row>
    <row r="23" spans="1:12" x14ac:dyDescent="0.35">
      <c r="A23" t="s">
        <v>82</v>
      </c>
      <c r="B23">
        <v>2023</v>
      </c>
      <c r="C23" s="16">
        <v>1113534514</v>
      </c>
      <c r="D23" s="16">
        <v>1432256015</v>
      </c>
      <c r="E23" s="16">
        <v>316532214</v>
      </c>
      <c r="F23" s="16">
        <v>1441673168</v>
      </c>
      <c r="G23" s="16">
        <v>2482193898</v>
      </c>
      <c r="H23" s="16">
        <v>1241424499</v>
      </c>
      <c r="K23" s="16">
        <v>207254494849</v>
      </c>
      <c r="L23">
        <f t="shared" si="0"/>
        <v>3.8733125251873078E-2</v>
      </c>
    </row>
    <row r="24" spans="1:12" x14ac:dyDescent="0.35">
      <c r="A24" t="s">
        <v>82</v>
      </c>
      <c r="B24">
        <v>2024</v>
      </c>
      <c r="C24" s="16">
        <v>1174052964</v>
      </c>
      <c r="D24" s="16">
        <v>1157089749</v>
      </c>
      <c r="E24" s="16">
        <v>329798011</v>
      </c>
      <c r="F24" s="16">
        <v>1555818188</v>
      </c>
      <c r="G24" s="16">
        <v>2541554879</v>
      </c>
      <c r="H24" s="16">
        <v>1120578742</v>
      </c>
      <c r="K24" s="16">
        <v>197847661904</v>
      </c>
      <c r="L24">
        <f t="shared" si="0"/>
        <v>3.9823025742012609E-2</v>
      </c>
    </row>
    <row r="25" spans="1:12" x14ac:dyDescent="0.35">
      <c r="A25" t="s">
        <v>82</v>
      </c>
      <c r="B25">
        <v>2025</v>
      </c>
      <c r="C25" s="16">
        <v>1460575843</v>
      </c>
      <c r="D25" s="16">
        <v>1275082289</v>
      </c>
      <c r="E25" s="16">
        <v>348913577</v>
      </c>
      <c r="F25" s="16">
        <v>1339257092</v>
      </c>
      <c r="G25" s="16">
        <v>2748662361</v>
      </c>
      <c r="H25" s="16">
        <v>1241069947</v>
      </c>
      <c r="K25" s="16">
        <v>196683124240</v>
      </c>
      <c r="L25">
        <f t="shared" si="0"/>
        <v>4.2777239488698902E-2</v>
      </c>
    </row>
    <row r="26" spans="1:12" x14ac:dyDescent="0.35">
      <c r="A26" t="s">
        <v>83</v>
      </c>
      <c r="B26">
        <v>2002</v>
      </c>
      <c r="C26" s="16">
        <v>556341514</v>
      </c>
      <c r="D26" s="16">
        <v>1349646769</v>
      </c>
      <c r="E26" s="16">
        <v>792169438</v>
      </c>
      <c r="F26" s="16">
        <v>3566748925</v>
      </c>
      <c r="G26" s="16">
        <v>279337120</v>
      </c>
      <c r="H26" s="16">
        <v>402978709</v>
      </c>
      <c r="K26" s="16">
        <v>228561124588</v>
      </c>
      <c r="L26">
        <f t="shared" si="0"/>
        <v>3.0395468553643726E-2</v>
      </c>
    </row>
    <row r="27" spans="1:12" x14ac:dyDescent="0.35">
      <c r="A27" t="s">
        <v>83</v>
      </c>
      <c r="B27">
        <v>2003</v>
      </c>
      <c r="C27" s="16">
        <v>509875407</v>
      </c>
      <c r="D27" s="16">
        <v>1475202789</v>
      </c>
      <c r="E27" s="16">
        <v>763411110</v>
      </c>
      <c r="F27" s="16">
        <v>3763267702</v>
      </c>
      <c r="G27" s="16">
        <v>286632031</v>
      </c>
      <c r="H27" s="16">
        <v>360398902</v>
      </c>
      <c r="K27" s="16">
        <v>225969572236</v>
      </c>
      <c r="L27">
        <f t="shared" si="0"/>
        <v>3.1680318151522828E-2</v>
      </c>
    </row>
    <row r="28" spans="1:12" x14ac:dyDescent="0.35">
      <c r="A28" t="s">
        <v>83</v>
      </c>
      <c r="B28">
        <v>2004</v>
      </c>
      <c r="C28" s="16">
        <v>347621206</v>
      </c>
      <c r="D28" s="16">
        <v>1753961132</v>
      </c>
      <c r="E28" s="16">
        <v>671306011</v>
      </c>
      <c r="F28" s="16">
        <v>3901363053</v>
      </c>
      <c r="G28" s="16">
        <v>326849350</v>
      </c>
      <c r="H28" s="16">
        <v>328298242</v>
      </c>
      <c r="K28" s="16">
        <v>246697039899</v>
      </c>
      <c r="L28">
        <f t="shared" si="0"/>
        <v>2.9710121357762225E-2</v>
      </c>
    </row>
    <row r="29" spans="1:12" x14ac:dyDescent="0.35">
      <c r="A29" t="s">
        <v>83</v>
      </c>
      <c r="B29">
        <v>2005</v>
      </c>
      <c r="C29" s="16">
        <v>363967313</v>
      </c>
      <c r="D29" s="16">
        <v>1822557750</v>
      </c>
      <c r="E29" s="16">
        <v>679143570</v>
      </c>
      <c r="F29" s="16">
        <v>3767692271</v>
      </c>
      <c r="G29" s="16">
        <v>321106964</v>
      </c>
      <c r="H29" s="16">
        <v>307028827</v>
      </c>
      <c r="K29" s="16">
        <v>268788791206</v>
      </c>
      <c r="L29">
        <f t="shared" si="0"/>
        <v>2.7015623167986873E-2</v>
      </c>
    </row>
    <row r="30" spans="1:12" x14ac:dyDescent="0.35">
      <c r="A30" t="s">
        <v>83</v>
      </c>
      <c r="B30">
        <v>2006</v>
      </c>
      <c r="C30" s="16">
        <v>601214525</v>
      </c>
      <c r="D30" s="16">
        <v>1815041666</v>
      </c>
      <c r="E30" s="16">
        <v>579917804</v>
      </c>
      <c r="F30" s="16">
        <v>3367378483</v>
      </c>
      <c r="G30" s="16">
        <v>249723799</v>
      </c>
      <c r="H30" s="16">
        <v>260189638</v>
      </c>
      <c r="K30" s="16">
        <v>292087129343</v>
      </c>
      <c r="L30">
        <f t="shared" si="0"/>
        <v>2.3532245088856481E-2</v>
      </c>
    </row>
    <row r="31" spans="1:12" x14ac:dyDescent="0.35">
      <c r="A31" t="s">
        <v>83</v>
      </c>
      <c r="B31">
        <v>2007</v>
      </c>
      <c r="C31" s="16">
        <v>278942294</v>
      </c>
      <c r="D31" s="16">
        <v>1353428918</v>
      </c>
      <c r="E31" s="16">
        <v>391656177</v>
      </c>
      <c r="F31" s="16">
        <v>2168802076</v>
      </c>
      <c r="G31" s="16">
        <v>397398995</v>
      </c>
      <c r="H31" s="16">
        <v>437991432</v>
      </c>
      <c r="K31" s="16">
        <v>314448682983</v>
      </c>
      <c r="L31">
        <f t="shared" si="0"/>
        <v>1.5990589765872355E-2</v>
      </c>
    </row>
    <row r="32" spans="1:12" x14ac:dyDescent="0.35">
      <c r="A32" t="s">
        <v>83</v>
      </c>
      <c r="B32">
        <v>2008</v>
      </c>
      <c r="C32" s="16">
        <v>373773882</v>
      </c>
      <c r="D32" s="16">
        <v>1298073139</v>
      </c>
      <c r="E32" s="16">
        <v>398895875</v>
      </c>
      <c r="F32" s="16">
        <v>2154519026</v>
      </c>
      <c r="G32" s="16">
        <v>495669690</v>
      </c>
      <c r="H32" s="16">
        <v>523651144</v>
      </c>
      <c r="K32" s="16">
        <v>320805175917</v>
      </c>
      <c r="L32">
        <f t="shared" si="0"/>
        <v>1.6348186219280015E-2</v>
      </c>
    </row>
    <row r="33" spans="1:12" x14ac:dyDescent="0.35">
      <c r="A33" t="s">
        <v>83</v>
      </c>
      <c r="B33">
        <v>2009</v>
      </c>
      <c r="C33" s="16">
        <v>228836670</v>
      </c>
      <c r="D33" s="16">
        <v>1017991469</v>
      </c>
      <c r="E33" s="16">
        <v>374443428</v>
      </c>
      <c r="F33" s="16">
        <v>1798935869</v>
      </c>
      <c r="G33" s="16">
        <v>426899626</v>
      </c>
      <c r="H33" s="16">
        <v>357386660</v>
      </c>
      <c r="K33" s="16">
        <v>265986039448</v>
      </c>
      <c r="L33">
        <f t="shared" si="0"/>
        <v>1.5807196989456939E-2</v>
      </c>
    </row>
    <row r="34" spans="1:12" x14ac:dyDescent="0.35">
      <c r="A34" t="s">
        <v>83</v>
      </c>
      <c r="B34">
        <v>2010</v>
      </c>
      <c r="C34" s="16">
        <v>323833404</v>
      </c>
      <c r="D34" s="16">
        <v>1430671054</v>
      </c>
      <c r="E34" s="16">
        <v>455611865</v>
      </c>
      <c r="F34" s="16">
        <v>1776445643</v>
      </c>
      <c r="G34" s="16">
        <v>503257873</v>
      </c>
      <c r="H34" s="16">
        <v>397276675</v>
      </c>
      <c r="K34" s="16">
        <v>307529865750</v>
      </c>
      <c r="L34">
        <f t="shared" si="0"/>
        <v>1.5891453345779637E-2</v>
      </c>
    </row>
    <row r="35" spans="1:12" x14ac:dyDescent="0.35">
      <c r="A35" t="s">
        <v>83</v>
      </c>
      <c r="B35">
        <v>2011</v>
      </c>
      <c r="C35" s="16">
        <v>269303793</v>
      </c>
      <c r="D35" s="16">
        <v>1460491761</v>
      </c>
      <c r="E35" s="16">
        <v>507824527</v>
      </c>
      <c r="F35" s="16">
        <v>2282215760</v>
      </c>
      <c r="G35" s="16">
        <v>622093564</v>
      </c>
      <c r="H35" s="16">
        <v>469153927</v>
      </c>
      <c r="K35" s="16">
        <v>341718212953</v>
      </c>
      <c r="L35">
        <f t="shared" si="0"/>
        <v>1.6420205652812978E-2</v>
      </c>
    </row>
    <row r="36" spans="1:12" x14ac:dyDescent="0.35">
      <c r="A36" t="s">
        <v>83</v>
      </c>
      <c r="B36">
        <v>2012</v>
      </c>
      <c r="C36" s="16">
        <v>258564012</v>
      </c>
      <c r="D36" s="16">
        <v>1169877579</v>
      </c>
      <c r="E36" s="16">
        <v>496129629</v>
      </c>
      <c r="F36" s="16">
        <v>2315711787</v>
      </c>
      <c r="G36" s="16">
        <v>647834533</v>
      </c>
      <c r="H36" s="16">
        <v>565608912</v>
      </c>
      <c r="K36" s="16">
        <v>347088552540</v>
      </c>
      <c r="L36">
        <f t="shared" si="0"/>
        <v>1.5712781110438636E-2</v>
      </c>
    </row>
    <row r="37" spans="1:12" x14ac:dyDescent="0.35">
      <c r="A37" t="s">
        <v>83</v>
      </c>
      <c r="B37">
        <v>2013</v>
      </c>
      <c r="C37" s="16">
        <v>288906602</v>
      </c>
      <c r="D37" s="16">
        <v>602667860</v>
      </c>
      <c r="E37" s="16">
        <v>406351265</v>
      </c>
      <c r="F37" s="16">
        <v>2128746120</v>
      </c>
      <c r="G37" s="16">
        <v>633500522</v>
      </c>
      <c r="H37" s="16">
        <v>656863947</v>
      </c>
      <c r="K37" s="16">
        <v>352955703712</v>
      </c>
      <c r="L37">
        <f t="shared" si="0"/>
        <v>1.3364386143619154E-2</v>
      </c>
    </row>
    <row r="38" spans="1:12" x14ac:dyDescent="0.35">
      <c r="A38" t="s">
        <v>83</v>
      </c>
      <c r="B38">
        <v>2014</v>
      </c>
      <c r="C38" s="16">
        <v>280914973</v>
      </c>
      <c r="D38" s="16">
        <v>529968557</v>
      </c>
      <c r="E38" s="16">
        <v>388305068</v>
      </c>
      <c r="F38" s="16">
        <v>1923301526</v>
      </c>
      <c r="G38" s="16">
        <v>639279299</v>
      </c>
      <c r="H38" s="16">
        <v>720909517</v>
      </c>
      <c r="K38" s="16">
        <v>355287706297</v>
      </c>
      <c r="L38">
        <f t="shared" si="0"/>
        <v>1.2617039262970555E-2</v>
      </c>
    </row>
    <row r="39" spans="1:12" x14ac:dyDescent="0.35">
      <c r="A39" t="s">
        <v>83</v>
      </c>
      <c r="B39">
        <v>2015</v>
      </c>
      <c r="C39" s="16">
        <v>344076187</v>
      </c>
      <c r="D39" s="16">
        <v>614087250</v>
      </c>
      <c r="E39" s="16">
        <v>328521807</v>
      </c>
      <c r="F39" s="16">
        <v>2326036813</v>
      </c>
      <c r="G39" s="16">
        <v>605085559</v>
      </c>
      <c r="H39" s="16">
        <v>657679567</v>
      </c>
      <c r="K39" s="16">
        <v>357771767156</v>
      </c>
      <c r="L39">
        <f t="shared" si="0"/>
        <v>1.3627367027186723E-2</v>
      </c>
    </row>
    <row r="40" spans="1:12" x14ac:dyDescent="0.35">
      <c r="A40" t="s">
        <v>83</v>
      </c>
      <c r="B40">
        <v>2016</v>
      </c>
      <c r="C40" s="16">
        <v>385365590</v>
      </c>
      <c r="D40" s="16">
        <v>538983546</v>
      </c>
      <c r="E40" s="16">
        <v>349154728</v>
      </c>
      <c r="F40" s="16">
        <v>2083267282</v>
      </c>
      <c r="G40" s="16">
        <v>647556635</v>
      </c>
      <c r="H40" s="16">
        <v>653031229</v>
      </c>
      <c r="K40" s="16">
        <v>359757326643</v>
      </c>
      <c r="L40">
        <f t="shared" si="0"/>
        <v>1.2945835053476655E-2</v>
      </c>
    </row>
    <row r="41" spans="1:12" x14ac:dyDescent="0.35">
      <c r="A41" t="s">
        <v>83</v>
      </c>
      <c r="B41">
        <v>2017</v>
      </c>
      <c r="C41" s="16">
        <v>460448955</v>
      </c>
      <c r="D41" s="16">
        <v>596436628</v>
      </c>
      <c r="E41" s="16">
        <v>437876217</v>
      </c>
      <c r="F41" s="16">
        <v>2083629976</v>
      </c>
      <c r="G41" s="16">
        <v>713681434</v>
      </c>
      <c r="H41" s="16">
        <v>704207997</v>
      </c>
      <c r="K41" s="16">
        <v>380590405102</v>
      </c>
      <c r="L41">
        <f t="shared" si="0"/>
        <v>1.312771194444845E-2</v>
      </c>
    </row>
    <row r="42" spans="1:12" x14ac:dyDescent="0.35">
      <c r="A42" t="s">
        <v>83</v>
      </c>
      <c r="B42">
        <v>2018</v>
      </c>
      <c r="C42" s="16">
        <v>447098007</v>
      </c>
      <c r="D42" s="16">
        <v>551314382</v>
      </c>
      <c r="E42" s="16">
        <v>370819073</v>
      </c>
      <c r="F42" s="16">
        <v>1876954417</v>
      </c>
      <c r="G42" s="16">
        <v>684976986</v>
      </c>
      <c r="H42" s="16">
        <v>738305834</v>
      </c>
      <c r="K42" s="16">
        <v>396270037460</v>
      </c>
      <c r="L42">
        <f t="shared" si="0"/>
        <v>1.1783552268877614E-2</v>
      </c>
    </row>
    <row r="43" spans="1:12" x14ac:dyDescent="0.35">
      <c r="A43" t="s">
        <v>83</v>
      </c>
      <c r="B43">
        <v>2019</v>
      </c>
      <c r="C43" s="16">
        <v>597741644</v>
      </c>
      <c r="D43" s="16">
        <v>1281189345</v>
      </c>
      <c r="E43" s="16">
        <v>440620320</v>
      </c>
      <c r="F43" s="16">
        <v>1982565319</v>
      </c>
      <c r="G43" s="16">
        <v>812376637</v>
      </c>
      <c r="H43" s="16">
        <v>791395369</v>
      </c>
      <c r="K43" s="16">
        <v>399841064823</v>
      </c>
      <c r="L43">
        <f t="shared" si="0"/>
        <v>1.4770590501039193E-2</v>
      </c>
    </row>
    <row r="44" spans="1:12" x14ac:dyDescent="0.35">
      <c r="A44" t="s">
        <v>83</v>
      </c>
      <c r="B44">
        <v>2020</v>
      </c>
      <c r="C44" s="16">
        <v>711410708</v>
      </c>
      <c r="D44" s="16">
        <v>1370377819</v>
      </c>
      <c r="E44" s="16">
        <v>477480580</v>
      </c>
      <c r="F44" s="16">
        <v>1691532355</v>
      </c>
      <c r="G44" s="16">
        <v>980282403</v>
      </c>
      <c r="H44" s="16">
        <v>880067966</v>
      </c>
      <c r="K44" s="16">
        <v>369963642929</v>
      </c>
      <c r="L44">
        <f t="shared" si="0"/>
        <v>1.6518249692369896E-2</v>
      </c>
    </row>
    <row r="45" spans="1:12" x14ac:dyDescent="0.35">
      <c r="A45" t="s">
        <v>83</v>
      </c>
      <c r="B45">
        <v>2021</v>
      </c>
      <c r="C45" s="16">
        <v>800929845</v>
      </c>
      <c r="D45" s="16">
        <v>1490141643</v>
      </c>
      <c r="E45" s="16">
        <v>409184381</v>
      </c>
      <c r="F45" s="16">
        <v>1805579275</v>
      </c>
      <c r="G45" s="16">
        <v>1193247935</v>
      </c>
      <c r="H45" s="16">
        <v>1181993452</v>
      </c>
      <c r="K45" s="16">
        <v>466867590768</v>
      </c>
      <c r="L45">
        <f t="shared" si="0"/>
        <v>1.4738818172579913E-2</v>
      </c>
    </row>
    <row r="46" spans="1:12" x14ac:dyDescent="0.35">
      <c r="A46" t="s">
        <v>83</v>
      </c>
      <c r="B46">
        <v>2022</v>
      </c>
      <c r="C46" s="16">
        <v>1059749022</v>
      </c>
      <c r="D46" s="16">
        <v>2136503873</v>
      </c>
      <c r="E46" s="16">
        <v>525405306</v>
      </c>
      <c r="F46" s="16">
        <v>2067336971</v>
      </c>
      <c r="G46" s="16">
        <v>950537006</v>
      </c>
      <c r="H46" s="16">
        <v>1044164328</v>
      </c>
      <c r="K46" s="16">
        <v>607029011053</v>
      </c>
      <c r="L46">
        <f t="shared" si="0"/>
        <v>1.2822610393031779E-2</v>
      </c>
    </row>
    <row r="47" spans="1:12" x14ac:dyDescent="0.35">
      <c r="A47" t="s">
        <v>83</v>
      </c>
      <c r="B47">
        <v>2023</v>
      </c>
      <c r="C47" s="16">
        <v>1154015064</v>
      </c>
      <c r="D47" s="16">
        <v>2736369665</v>
      </c>
      <c r="E47" s="16">
        <v>591062794</v>
      </c>
      <c r="F47" s="16">
        <v>2326057934</v>
      </c>
      <c r="G47" s="16">
        <v>972474086</v>
      </c>
      <c r="H47" s="16">
        <v>800117410</v>
      </c>
      <c r="K47" s="16">
        <v>534108753801</v>
      </c>
      <c r="L47">
        <f t="shared" si="0"/>
        <v>1.6064325648923555E-2</v>
      </c>
    </row>
    <row r="48" spans="1:12" x14ac:dyDescent="0.35">
      <c r="A48" t="s">
        <v>83</v>
      </c>
      <c r="B48">
        <v>2024</v>
      </c>
      <c r="C48" s="16">
        <v>1024037189</v>
      </c>
      <c r="D48" s="16">
        <v>2018404300</v>
      </c>
      <c r="E48" s="16">
        <v>684278714</v>
      </c>
      <c r="F48" s="16">
        <v>2561548214</v>
      </c>
      <c r="G48" s="16">
        <v>961317895</v>
      </c>
      <c r="H48" s="16">
        <v>810921626</v>
      </c>
      <c r="K48" s="16">
        <v>512001043566</v>
      </c>
      <c r="L48">
        <f t="shared" si="0"/>
        <v>1.5743147478489372E-2</v>
      </c>
    </row>
    <row r="49" spans="1:12" x14ac:dyDescent="0.35">
      <c r="A49" t="s">
        <v>83</v>
      </c>
      <c r="B49">
        <v>2025</v>
      </c>
      <c r="C49" s="16">
        <v>881916121</v>
      </c>
      <c r="D49" s="16">
        <v>1907429175</v>
      </c>
      <c r="E49" s="16">
        <v>770664789</v>
      </c>
      <c r="F49" s="16">
        <v>2536421721</v>
      </c>
      <c r="G49" s="16">
        <v>1019969429</v>
      </c>
      <c r="H49" s="16">
        <v>1015660876</v>
      </c>
      <c r="K49" s="16">
        <v>505930348885</v>
      </c>
      <c r="L49">
        <f t="shared" si="0"/>
        <v>1.6073481515631413E-2</v>
      </c>
    </row>
    <row r="50" spans="1:12" x14ac:dyDescent="0.35">
      <c r="A50" t="s">
        <v>84</v>
      </c>
      <c r="B50">
        <v>2002</v>
      </c>
      <c r="C50" s="16">
        <v>9455412286</v>
      </c>
      <c r="D50" s="16">
        <v>8969794152</v>
      </c>
      <c r="E50" s="16">
        <v>5271068196</v>
      </c>
      <c r="F50" s="16">
        <v>11450432343</v>
      </c>
      <c r="G50" s="16">
        <v>4996978185</v>
      </c>
      <c r="H50" s="16">
        <v>3091540718</v>
      </c>
      <c r="K50" s="16">
        <v>651259219283</v>
      </c>
      <c r="L50">
        <f t="shared" si="0"/>
        <v>6.6387122976315896E-2</v>
      </c>
    </row>
    <row r="51" spans="1:12" x14ac:dyDescent="0.35">
      <c r="A51" t="s">
        <v>84</v>
      </c>
      <c r="B51">
        <v>2003</v>
      </c>
      <c r="C51" s="16">
        <v>10663298794</v>
      </c>
      <c r="D51" s="16">
        <v>8609506794</v>
      </c>
      <c r="E51" s="16">
        <v>5506071142</v>
      </c>
      <c r="F51" s="16">
        <v>13042102456</v>
      </c>
      <c r="G51" s="16">
        <v>4504141275</v>
      </c>
      <c r="H51" s="16">
        <v>2806494013</v>
      </c>
      <c r="K51" s="16">
        <v>664391897584</v>
      </c>
      <c r="L51">
        <f t="shared" si="0"/>
        <v>6.7929206599473838E-2</v>
      </c>
    </row>
    <row r="52" spans="1:12" x14ac:dyDescent="0.35">
      <c r="A52" t="s">
        <v>84</v>
      </c>
      <c r="B52">
        <v>2004</v>
      </c>
      <c r="C52" s="16">
        <v>10402018966</v>
      </c>
      <c r="D52" s="16">
        <v>10130248517</v>
      </c>
      <c r="E52" s="16">
        <v>5900468563</v>
      </c>
      <c r="F52" s="16">
        <v>16452120131</v>
      </c>
      <c r="G52" s="16">
        <v>5074973237</v>
      </c>
      <c r="H52" s="16">
        <v>3135689462</v>
      </c>
      <c r="K52" s="16">
        <v>731479138102</v>
      </c>
      <c r="L52">
        <f t="shared" si="0"/>
        <v>6.9852325533958107E-2</v>
      </c>
    </row>
    <row r="53" spans="1:12" x14ac:dyDescent="0.35">
      <c r="A53" t="s">
        <v>84</v>
      </c>
      <c r="B53">
        <v>2005</v>
      </c>
      <c r="C53" s="16">
        <v>9438015518</v>
      </c>
      <c r="D53" s="16">
        <v>10677154704</v>
      </c>
      <c r="E53" s="16">
        <v>5847886624</v>
      </c>
      <c r="F53" s="16">
        <v>16171932512</v>
      </c>
      <c r="G53" s="16">
        <v>4984935154</v>
      </c>
      <c r="H53" s="16">
        <v>3995907496</v>
      </c>
      <c r="K53" s="16">
        <v>780415155757</v>
      </c>
      <c r="L53">
        <f t="shared" si="0"/>
        <v>6.5498256448412798E-2</v>
      </c>
    </row>
    <row r="54" spans="1:12" x14ac:dyDescent="0.35">
      <c r="A54" t="s">
        <v>84</v>
      </c>
      <c r="B54">
        <v>2006</v>
      </c>
      <c r="C54" s="16">
        <v>9932439050</v>
      </c>
      <c r="D54" s="16">
        <v>11854335466</v>
      </c>
      <c r="E54" s="16">
        <v>6318245027</v>
      </c>
      <c r="F54" s="16">
        <v>17406090839</v>
      </c>
      <c r="G54" s="16">
        <v>5502630686</v>
      </c>
      <c r="H54" s="16">
        <v>3430606606</v>
      </c>
      <c r="K54" s="16">
        <v>882531574769</v>
      </c>
      <c r="L54">
        <f t="shared" si="0"/>
        <v>6.1691104579743389E-2</v>
      </c>
    </row>
    <row r="55" spans="1:12" x14ac:dyDescent="0.35">
      <c r="A55" t="s">
        <v>84</v>
      </c>
      <c r="B55">
        <v>2007</v>
      </c>
      <c r="C55" s="16">
        <v>7257894223</v>
      </c>
      <c r="D55" s="16">
        <v>9118338136</v>
      </c>
      <c r="E55" s="16">
        <v>4687648719</v>
      </c>
      <c r="F55" s="16">
        <v>13509578480</v>
      </c>
      <c r="G55" s="16">
        <v>7647431311</v>
      </c>
      <c r="H55" s="16">
        <v>6969785832</v>
      </c>
      <c r="K55" s="16">
        <v>964037964867</v>
      </c>
      <c r="L55">
        <f t="shared" si="0"/>
        <v>5.102566340090809E-2</v>
      </c>
    </row>
    <row r="56" spans="1:12" x14ac:dyDescent="0.35">
      <c r="A56" t="s">
        <v>84</v>
      </c>
      <c r="B56">
        <v>2008</v>
      </c>
      <c r="C56" s="16">
        <v>6660771688</v>
      </c>
      <c r="D56" s="16">
        <v>10028074832</v>
      </c>
      <c r="E56" s="16">
        <v>4546923566</v>
      </c>
      <c r="F56" s="16">
        <v>11357148127</v>
      </c>
      <c r="G56" s="16">
        <v>8512996176</v>
      </c>
      <c r="H56" s="16">
        <v>6638996093</v>
      </c>
      <c r="K56" s="16">
        <v>983254995046</v>
      </c>
      <c r="L56">
        <f t="shared" si="0"/>
        <v>4.85580146783453E-2</v>
      </c>
    </row>
    <row r="57" spans="1:12" x14ac:dyDescent="0.35">
      <c r="A57" t="s">
        <v>84</v>
      </c>
      <c r="B57">
        <v>2009</v>
      </c>
      <c r="C57" s="16">
        <v>5032777353</v>
      </c>
      <c r="D57" s="16">
        <v>7101621662</v>
      </c>
      <c r="E57" s="16">
        <v>3419761490</v>
      </c>
      <c r="F57" s="16">
        <v>9650349496</v>
      </c>
      <c r="G57" s="16">
        <v>7156750353</v>
      </c>
      <c r="H57" s="16">
        <v>4577639306</v>
      </c>
      <c r="K57" s="16">
        <v>803011637765</v>
      </c>
      <c r="L57">
        <f t="shared" si="0"/>
        <v>4.6000453695554167E-2</v>
      </c>
    </row>
    <row r="58" spans="1:12" x14ac:dyDescent="0.35">
      <c r="A58" t="s">
        <v>84</v>
      </c>
      <c r="B58">
        <v>2010</v>
      </c>
      <c r="C58" s="16">
        <v>6083616568</v>
      </c>
      <c r="D58" s="16">
        <v>11039308306</v>
      </c>
      <c r="E58" s="16">
        <v>3960222988</v>
      </c>
      <c r="F58" s="16">
        <v>10487039309</v>
      </c>
      <c r="G58" s="16">
        <v>9346108841</v>
      </c>
      <c r="H58" s="16">
        <v>4863379101</v>
      </c>
      <c r="K58" s="16">
        <v>949629434497</v>
      </c>
      <c r="L58">
        <f t="shared" si="0"/>
        <v>4.8207936116942914E-2</v>
      </c>
    </row>
    <row r="59" spans="1:12" x14ac:dyDescent="0.35">
      <c r="A59" t="s">
        <v>84</v>
      </c>
      <c r="B59">
        <v>2011</v>
      </c>
      <c r="C59" s="16">
        <v>6030499007</v>
      </c>
      <c r="D59" s="16">
        <v>10215063390</v>
      </c>
      <c r="E59" s="16">
        <v>4019257508</v>
      </c>
      <c r="F59" s="16">
        <v>10059567157</v>
      </c>
      <c r="G59" s="16">
        <v>10869761856</v>
      </c>
      <c r="H59" s="16">
        <v>5312124898</v>
      </c>
      <c r="K59" s="16">
        <v>1058897262565</v>
      </c>
      <c r="L59">
        <f t="shared" si="0"/>
        <v>4.3919533518621434E-2</v>
      </c>
    </row>
    <row r="60" spans="1:12" x14ac:dyDescent="0.35">
      <c r="A60" t="s">
        <v>84</v>
      </c>
      <c r="B60">
        <v>2012</v>
      </c>
      <c r="C60" s="16">
        <v>6840891749</v>
      </c>
      <c r="D60" s="16">
        <v>8269043022</v>
      </c>
      <c r="E60" s="16">
        <v>4019481295</v>
      </c>
      <c r="F60" s="16">
        <v>9804670867</v>
      </c>
      <c r="G60" s="16">
        <v>9742076382</v>
      </c>
      <c r="H60" s="16">
        <v>5286921905</v>
      </c>
      <c r="K60" s="16">
        <v>1090529813767</v>
      </c>
      <c r="L60">
        <f t="shared" si="0"/>
        <v>4.0313510612001523E-2</v>
      </c>
    </row>
    <row r="61" spans="1:12" x14ac:dyDescent="0.35">
      <c r="A61" t="s">
        <v>84</v>
      </c>
      <c r="B61">
        <v>2013</v>
      </c>
      <c r="C61" s="16">
        <v>6909894916</v>
      </c>
      <c r="D61" s="16">
        <v>7941392046</v>
      </c>
      <c r="E61" s="16">
        <v>3701366625</v>
      </c>
      <c r="F61" s="16">
        <v>9496742984</v>
      </c>
      <c r="G61" s="16">
        <v>9235927694</v>
      </c>
      <c r="H61" s="16">
        <v>5299195209</v>
      </c>
      <c r="K61" s="16">
        <v>1088071020302</v>
      </c>
      <c r="L61">
        <f t="shared" si="0"/>
        <v>3.9137628591725968E-2</v>
      </c>
    </row>
    <row r="62" spans="1:12" x14ac:dyDescent="0.35">
      <c r="A62" t="s">
        <v>84</v>
      </c>
      <c r="B62">
        <v>2014</v>
      </c>
      <c r="C62" s="16">
        <v>7995299526</v>
      </c>
      <c r="D62" s="16">
        <v>8321605393</v>
      </c>
      <c r="E62" s="16">
        <v>3524735669</v>
      </c>
      <c r="F62" s="16">
        <v>11139925153</v>
      </c>
      <c r="G62" s="16">
        <v>9229181498</v>
      </c>
      <c r="H62" s="16">
        <v>5466000359</v>
      </c>
      <c r="K62" s="16">
        <v>1125034247406</v>
      </c>
      <c r="L62">
        <f t="shared" si="0"/>
        <v>4.0600317459950415E-2</v>
      </c>
    </row>
    <row r="63" spans="1:12" x14ac:dyDescent="0.35">
      <c r="A63" t="s">
        <v>84</v>
      </c>
      <c r="B63">
        <v>2015</v>
      </c>
      <c r="C63" s="16">
        <v>8152489863</v>
      </c>
      <c r="D63" s="16">
        <v>9617628661</v>
      </c>
      <c r="E63" s="16">
        <v>3620613352</v>
      </c>
      <c r="F63" s="16">
        <v>13141494101</v>
      </c>
      <c r="G63" s="16">
        <v>9477378838</v>
      </c>
      <c r="H63" s="16">
        <v>6214620374</v>
      </c>
      <c r="K63" s="16">
        <v>1195822377267</v>
      </c>
      <c r="L63">
        <f t="shared" si="0"/>
        <v>4.1999736870441645E-2</v>
      </c>
    </row>
    <row r="64" spans="1:12" x14ac:dyDescent="0.35">
      <c r="A64" t="s">
        <v>84</v>
      </c>
      <c r="B64">
        <v>2016</v>
      </c>
      <c r="C64" s="16">
        <v>7869822879</v>
      </c>
      <c r="D64" s="16">
        <v>10192948389</v>
      </c>
      <c r="E64" s="16">
        <v>3387105439</v>
      </c>
      <c r="F64" s="16">
        <v>12991825477</v>
      </c>
      <c r="G64" s="16">
        <v>9614248928</v>
      </c>
      <c r="H64" s="16">
        <v>6573791366</v>
      </c>
      <c r="K64" s="16">
        <v>1205488755440</v>
      </c>
      <c r="L64">
        <f t="shared" si="0"/>
        <v>4.1999348604060835E-2</v>
      </c>
    </row>
    <row r="65" spans="1:12" x14ac:dyDescent="0.35">
      <c r="A65" t="s">
        <v>84</v>
      </c>
      <c r="B65">
        <v>2017</v>
      </c>
      <c r="C65" s="16">
        <v>8893505242</v>
      </c>
      <c r="D65" s="16">
        <v>11784749406</v>
      </c>
      <c r="E65" s="16">
        <v>3761116851</v>
      </c>
      <c r="F65" s="16">
        <v>16011151774</v>
      </c>
      <c r="G65" s="16">
        <v>11281611493</v>
      </c>
      <c r="H65" s="16">
        <v>7522339531</v>
      </c>
      <c r="K65" s="16">
        <v>1281864649919</v>
      </c>
      <c r="L65">
        <f t="shared" si="0"/>
        <v>4.6225219098400321E-2</v>
      </c>
    </row>
    <row r="66" spans="1:12" x14ac:dyDescent="0.35">
      <c r="A66" t="s">
        <v>84</v>
      </c>
      <c r="B66">
        <v>2018</v>
      </c>
      <c r="C66" s="16">
        <v>9212565816</v>
      </c>
      <c r="D66" s="16">
        <v>12222425027</v>
      </c>
      <c r="E66" s="16">
        <v>3958747563</v>
      </c>
      <c r="F66" s="16">
        <v>17643141437</v>
      </c>
      <c r="G66" s="16">
        <v>11545997503</v>
      </c>
      <c r="H66" s="16">
        <v>8156305002</v>
      </c>
      <c r="K66" s="16">
        <v>1320732357366</v>
      </c>
      <c r="L66">
        <f t="shared" ref="L66:L129" si="1">SUM(C66:H66)/K66</f>
        <v>4.750332798169931E-2</v>
      </c>
    </row>
    <row r="67" spans="1:12" x14ac:dyDescent="0.35">
      <c r="A67" t="s">
        <v>84</v>
      </c>
      <c r="B67">
        <v>2019</v>
      </c>
      <c r="C67" s="16">
        <v>8967136820</v>
      </c>
      <c r="D67" s="16">
        <v>11683475409</v>
      </c>
      <c r="E67" s="16">
        <v>4234683961</v>
      </c>
      <c r="F67" s="16">
        <v>16856161693</v>
      </c>
      <c r="G67" s="16">
        <v>12010302456</v>
      </c>
      <c r="H67" s="16">
        <v>8691002357</v>
      </c>
      <c r="K67" s="16">
        <v>1330414044253</v>
      </c>
      <c r="L67">
        <f t="shared" si="1"/>
        <v>4.6934834283909203E-2</v>
      </c>
    </row>
    <row r="68" spans="1:12" x14ac:dyDescent="0.35">
      <c r="A68" t="s">
        <v>84</v>
      </c>
      <c r="B68">
        <v>2020</v>
      </c>
      <c r="C68" s="16">
        <v>9022720580</v>
      </c>
      <c r="D68" s="16">
        <v>9114643871</v>
      </c>
      <c r="E68" s="16">
        <v>5113374597</v>
      </c>
      <c r="F68" s="16">
        <v>15642394202</v>
      </c>
      <c r="G68" s="16">
        <v>11353473780</v>
      </c>
      <c r="H68" s="16">
        <v>7108929094</v>
      </c>
      <c r="K68" s="16">
        <v>1209207688452</v>
      </c>
      <c r="L68">
        <f t="shared" si="1"/>
        <v>4.7432328351654167E-2</v>
      </c>
    </row>
    <row r="69" spans="1:12" x14ac:dyDescent="0.35">
      <c r="A69" t="s">
        <v>84</v>
      </c>
      <c r="B69">
        <v>2021</v>
      </c>
      <c r="C69" s="16">
        <v>10514308759</v>
      </c>
      <c r="D69" s="16">
        <v>11382233779</v>
      </c>
      <c r="E69" s="16">
        <v>5472198757</v>
      </c>
      <c r="F69" s="16">
        <v>18440287700</v>
      </c>
      <c r="G69" s="16">
        <v>12321553156</v>
      </c>
      <c r="H69" s="16">
        <v>7888326983</v>
      </c>
      <c r="K69" s="16">
        <v>1376195465499</v>
      </c>
      <c r="L69">
        <f t="shared" si="1"/>
        <v>4.797204378962399E-2</v>
      </c>
    </row>
    <row r="70" spans="1:12" x14ac:dyDescent="0.35">
      <c r="A70" t="s">
        <v>84</v>
      </c>
      <c r="B70">
        <v>2022</v>
      </c>
      <c r="C70" s="16">
        <v>13811736985</v>
      </c>
      <c r="D70" s="16">
        <v>15952919483</v>
      </c>
      <c r="E70" s="16">
        <v>6274148709</v>
      </c>
      <c r="F70" s="16">
        <v>17550326843</v>
      </c>
      <c r="G70" s="16">
        <v>13215888160</v>
      </c>
      <c r="H70" s="16">
        <v>8552867513</v>
      </c>
      <c r="K70" s="16">
        <v>1593592951932</v>
      </c>
      <c r="L70">
        <f t="shared" si="1"/>
        <v>4.7288040275052366E-2</v>
      </c>
    </row>
    <row r="71" spans="1:12" x14ac:dyDescent="0.35">
      <c r="A71" t="s">
        <v>84</v>
      </c>
      <c r="B71">
        <v>2023</v>
      </c>
      <c r="C71" s="16">
        <v>13430108349</v>
      </c>
      <c r="D71" s="16">
        <v>17334784700</v>
      </c>
      <c r="E71" s="16">
        <v>5743468675</v>
      </c>
      <c r="F71" s="16">
        <v>15532093778</v>
      </c>
      <c r="G71" s="16">
        <v>14346667013</v>
      </c>
      <c r="H71" s="16">
        <v>9478822941</v>
      </c>
      <c r="K71" s="16">
        <v>1574462443685</v>
      </c>
      <c r="L71">
        <f t="shared" si="1"/>
        <v>4.8185300170410651E-2</v>
      </c>
    </row>
    <row r="72" spans="1:12" x14ac:dyDescent="0.35">
      <c r="A72" t="s">
        <v>84</v>
      </c>
      <c r="B72">
        <v>2024</v>
      </c>
      <c r="C72" s="16">
        <v>11758175553</v>
      </c>
      <c r="D72" s="16">
        <v>14690619168</v>
      </c>
      <c r="E72" s="16">
        <v>5776140428</v>
      </c>
      <c r="F72" s="16">
        <v>15806988735</v>
      </c>
      <c r="G72" s="16">
        <v>15009943579</v>
      </c>
      <c r="H72" s="16">
        <v>9457332718</v>
      </c>
      <c r="K72" s="16">
        <v>1548966055618</v>
      </c>
      <c r="L72">
        <f t="shared" si="1"/>
        <v>4.6804899253957227E-2</v>
      </c>
    </row>
    <row r="73" spans="1:12" x14ac:dyDescent="0.35">
      <c r="A73" t="s">
        <v>84</v>
      </c>
      <c r="B73">
        <v>2025</v>
      </c>
      <c r="C73" s="16">
        <v>12129168278</v>
      </c>
      <c r="D73" s="16">
        <v>14811890230</v>
      </c>
      <c r="E73" s="16">
        <v>6518847619</v>
      </c>
      <c r="F73" s="16">
        <v>17385415814</v>
      </c>
      <c r="G73" s="16">
        <v>14446490462</v>
      </c>
      <c r="H73" s="16">
        <v>9477825418</v>
      </c>
      <c r="K73" s="16">
        <v>1563413633078</v>
      </c>
      <c r="L73">
        <f t="shared" si="1"/>
        <v>4.7824603955765606E-2</v>
      </c>
    </row>
    <row r="74" spans="1:12" x14ac:dyDescent="0.35">
      <c r="A74" t="s">
        <v>85</v>
      </c>
      <c r="B74">
        <v>2002</v>
      </c>
      <c r="C74" s="16">
        <v>321643369</v>
      </c>
      <c r="D74" s="16">
        <v>726142798</v>
      </c>
      <c r="E74" s="16">
        <v>231443097</v>
      </c>
      <c r="F74" s="16">
        <v>925869630</v>
      </c>
      <c r="G74" s="16">
        <v>224757877</v>
      </c>
      <c r="H74" s="16">
        <v>149514392</v>
      </c>
      <c r="K74" s="16">
        <v>132917929692</v>
      </c>
      <c r="L74">
        <f t="shared" si="1"/>
        <v>1.940574284430226E-2</v>
      </c>
    </row>
    <row r="75" spans="1:12" x14ac:dyDescent="0.35">
      <c r="A75" t="s">
        <v>85</v>
      </c>
      <c r="B75">
        <v>2003</v>
      </c>
      <c r="C75" s="16">
        <v>590094869</v>
      </c>
      <c r="D75" s="16">
        <v>775344442</v>
      </c>
      <c r="E75" s="16">
        <v>334270222</v>
      </c>
      <c r="F75" s="16">
        <v>907574813</v>
      </c>
      <c r="G75" s="16">
        <v>205408933</v>
      </c>
      <c r="H75" s="16">
        <v>147227938</v>
      </c>
      <c r="K75" s="16">
        <v>138036175574</v>
      </c>
      <c r="L75">
        <f t="shared" si="1"/>
        <v>2.1443083341679599E-2</v>
      </c>
    </row>
    <row r="76" spans="1:12" x14ac:dyDescent="0.35">
      <c r="A76" t="s">
        <v>85</v>
      </c>
      <c r="B76">
        <v>2004</v>
      </c>
      <c r="C76" s="16">
        <v>538884873</v>
      </c>
      <c r="D76" s="16">
        <v>926625460</v>
      </c>
      <c r="E76" s="16">
        <v>236368825</v>
      </c>
      <c r="F76" s="16">
        <v>944543579</v>
      </c>
      <c r="G76" s="16">
        <v>218668685</v>
      </c>
      <c r="H76" s="16">
        <v>160154813</v>
      </c>
      <c r="K76" s="16">
        <v>146814730119</v>
      </c>
      <c r="L76">
        <f t="shared" si="1"/>
        <v>2.0605876757379186E-2</v>
      </c>
    </row>
    <row r="77" spans="1:12" x14ac:dyDescent="0.35">
      <c r="A77" t="s">
        <v>85</v>
      </c>
      <c r="B77">
        <v>2005</v>
      </c>
      <c r="C77" s="16">
        <v>483533206</v>
      </c>
      <c r="D77" s="16">
        <v>1079888607</v>
      </c>
      <c r="E77" s="16">
        <v>214080709</v>
      </c>
      <c r="F77" s="16">
        <v>904001553</v>
      </c>
      <c r="G77" s="16">
        <v>217205669</v>
      </c>
      <c r="H77" s="16">
        <v>182153760</v>
      </c>
      <c r="K77" s="16">
        <v>154846426833</v>
      </c>
      <c r="L77">
        <f t="shared" si="1"/>
        <v>1.9896251834875558E-2</v>
      </c>
    </row>
    <row r="78" spans="1:12" x14ac:dyDescent="0.35">
      <c r="A78" t="s">
        <v>85</v>
      </c>
      <c r="B78">
        <v>2006</v>
      </c>
      <c r="C78" s="16">
        <v>600619054</v>
      </c>
      <c r="D78" s="16">
        <v>909602362</v>
      </c>
      <c r="E78" s="16">
        <v>226021349</v>
      </c>
      <c r="F78" s="16">
        <v>774563093</v>
      </c>
      <c r="G78" s="16">
        <v>229922603</v>
      </c>
      <c r="H78" s="16">
        <v>144360723</v>
      </c>
      <c r="K78" s="16">
        <v>170210935703</v>
      </c>
      <c r="L78">
        <f t="shared" si="1"/>
        <v>1.6950081215898926E-2</v>
      </c>
    </row>
    <row r="79" spans="1:12" x14ac:dyDescent="0.35">
      <c r="A79" t="s">
        <v>85</v>
      </c>
      <c r="B79">
        <v>2007</v>
      </c>
      <c r="C79" s="16">
        <v>145678429</v>
      </c>
      <c r="D79" s="16">
        <v>403441571</v>
      </c>
      <c r="E79" s="16">
        <v>173459629</v>
      </c>
      <c r="F79" s="16">
        <v>637801732</v>
      </c>
      <c r="G79" s="16">
        <v>513170877</v>
      </c>
      <c r="H79" s="16">
        <v>266586378</v>
      </c>
      <c r="K79" s="16">
        <v>184821110393</v>
      </c>
      <c r="L79">
        <f t="shared" si="1"/>
        <v>1.1579513895621832E-2</v>
      </c>
    </row>
    <row r="80" spans="1:12" x14ac:dyDescent="0.35">
      <c r="A80" t="s">
        <v>85</v>
      </c>
      <c r="B80">
        <v>2008</v>
      </c>
      <c r="C80" s="16">
        <v>216623835</v>
      </c>
      <c r="D80" s="16">
        <v>474895013</v>
      </c>
      <c r="E80" s="16">
        <v>142230043</v>
      </c>
      <c r="F80" s="16">
        <v>489510557</v>
      </c>
      <c r="G80" s="16">
        <v>431297961</v>
      </c>
      <c r="H80" s="16">
        <v>281161266</v>
      </c>
      <c r="K80" s="16">
        <v>191387815266</v>
      </c>
      <c r="L80">
        <f t="shared" si="1"/>
        <v>1.0636615879494001E-2</v>
      </c>
    </row>
    <row r="81" spans="1:12" x14ac:dyDescent="0.35">
      <c r="A81" t="s">
        <v>85</v>
      </c>
      <c r="B81">
        <v>2009</v>
      </c>
      <c r="C81" s="16">
        <v>170301786</v>
      </c>
      <c r="D81" s="16">
        <v>665391998</v>
      </c>
      <c r="E81" s="16">
        <v>118005418</v>
      </c>
      <c r="F81" s="16">
        <v>554892384</v>
      </c>
      <c r="G81" s="16">
        <v>375311915</v>
      </c>
      <c r="H81" s="16">
        <v>289323888</v>
      </c>
      <c r="K81" s="16">
        <v>162989969881</v>
      </c>
      <c r="L81">
        <f t="shared" si="1"/>
        <v>1.333350383822199E-2</v>
      </c>
    </row>
    <row r="82" spans="1:12" x14ac:dyDescent="0.35">
      <c r="A82" t="s">
        <v>85</v>
      </c>
      <c r="B82">
        <v>2010</v>
      </c>
      <c r="C82" s="16">
        <v>120716910</v>
      </c>
      <c r="D82" s="16">
        <v>1404770737</v>
      </c>
      <c r="E82" s="16">
        <v>126023903</v>
      </c>
      <c r="F82" s="16">
        <v>573011544</v>
      </c>
      <c r="G82" s="16">
        <v>418072735</v>
      </c>
      <c r="H82" s="16">
        <v>255479794</v>
      </c>
      <c r="K82" s="16">
        <v>191911885215</v>
      </c>
      <c r="L82">
        <f t="shared" si="1"/>
        <v>1.5101074223481621E-2</v>
      </c>
    </row>
    <row r="83" spans="1:12" x14ac:dyDescent="0.35">
      <c r="A83" t="s">
        <v>85</v>
      </c>
      <c r="B83">
        <v>2011</v>
      </c>
      <c r="C83" s="16">
        <v>146778067</v>
      </c>
      <c r="D83" s="16">
        <v>1016241200</v>
      </c>
      <c r="E83" s="16">
        <v>157309221</v>
      </c>
      <c r="F83" s="16">
        <v>583558056</v>
      </c>
      <c r="G83" s="16">
        <v>476149354</v>
      </c>
      <c r="H83" s="16">
        <v>286145626</v>
      </c>
      <c r="K83" s="16">
        <v>220223268398</v>
      </c>
      <c r="L83">
        <f t="shared" si="1"/>
        <v>1.2106720345197698E-2</v>
      </c>
    </row>
    <row r="84" spans="1:12" x14ac:dyDescent="0.35">
      <c r="A84" t="s">
        <v>85</v>
      </c>
      <c r="B84">
        <v>2012</v>
      </c>
      <c r="C84" s="16">
        <v>213421400</v>
      </c>
      <c r="D84" s="16">
        <v>417361009</v>
      </c>
      <c r="E84" s="16">
        <v>176000399</v>
      </c>
      <c r="F84" s="16">
        <v>523966868</v>
      </c>
      <c r="G84" s="16">
        <v>561312521</v>
      </c>
      <c r="H84" s="16">
        <v>284221809</v>
      </c>
      <c r="K84" s="16">
        <v>229802325632</v>
      </c>
      <c r="L84">
        <f t="shared" si="1"/>
        <v>9.4702436105239835E-3</v>
      </c>
    </row>
    <row r="85" spans="1:12" x14ac:dyDescent="0.35">
      <c r="A85" t="s">
        <v>85</v>
      </c>
      <c r="B85">
        <v>2013</v>
      </c>
      <c r="C85" s="16">
        <v>176313530</v>
      </c>
      <c r="D85" s="16">
        <v>260183468</v>
      </c>
      <c r="E85" s="16">
        <v>198883432</v>
      </c>
      <c r="F85" s="16">
        <v>544566023</v>
      </c>
      <c r="G85" s="16">
        <v>619682404</v>
      </c>
      <c r="H85" s="16">
        <v>410891633</v>
      </c>
      <c r="K85" s="16">
        <v>239310686689</v>
      </c>
      <c r="L85">
        <f t="shared" si="1"/>
        <v>9.237032079861594E-3</v>
      </c>
    </row>
    <row r="86" spans="1:12" x14ac:dyDescent="0.35">
      <c r="A86" t="s">
        <v>85</v>
      </c>
      <c r="B86">
        <v>2014</v>
      </c>
      <c r="C86" s="16">
        <v>219970006</v>
      </c>
      <c r="D86" s="16">
        <v>240871291</v>
      </c>
      <c r="E86" s="16">
        <v>269477547</v>
      </c>
      <c r="F86" s="16">
        <v>493504510</v>
      </c>
      <c r="G86" s="16">
        <v>628201715</v>
      </c>
      <c r="H86" s="16">
        <v>357434971</v>
      </c>
      <c r="K86" s="16">
        <v>244287173829</v>
      </c>
      <c r="L86">
        <f t="shared" si="1"/>
        <v>9.0445192245197977E-3</v>
      </c>
    </row>
    <row r="87" spans="1:12" x14ac:dyDescent="0.35">
      <c r="A87" t="s">
        <v>85</v>
      </c>
      <c r="B87">
        <v>2015</v>
      </c>
      <c r="C87" s="16">
        <v>223077246</v>
      </c>
      <c r="D87" s="16">
        <v>258875008</v>
      </c>
      <c r="E87" s="16">
        <v>245165806</v>
      </c>
      <c r="F87" s="16">
        <v>585651648</v>
      </c>
      <c r="G87" s="16">
        <v>627792649</v>
      </c>
      <c r="H87" s="16">
        <v>351207893</v>
      </c>
      <c r="K87" s="16">
        <v>254599445334</v>
      </c>
      <c r="L87">
        <f t="shared" si="1"/>
        <v>9.0014738523625133E-3</v>
      </c>
    </row>
    <row r="88" spans="1:12" x14ac:dyDescent="0.35">
      <c r="A88" t="s">
        <v>85</v>
      </c>
      <c r="B88">
        <v>2016</v>
      </c>
      <c r="C88" s="16">
        <v>231172149</v>
      </c>
      <c r="D88" s="16">
        <v>390205907</v>
      </c>
      <c r="E88" s="16">
        <v>268561415</v>
      </c>
      <c r="F88" s="16">
        <v>605963090</v>
      </c>
      <c r="G88" s="16">
        <v>656657070</v>
      </c>
      <c r="H88" s="16">
        <v>341510470</v>
      </c>
      <c r="K88" s="16">
        <v>262041297932</v>
      </c>
      <c r="L88">
        <f t="shared" si="1"/>
        <v>9.5178512726158682E-3</v>
      </c>
    </row>
    <row r="89" spans="1:12" x14ac:dyDescent="0.35">
      <c r="A89" t="s">
        <v>85</v>
      </c>
      <c r="B89">
        <v>2017</v>
      </c>
      <c r="C89" s="16">
        <v>279330931</v>
      </c>
      <c r="D89" s="16">
        <v>361561717</v>
      </c>
      <c r="E89" s="16">
        <v>269912372</v>
      </c>
      <c r="F89" s="16">
        <v>860832848</v>
      </c>
      <c r="G89" s="16">
        <v>724719945</v>
      </c>
      <c r="H89" s="16">
        <v>347125187</v>
      </c>
      <c r="K89" s="16">
        <v>283094637355</v>
      </c>
      <c r="L89">
        <f t="shared" si="1"/>
        <v>1.0044284224410366E-2</v>
      </c>
    </row>
    <row r="90" spans="1:12" x14ac:dyDescent="0.35">
      <c r="A90" t="s">
        <v>85</v>
      </c>
      <c r="B90">
        <v>2018</v>
      </c>
      <c r="C90" s="16">
        <v>315412232</v>
      </c>
      <c r="D90" s="16">
        <v>390587992</v>
      </c>
      <c r="E90" s="16">
        <v>276676252</v>
      </c>
      <c r="F90" s="16">
        <v>777628704</v>
      </c>
      <c r="G90" s="16">
        <v>708150031</v>
      </c>
      <c r="H90" s="16">
        <v>420618840</v>
      </c>
      <c r="K90" s="16">
        <v>293458781580</v>
      </c>
      <c r="L90">
        <f t="shared" si="1"/>
        <v>9.8449057664761266E-3</v>
      </c>
    </row>
    <row r="91" spans="1:12" x14ac:dyDescent="0.35">
      <c r="A91" t="s">
        <v>85</v>
      </c>
      <c r="B91">
        <v>2019</v>
      </c>
      <c r="C91" s="16">
        <v>321780318</v>
      </c>
      <c r="D91" s="16">
        <v>426382304</v>
      </c>
      <c r="E91" s="16">
        <v>253120797</v>
      </c>
      <c r="F91" s="16">
        <v>896647290</v>
      </c>
      <c r="G91" s="16">
        <v>699022140</v>
      </c>
      <c r="H91" s="16">
        <v>454632051</v>
      </c>
      <c r="K91" s="16">
        <v>298336951710</v>
      </c>
      <c r="L91">
        <f t="shared" si="1"/>
        <v>1.0228652141509809E-2</v>
      </c>
    </row>
    <row r="92" spans="1:12" x14ac:dyDescent="0.35">
      <c r="A92" t="s">
        <v>85</v>
      </c>
      <c r="B92">
        <v>2020</v>
      </c>
      <c r="C92" s="16">
        <v>314345841</v>
      </c>
      <c r="D92" s="16">
        <v>446923470</v>
      </c>
      <c r="E92" s="16">
        <v>287218505</v>
      </c>
      <c r="F92" s="16">
        <v>894637078</v>
      </c>
      <c r="G92" s="16">
        <v>520580525</v>
      </c>
      <c r="H92" s="16">
        <v>387760386</v>
      </c>
      <c r="K92" s="16">
        <v>269520957338</v>
      </c>
      <c r="L92">
        <f t="shared" si="1"/>
        <v>1.0579755404415704E-2</v>
      </c>
    </row>
    <row r="93" spans="1:12" x14ac:dyDescent="0.35">
      <c r="A93" t="s">
        <v>85</v>
      </c>
      <c r="B93">
        <v>2021</v>
      </c>
      <c r="C93" s="16">
        <v>324790661</v>
      </c>
      <c r="D93" s="16">
        <v>512242464</v>
      </c>
      <c r="E93" s="16">
        <v>274078914</v>
      </c>
      <c r="F93" s="16">
        <v>1057123323</v>
      </c>
      <c r="G93" s="16">
        <v>577429083</v>
      </c>
      <c r="H93" s="16">
        <v>428891103</v>
      </c>
      <c r="K93" s="16">
        <v>321434913571</v>
      </c>
      <c r="L93">
        <f t="shared" si="1"/>
        <v>9.8762001698324848E-3</v>
      </c>
    </row>
    <row r="94" spans="1:12" x14ac:dyDescent="0.35">
      <c r="A94" t="s">
        <v>85</v>
      </c>
      <c r="B94">
        <v>2022</v>
      </c>
      <c r="C94" s="16">
        <v>399272077</v>
      </c>
      <c r="D94" s="16">
        <v>640229627</v>
      </c>
      <c r="E94" s="16">
        <v>321986337</v>
      </c>
      <c r="F94" s="16">
        <v>975739026</v>
      </c>
      <c r="G94" s="16">
        <v>664978825</v>
      </c>
      <c r="H94" s="16">
        <v>493949239</v>
      </c>
      <c r="K94" s="16">
        <v>394896947052</v>
      </c>
      <c r="L94">
        <f t="shared" si="1"/>
        <v>8.8533354261146682E-3</v>
      </c>
    </row>
    <row r="95" spans="1:12" x14ac:dyDescent="0.35">
      <c r="A95" t="s">
        <v>85</v>
      </c>
      <c r="B95">
        <v>2023</v>
      </c>
      <c r="C95" s="16">
        <v>496207707</v>
      </c>
      <c r="D95" s="16">
        <v>697597661</v>
      </c>
      <c r="E95" s="16">
        <v>333724732</v>
      </c>
      <c r="F95" s="16">
        <v>995486710</v>
      </c>
      <c r="G95" s="16">
        <v>701692797</v>
      </c>
      <c r="H95" s="16">
        <v>556049590</v>
      </c>
      <c r="K95" s="16">
        <v>390839979734</v>
      </c>
      <c r="L95">
        <f t="shared" si="1"/>
        <v>9.673419795930626E-3</v>
      </c>
    </row>
    <row r="96" spans="1:12" x14ac:dyDescent="0.35">
      <c r="A96" t="s">
        <v>85</v>
      </c>
      <c r="B96">
        <v>2024</v>
      </c>
      <c r="C96" s="16">
        <v>521008696</v>
      </c>
      <c r="D96" s="16">
        <v>641670254</v>
      </c>
      <c r="E96" s="16">
        <v>358199186</v>
      </c>
      <c r="F96" s="16">
        <v>1058307592</v>
      </c>
      <c r="G96" s="16">
        <v>814934668</v>
      </c>
      <c r="H96" s="16">
        <v>552863130</v>
      </c>
      <c r="K96" s="16">
        <v>396086532643</v>
      </c>
      <c r="L96">
        <f t="shared" si="1"/>
        <v>9.9649526068524234E-3</v>
      </c>
    </row>
    <row r="97" spans="1:12" x14ac:dyDescent="0.35">
      <c r="A97" t="s">
        <v>85</v>
      </c>
      <c r="B97">
        <v>2025</v>
      </c>
      <c r="C97" s="16">
        <v>566043216</v>
      </c>
      <c r="D97" s="16">
        <v>711234615</v>
      </c>
      <c r="E97" s="16">
        <v>350729133</v>
      </c>
      <c r="F97" s="16">
        <v>1152041600</v>
      </c>
      <c r="G97" s="16">
        <v>709123168</v>
      </c>
      <c r="H97" s="16">
        <v>608530107</v>
      </c>
      <c r="K97" s="16">
        <v>394380316852</v>
      </c>
      <c r="L97">
        <f t="shared" si="1"/>
        <v>1.0390229085742516E-2</v>
      </c>
    </row>
    <row r="98" spans="1:12" x14ac:dyDescent="0.35">
      <c r="A98" t="s">
        <v>86</v>
      </c>
      <c r="B98">
        <v>2002</v>
      </c>
      <c r="C98" s="16">
        <v>911232792</v>
      </c>
      <c r="D98" s="16">
        <v>849200931</v>
      </c>
      <c r="E98" s="16">
        <v>248448774</v>
      </c>
      <c r="F98" s="16">
        <v>94981548</v>
      </c>
      <c r="G98" s="16">
        <v>274068709</v>
      </c>
      <c r="H98" s="16">
        <v>116070156</v>
      </c>
      <c r="K98" s="16">
        <v>47742334309</v>
      </c>
      <c r="L98">
        <f t="shared" si="1"/>
        <v>5.2238813750877924E-2</v>
      </c>
    </row>
    <row r="99" spans="1:12" x14ac:dyDescent="0.35">
      <c r="A99" t="s">
        <v>86</v>
      </c>
      <c r="B99">
        <v>2003</v>
      </c>
      <c r="C99" s="16">
        <v>905878004</v>
      </c>
      <c r="D99" s="16">
        <v>606864113</v>
      </c>
      <c r="E99" s="16">
        <v>216312418</v>
      </c>
      <c r="F99" s="16">
        <v>82416549</v>
      </c>
      <c r="G99" s="16">
        <v>218588804</v>
      </c>
      <c r="H99" s="16">
        <v>100896839</v>
      </c>
      <c r="K99" s="16">
        <v>47004146190</v>
      </c>
      <c r="L99">
        <f t="shared" si="1"/>
        <v>4.5335505476181912E-2</v>
      </c>
    </row>
    <row r="100" spans="1:12" x14ac:dyDescent="0.35">
      <c r="A100" t="s">
        <v>86</v>
      </c>
      <c r="B100">
        <v>2004</v>
      </c>
      <c r="C100" s="16">
        <v>985971202</v>
      </c>
      <c r="D100" s="16">
        <v>915828379</v>
      </c>
      <c r="E100" s="16">
        <v>194307946</v>
      </c>
      <c r="F100" s="16">
        <v>185919451</v>
      </c>
      <c r="G100" s="16">
        <v>223344061</v>
      </c>
      <c r="H100" s="16">
        <v>113310859</v>
      </c>
      <c r="K100" s="16">
        <v>49457596095</v>
      </c>
      <c r="L100">
        <f t="shared" si="1"/>
        <v>5.2948022240505543E-2</v>
      </c>
    </row>
    <row r="101" spans="1:12" x14ac:dyDescent="0.35">
      <c r="A101" t="s">
        <v>86</v>
      </c>
      <c r="B101">
        <v>2005</v>
      </c>
      <c r="C101" s="16">
        <v>919406274</v>
      </c>
      <c r="D101" s="16">
        <v>974756852</v>
      </c>
      <c r="E101" s="16">
        <v>261164657</v>
      </c>
      <c r="F101" s="16">
        <v>243283123</v>
      </c>
      <c r="G101" s="16">
        <v>236121244</v>
      </c>
      <c r="H101" s="16">
        <v>115754460</v>
      </c>
      <c r="K101" s="16">
        <v>52646585063</v>
      </c>
      <c r="L101">
        <f t="shared" si="1"/>
        <v>5.2244349879647579E-2</v>
      </c>
    </row>
    <row r="102" spans="1:12" x14ac:dyDescent="0.35">
      <c r="A102" t="s">
        <v>86</v>
      </c>
      <c r="B102">
        <v>2006</v>
      </c>
      <c r="C102" s="16">
        <v>822607912</v>
      </c>
      <c r="D102" s="16">
        <v>750389703</v>
      </c>
      <c r="E102" s="16">
        <v>347222006</v>
      </c>
      <c r="F102" s="16">
        <v>281491935</v>
      </c>
      <c r="G102" s="16">
        <v>220082422</v>
      </c>
      <c r="H102" s="16">
        <v>78831878</v>
      </c>
      <c r="K102" s="16">
        <v>61489232025</v>
      </c>
      <c r="L102">
        <f t="shared" si="1"/>
        <v>4.0667703492919011E-2</v>
      </c>
    </row>
    <row r="103" spans="1:12" x14ac:dyDescent="0.35">
      <c r="A103" t="s">
        <v>86</v>
      </c>
      <c r="B103">
        <v>2007</v>
      </c>
      <c r="C103" s="16">
        <v>158065465</v>
      </c>
      <c r="D103" s="16">
        <v>135525218</v>
      </c>
      <c r="E103" s="16">
        <v>322486556</v>
      </c>
      <c r="F103" s="16">
        <v>190081304</v>
      </c>
      <c r="G103" s="16">
        <v>525577549</v>
      </c>
      <c r="H103" s="16">
        <v>244646018</v>
      </c>
      <c r="K103" s="16">
        <v>65687615885</v>
      </c>
      <c r="L103">
        <f t="shared" si="1"/>
        <v>2.3998162952964967E-2</v>
      </c>
    </row>
    <row r="104" spans="1:12" x14ac:dyDescent="0.35">
      <c r="A104" t="s">
        <v>86</v>
      </c>
      <c r="B104">
        <v>2008</v>
      </c>
      <c r="C104" s="16">
        <v>144917203</v>
      </c>
      <c r="D104" s="16">
        <v>124143390</v>
      </c>
      <c r="E104" s="16">
        <v>245815190</v>
      </c>
      <c r="F104" s="16">
        <v>167464829</v>
      </c>
      <c r="G104" s="16">
        <v>756810427</v>
      </c>
      <c r="H104" s="16">
        <v>287619635</v>
      </c>
      <c r="K104" s="16">
        <v>65580218842</v>
      </c>
      <c r="L104">
        <f t="shared" si="1"/>
        <v>2.6330663491078685E-2</v>
      </c>
    </row>
    <row r="105" spans="1:12" x14ac:dyDescent="0.35">
      <c r="A105" t="s">
        <v>86</v>
      </c>
      <c r="B105">
        <v>2009</v>
      </c>
      <c r="C105" s="16">
        <v>99880425</v>
      </c>
      <c r="D105" s="16">
        <v>90221045</v>
      </c>
      <c r="E105" s="16">
        <v>173149717</v>
      </c>
      <c r="F105" s="16">
        <v>132543120</v>
      </c>
      <c r="G105" s="16">
        <v>617860531</v>
      </c>
      <c r="H105" s="16">
        <v>210035561</v>
      </c>
      <c r="K105" s="16">
        <v>45063410169</v>
      </c>
      <c r="L105">
        <f t="shared" si="1"/>
        <v>2.9373950929053132E-2</v>
      </c>
    </row>
    <row r="106" spans="1:12" x14ac:dyDescent="0.35">
      <c r="A106" t="s">
        <v>86</v>
      </c>
      <c r="B106">
        <v>2010</v>
      </c>
      <c r="C106" s="16">
        <v>119286497</v>
      </c>
      <c r="D106" s="16">
        <v>85307021</v>
      </c>
      <c r="E106" s="16">
        <v>199497932</v>
      </c>
      <c r="F106" s="16">
        <v>115405509</v>
      </c>
      <c r="G106" s="16">
        <v>728546300</v>
      </c>
      <c r="H106" s="16">
        <v>155248235</v>
      </c>
      <c r="K106" s="16">
        <v>52438586658</v>
      </c>
      <c r="L106">
        <f t="shared" si="1"/>
        <v>2.6760665827096901E-2</v>
      </c>
    </row>
    <row r="107" spans="1:12" x14ac:dyDescent="0.35">
      <c r="A107" t="s">
        <v>86</v>
      </c>
      <c r="B107">
        <v>2011</v>
      </c>
      <c r="C107" s="16">
        <v>135868493</v>
      </c>
      <c r="D107" s="16">
        <v>90524160</v>
      </c>
      <c r="E107" s="16">
        <v>220978214</v>
      </c>
      <c r="F107" s="16">
        <v>123170544</v>
      </c>
      <c r="G107" s="16">
        <v>628328553</v>
      </c>
      <c r="H107" s="16">
        <v>156395743</v>
      </c>
      <c r="K107" s="16">
        <v>56855201762</v>
      </c>
      <c r="L107">
        <f t="shared" si="1"/>
        <v>2.3837145327058034E-2</v>
      </c>
    </row>
    <row r="108" spans="1:12" x14ac:dyDescent="0.35">
      <c r="A108" t="s">
        <v>86</v>
      </c>
      <c r="B108">
        <v>2012</v>
      </c>
      <c r="C108" s="16">
        <v>150105168</v>
      </c>
      <c r="D108" s="16">
        <v>94184662</v>
      </c>
      <c r="E108" s="16">
        <v>217337525</v>
      </c>
      <c r="F108" s="16">
        <v>139009532</v>
      </c>
      <c r="G108" s="16">
        <v>713984903</v>
      </c>
      <c r="H108" s="16">
        <v>176126903</v>
      </c>
      <c r="K108" s="16">
        <v>56878038019</v>
      </c>
      <c r="L108">
        <f t="shared" si="1"/>
        <v>2.6209566027963521E-2</v>
      </c>
    </row>
    <row r="109" spans="1:12" x14ac:dyDescent="0.35">
      <c r="A109" t="s">
        <v>86</v>
      </c>
      <c r="B109">
        <v>2013</v>
      </c>
      <c r="C109" s="16">
        <v>155025554</v>
      </c>
      <c r="D109" s="16">
        <v>102679322</v>
      </c>
      <c r="E109" s="16">
        <v>223209925</v>
      </c>
      <c r="F109" s="16">
        <v>137041951</v>
      </c>
      <c r="G109" s="16">
        <v>633360762</v>
      </c>
      <c r="H109" s="16">
        <v>183323420</v>
      </c>
      <c r="K109" s="16">
        <v>56047548977</v>
      </c>
      <c r="L109">
        <f t="shared" si="1"/>
        <v>2.5596854103088925E-2</v>
      </c>
    </row>
    <row r="110" spans="1:12" x14ac:dyDescent="0.35">
      <c r="A110" t="s">
        <v>86</v>
      </c>
      <c r="B110">
        <v>2014</v>
      </c>
      <c r="C110" s="16">
        <v>217472555</v>
      </c>
      <c r="D110" s="16">
        <v>134514086</v>
      </c>
      <c r="E110" s="16">
        <v>224349947</v>
      </c>
      <c r="F110" s="16">
        <v>145076785</v>
      </c>
      <c r="G110" s="16">
        <v>522654881</v>
      </c>
      <c r="H110" s="16">
        <v>200353916</v>
      </c>
      <c r="K110" s="16">
        <v>55973290788</v>
      </c>
      <c r="L110">
        <f t="shared" si="1"/>
        <v>2.5805561003564698E-2</v>
      </c>
    </row>
    <row r="111" spans="1:12" x14ac:dyDescent="0.35">
      <c r="A111" t="s">
        <v>86</v>
      </c>
      <c r="B111">
        <v>2015</v>
      </c>
      <c r="C111" s="16">
        <v>215129730</v>
      </c>
      <c r="D111" s="16">
        <v>146134713</v>
      </c>
      <c r="E111" s="16">
        <v>185270654</v>
      </c>
      <c r="F111" s="16">
        <v>139604586</v>
      </c>
      <c r="G111" s="16">
        <v>502672657</v>
      </c>
      <c r="H111" s="16">
        <v>225068988</v>
      </c>
      <c r="K111" s="16">
        <v>53951342335</v>
      </c>
      <c r="L111">
        <f t="shared" si="1"/>
        <v>2.6206601482142714E-2</v>
      </c>
    </row>
    <row r="112" spans="1:12" x14ac:dyDescent="0.35">
      <c r="A112" t="s">
        <v>86</v>
      </c>
      <c r="B112">
        <v>2016</v>
      </c>
      <c r="C112" s="16">
        <v>288470129</v>
      </c>
      <c r="D112" s="16">
        <v>155044460</v>
      </c>
      <c r="E112" s="16">
        <v>137582872</v>
      </c>
      <c r="F112" s="16">
        <v>169122300</v>
      </c>
      <c r="G112" s="16">
        <v>426929809</v>
      </c>
      <c r="H112" s="16">
        <v>279620900</v>
      </c>
      <c r="K112" s="16">
        <v>52321322993</v>
      </c>
      <c r="L112">
        <f t="shared" si="1"/>
        <v>2.7842768238006889E-2</v>
      </c>
    </row>
    <row r="113" spans="1:12" x14ac:dyDescent="0.35">
      <c r="A113" t="s">
        <v>86</v>
      </c>
      <c r="B113">
        <v>2017</v>
      </c>
      <c r="C113" s="16">
        <v>372092193</v>
      </c>
      <c r="D113" s="16">
        <v>150414826</v>
      </c>
      <c r="E113" s="16">
        <v>161186691</v>
      </c>
      <c r="F113" s="16">
        <v>160195092</v>
      </c>
      <c r="G113" s="16">
        <v>434393975</v>
      </c>
      <c r="H113" s="16">
        <v>224102772</v>
      </c>
      <c r="K113" s="16">
        <v>60239193331</v>
      </c>
      <c r="L113">
        <f t="shared" si="1"/>
        <v>2.4940333127383526E-2</v>
      </c>
    </row>
    <row r="114" spans="1:12" x14ac:dyDescent="0.35">
      <c r="A114" t="s">
        <v>86</v>
      </c>
      <c r="B114">
        <v>2018</v>
      </c>
      <c r="C114" s="16">
        <v>348703938</v>
      </c>
      <c r="D114" s="16">
        <v>130594934</v>
      </c>
      <c r="E114" s="16">
        <v>172540677</v>
      </c>
      <c r="F114" s="16">
        <v>159599187</v>
      </c>
      <c r="G114" s="16">
        <v>431678646</v>
      </c>
      <c r="H114" s="16">
        <v>273733800</v>
      </c>
      <c r="K114" s="16">
        <v>64235762122</v>
      </c>
      <c r="L114">
        <f t="shared" si="1"/>
        <v>2.3613811557479696E-2</v>
      </c>
    </row>
    <row r="115" spans="1:12" x14ac:dyDescent="0.35">
      <c r="A115" t="s">
        <v>86</v>
      </c>
      <c r="B115">
        <v>2019</v>
      </c>
      <c r="C115" s="16">
        <v>284077871</v>
      </c>
      <c r="D115" s="16">
        <v>102345028</v>
      </c>
      <c r="E115" s="16">
        <v>220699585</v>
      </c>
      <c r="F115" s="16">
        <v>202882116</v>
      </c>
      <c r="G115" s="16">
        <v>442340074</v>
      </c>
      <c r="H115" s="16">
        <v>306308091</v>
      </c>
      <c r="K115" s="16">
        <v>65615478371</v>
      </c>
      <c r="L115">
        <f t="shared" si="1"/>
        <v>2.3754345829609558E-2</v>
      </c>
    </row>
    <row r="116" spans="1:12" x14ac:dyDescent="0.35">
      <c r="A116" t="s">
        <v>86</v>
      </c>
      <c r="B116">
        <v>2020</v>
      </c>
      <c r="C116" s="16">
        <v>234166708</v>
      </c>
      <c r="D116" s="16">
        <v>69796620</v>
      </c>
      <c r="E116" s="16">
        <v>189767706</v>
      </c>
      <c r="F116" s="16">
        <v>163344139</v>
      </c>
      <c r="G116" s="16">
        <v>484276936</v>
      </c>
      <c r="H116" s="16">
        <v>306898472</v>
      </c>
      <c r="K116" s="16">
        <v>57874462310</v>
      </c>
      <c r="L116">
        <f t="shared" si="1"/>
        <v>2.5024000624706624E-2</v>
      </c>
    </row>
    <row r="117" spans="1:12" x14ac:dyDescent="0.35">
      <c r="A117" t="s">
        <v>86</v>
      </c>
      <c r="B117">
        <v>2021</v>
      </c>
      <c r="C117" s="16">
        <v>325068191</v>
      </c>
      <c r="D117" s="16">
        <v>61355522</v>
      </c>
      <c r="E117" s="16">
        <v>264348529</v>
      </c>
      <c r="F117" s="16">
        <v>197260405</v>
      </c>
      <c r="G117" s="16">
        <v>506291790</v>
      </c>
      <c r="H117" s="16">
        <v>298718749</v>
      </c>
      <c r="K117" s="16">
        <v>69471294545</v>
      </c>
      <c r="L117">
        <f t="shared" si="1"/>
        <v>2.3794621891337322E-2</v>
      </c>
    </row>
    <row r="118" spans="1:12" x14ac:dyDescent="0.35">
      <c r="A118" t="s">
        <v>86</v>
      </c>
      <c r="B118">
        <v>2022</v>
      </c>
      <c r="C118" s="16">
        <v>812979734</v>
      </c>
      <c r="D118" s="16">
        <v>102590014</v>
      </c>
      <c r="E118" s="16">
        <v>140854348</v>
      </c>
      <c r="F118" s="16">
        <v>257540930</v>
      </c>
      <c r="G118" s="16">
        <v>630502587</v>
      </c>
      <c r="H118" s="16">
        <v>400201657</v>
      </c>
      <c r="K118" s="16">
        <v>81884667895</v>
      </c>
      <c r="L118">
        <f t="shared" si="1"/>
        <v>2.8633800811240378E-2</v>
      </c>
    </row>
    <row r="119" spans="1:12" x14ac:dyDescent="0.35">
      <c r="A119" t="s">
        <v>86</v>
      </c>
      <c r="B119">
        <v>2023</v>
      </c>
      <c r="C119" s="16">
        <v>626919173</v>
      </c>
      <c r="D119" s="16">
        <v>90778962</v>
      </c>
      <c r="E119" s="16">
        <v>97904749</v>
      </c>
      <c r="F119" s="16">
        <v>276125877</v>
      </c>
      <c r="G119" s="16">
        <v>592868776</v>
      </c>
      <c r="H119" s="16">
        <v>408554969</v>
      </c>
      <c r="K119" s="16">
        <v>76362024306</v>
      </c>
      <c r="L119">
        <f t="shared" si="1"/>
        <v>2.7410909087641024E-2</v>
      </c>
    </row>
    <row r="120" spans="1:12" x14ac:dyDescent="0.35">
      <c r="A120" t="s">
        <v>86</v>
      </c>
      <c r="B120">
        <v>2024</v>
      </c>
      <c r="C120" s="16">
        <v>415374930</v>
      </c>
      <c r="D120" s="16">
        <v>98156736</v>
      </c>
      <c r="E120" s="16">
        <v>118553164</v>
      </c>
      <c r="F120" s="16">
        <v>205150021</v>
      </c>
      <c r="G120" s="16">
        <v>716666857</v>
      </c>
      <c r="H120" s="16">
        <v>459450601</v>
      </c>
      <c r="K120" s="16">
        <v>72126011126</v>
      </c>
      <c r="L120">
        <f t="shared" si="1"/>
        <v>2.791437204925681E-2</v>
      </c>
    </row>
    <row r="121" spans="1:12" x14ac:dyDescent="0.35">
      <c r="A121" t="s">
        <v>86</v>
      </c>
      <c r="B121">
        <v>2025</v>
      </c>
      <c r="C121" s="16">
        <v>509718269</v>
      </c>
      <c r="D121" s="16">
        <v>107116902</v>
      </c>
      <c r="E121" s="16">
        <v>128815917</v>
      </c>
      <c r="F121" s="16">
        <v>225684117</v>
      </c>
      <c r="G121" s="16">
        <v>634323904</v>
      </c>
      <c r="H121" s="16">
        <v>507586580</v>
      </c>
      <c r="K121" s="16">
        <v>74279238204</v>
      </c>
      <c r="L121">
        <f t="shared" si="1"/>
        <v>2.8450018337509011E-2</v>
      </c>
    </row>
    <row r="122" spans="1:12" x14ac:dyDescent="0.35">
      <c r="A122" t="s">
        <v>87</v>
      </c>
      <c r="B122">
        <v>2002</v>
      </c>
      <c r="C122" s="16">
        <v>4773352957</v>
      </c>
      <c r="D122" s="16">
        <v>3871962902</v>
      </c>
      <c r="E122" s="16">
        <v>2509316130</v>
      </c>
      <c r="F122" s="16">
        <v>5175774031</v>
      </c>
      <c r="G122" s="16">
        <v>909825939</v>
      </c>
      <c r="H122" s="16">
        <v>526697821</v>
      </c>
      <c r="K122" s="16">
        <v>350802851259</v>
      </c>
      <c r="L122">
        <f t="shared" si="1"/>
        <v>5.0646480540953644E-2</v>
      </c>
    </row>
    <row r="123" spans="1:12" x14ac:dyDescent="0.35">
      <c r="A123" t="s">
        <v>87</v>
      </c>
      <c r="B123">
        <v>2003</v>
      </c>
      <c r="C123" s="16">
        <v>4349100516</v>
      </c>
      <c r="D123" s="16">
        <v>3426888396</v>
      </c>
      <c r="E123" s="16">
        <v>2089665243</v>
      </c>
      <c r="F123" s="16">
        <v>4534392671</v>
      </c>
      <c r="G123" s="16">
        <v>742151709</v>
      </c>
      <c r="H123" s="16">
        <v>512739267</v>
      </c>
      <c r="K123" s="16">
        <v>346569333140</v>
      </c>
      <c r="L123">
        <f t="shared" si="1"/>
        <v>4.5171157125076723E-2</v>
      </c>
    </row>
    <row r="124" spans="1:12" x14ac:dyDescent="0.35">
      <c r="A124" t="s">
        <v>87</v>
      </c>
      <c r="B124">
        <v>2004</v>
      </c>
      <c r="C124" s="16">
        <v>4051307985</v>
      </c>
      <c r="D124" s="16">
        <v>4169567937</v>
      </c>
      <c r="E124" s="16">
        <v>2085296949</v>
      </c>
      <c r="F124" s="16">
        <v>4373516773</v>
      </c>
      <c r="G124" s="16">
        <v>806954483</v>
      </c>
      <c r="H124" s="16">
        <v>570540922</v>
      </c>
      <c r="K124" s="16">
        <v>363458356637</v>
      </c>
      <c r="L124">
        <f t="shared" si="1"/>
        <v>4.4178885299470318E-2</v>
      </c>
    </row>
    <row r="125" spans="1:12" x14ac:dyDescent="0.35">
      <c r="A125" t="s">
        <v>87</v>
      </c>
      <c r="B125">
        <v>2005</v>
      </c>
      <c r="C125" s="16">
        <v>4329834418</v>
      </c>
      <c r="D125" s="16">
        <v>3952172828</v>
      </c>
      <c r="E125" s="16">
        <v>1915336574</v>
      </c>
      <c r="F125" s="16">
        <v>3809169461</v>
      </c>
      <c r="G125" s="16">
        <v>862017235</v>
      </c>
      <c r="H125" s="16">
        <v>603784644</v>
      </c>
      <c r="K125" s="16">
        <v>372500568812</v>
      </c>
      <c r="L125">
        <f t="shared" si="1"/>
        <v>4.1536353110399771E-2</v>
      </c>
    </row>
    <row r="126" spans="1:12" x14ac:dyDescent="0.35">
      <c r="A126" t="s">
        <v>87</v>
      </c>
      <c r="B126">
        <v>2006</v>
      </c>
      <c r="C126" s="16">
        <v>4571013005</v>
      </c>
      <c r="D126" s="16">
        <v>4367986057</v>
      </c>
      <c r="E126" s="16">
        <v>1956902546</v>
      </c>
      <c r="F126" s="16">
        <v>4292504574</v>
      </c>
      <c r="G126" s="16">
        <v>628405409</v>
      </c>
      <c r="H126" s="16">
        <v>642884239</v>
      </c>
      <c r="K126" s="16">
        <v>394925007723</v>
      </c>
      <c r="L126">
        <f t="shared" si="1"/>
        <v>4.1678028760196453E-2</v>
      </c>
    </row>
    <row r="127" spans="1:12" x14ac:dyDescent="0.35">
      <c r="A127" t="s">
        <v>87</v>
      </c>
      <c r="B127">
        <v>2007</v>
      </c>
      <c r="C127" s="16">
        <v>3410710258</v>
      </c>
      <c r="D127" s="16">
        <v>2989657064</v>
      </c>
      <c r="E127" s="16">
        <v>1705875587</v>
      </c>
      <c r="F127" s="16">
        <v>3763282347</v>
      </c>
      <c r="G127" s="16">
        <v>842192017</v>
      </c>
      <c r="H127" s="16">
        <v>790619813</v>
      </c>
      <c r="K127" s="16">
        <v>408326901218</v>
      </c>
      <c r="L127">
        <f t="shared" si="1"/>
        <v>3.3067468848424687E-2</v>
      </c>
    </row>
    <row r="128" spans="1:12" x14ac:dyDescent="0.35">
      <c r="A128" t="s">
        <v>87</v>
      </c>
      <c r="B128">
        <v>2008</v>
      </c>
      <c r="C128" s="16">
        <v>3065160500</v>
      </c>
      <c r="D128" s="16">
        <v>2739975361</v>
      </c>
      <c r="E128" s="16">
        <v>1666351850</v>
      </c>
      <c r="F128" s="16">
        <v>3503019268</v>
      </c>
      <c r="G128" s="16">
        <v>935060877</v>
      </c>
      <c r="H128" s="16">
        <v>730544012</v>
      </c>
      <c r="K128" s="16">
        <v>418982950256</v>
      </c>
      <c r="L128">
        <f t="shared" si="1"/>
        <v>3.0168559031523476E-2</v>
      </c>
    </row>
    <row r="129" spans="1:12" x14ac:dyDescent="0.35">
      <c r="A129" t="s">
        <v>87</v>
      </c>
      <c r="B129">
        <v>2009</v>
      </c>
      <c r="C129" s="16">
        <v>2358215600</v>
      </c>
      <c r="D129" s="16">
        <v>2450608281</v>
      </c>
      <c r="E129" s="16">
        <v>1424194504</v>
      </c>
      <c r="F129" s="16">
        <v>2241182702</v>
      </c>
      <c r="G129" s="16">
        <v>756178600</v>
      </c>
      <c r="H129" s="16">
        <v>560324908</v>
      </c>
      <c r="K129" s="16">
        <v>348035433650</v>
      </c>
      <c r="L129">
        <f t="shared" si="1"/>
        <v>2.8131344249407577E-2</v>
      </c>
    </row>
    <row r="130" spans="1:12" x14ac:dyDescent="0.35">
      <c r="A130" t="s">
        <v>87</v>
      </c>
      <c r="B130">
        <v>2010</v>
      </c>
      <c r="C130" s="16">
        <v>3001824947</v>
      </c>
      <c r="D130" s="16">
        <v>4397619319</v>
      </c>
      <c r="E130" s="16">
        <v>1391211153</v>
      </c>
      <c r="F130" s="16">
        <v>2252582006</v>
      </c>
      <c r="G130" s="16">
        <v>810116479</v>
      </c>
      <c r="H130" s="16">
        <v>551188747</v>
      </c>
      <c r="K130" s="16">
        <v>395087153481</v>
      </c>
      <c r="L130">
        <f t="shared" ref="L130:L193" si="2">SUM(C130:H130)/K130</f>
        <v>3.1396977962222059E-2</v>
      </c>
    </row>
    <row r="131" spans="1:12" x14ac:dyDescent="0.35">
      <c r="A131" t="s">
        <v>87</v>
      </c>
      <c r="B131">
        <v>2011</v>
      </c>
      <c r="C131" s="16">
        <v>3100616687</v>
      </c>
      <c r="D131" s="16">
        <v>4825207207</v>
      </c>
      <c r="E131" s="16">
        <v>1595347364</v>
      </c>
      <c r="F131" s="16">
        <v>1974411487</v>
      </c>
      <c r="G131" s="16">
        <v>937799071</v>
      </c>
      <c r="H131" s="16">
        <v>645428034</v>
      </c>
      <c r="K131" s="16">
        <v>428500554560</v>
      </c>
      <c r="L131">
        <f t="shared" si="2"/>
        <v>3.0522270533418092E-2</v>
      </c>
    </row>
    <row r="132" spans="1:12" x14ac:dyDescent="0.35">
      <c r="A132" t="s">
        <v>87</v>
      </c>
      <c r="B132">
        <v>2012</v>
      </c>
      <c r="C132" s="16">
        <v>2985277953</v>
      </c>
      <c r="D132" s="16">
        <v>4637128760</v>
      </c>
      <c r="E132" s="16">
        <v>1423876081</v>
      </c>
      <c r="F132" s="16">
        <v>1830698279</v>
      </c>
      <c r="G132" s="16">
        <v>1058052833</v>
      </c>
      <c r="H132" s="16">
        <v>608883375</v>
      </c>
      <c r="K132" s="16">
        <v>442643439523</v>
      </c>
      <c r="L132">
        <f t="shared" si="2"/>
        <v>2.8338649488440483E-2</v>
      </c>
    </row>
    <row r="133" spans="1:12" x14ac:dyDescent="0.35">
      <c r="A133" t="s">
        <v>87</v>
      </c>
      <c r="B133">
        <v>2013</v>
      </c>
      <c r="C133" s="16">
        <v>2946131351</v>
      </c>
      <c r="D133" s="16">
        <v>4583189473</v>
      </c>
      <c r="E133" s="16">
        <v>1346925809</v>
      </c>
      <c r="F133" s="16">
        <v>1828175678</v>
      </c>
      <c r="G133" s="16">
        <v>1024228243</v>
      </c>
      <c r="H133" s="16">
        <v>527222048</v>
      </c>
      <c r="K133" s="16">
        <v>437150620881</v>
      </c>
      <c r="L133">
        <f t="shared" si="2"/>
        <v>2.8035811952641061E-2</v>
      </c>
    </row>
    <row r="134" spans="1:12" x14ac:dyDescent="0.35">
      <c r="A134" t="s">
        <v>87</v>
      </c>
      <c r="B134">
        <v>2014</v>
      </c>
      <c r="C134" s="16">
        <v>2749690877</v>
      </c>
      <c r="D134" s="16">
        <v>4575188513</v>
      </c>
      <c r="E134" s="16">
        <v>1216477558</v>
      </c>
      <c r="F134" s="16">
        <v>1835716764</v>
      </c>
      <c r="G134" s="16">
        <v>931082716</v>
      </c>
      <c r="H134" s="16">
        <v>624415505</v>
      </c>
      <c r="K134" s="16">
        <v>437785899016</v>
      </c>
      <c r="L134">
        <f t="shared" si="2"/>
        <v>2.7256638370081201E-2</v>
      </c>
    </row>
    <row r="135" spans="1:12" x14ac:dyDescent="0.35">
      <c r="A135" t="s">
        <v>87</v>
      </c>
      <c r="B135">
        <v>2015</v>
      </c>
      <c r="C135" s="16">
        <v>2991563456</v>
      </c>
      <c r="D135" s="16">
        <v>5157875968</v>
      </c>
      <c r="E135" s="16">
        <v>1345925415</v>
      </c>
      <c r="F135" s="16">
        <v>1714831893</v>
      </c>
      <c r="G135" s="16">
        <v>1029077985</v>
      </c>
      <c r="H135" s="16">
        <v>619828515</v>
      </c>
      <c r="K135" s="16">
        <v>456514671173</v>
      </c>
      <c r="L135">
        <f t="shared" si="2"/>
        <v>2.8167995562900401E-2</v>
      </c>
    </row>
    <row r="136" spans="1:12" x14ac:dyDescent="0.35">
      <c r="A136" t="s">
        <v>87</v>
      </c>
      <c r="B136">
        <v>2016</v>
      </c>
      <c r="C136" s="16">
        <v>2595244916</v>
      </c>
      <c r="D136" s="16">
        <v>5283864245</v>
      </c>
      <c r="E136" s="16">
        <v>1300977604</v>
      </c>
      <c r="F136" s="16">
        <v>1696200557</v>
      </c>
      <c r="G136" s="16">
        <v>1059034919</v>
      </c>
      <c r="H136" s="16">
        <v>717022768</v>
      </c>
      <c r="K136" s="16">
        <v>453075791425</v>
      </c>
      <c r="L136">
        <f t="shared" si="2"/>
        <v>2.7925449226069297E-2</v>
      </c>
    </row>
    <row r="137" spans="1:12" x14ac:dyDescent="0.35">
      <c r="A137" t="s">
        <v>87</v>
      </c>
      <c r="B137">
        <v>2017</v>
      </c>
      <c r="C137" s="16">
        <v>2491226849</v>
      </c>
      <c r="D137" s="16">
        <v>5014196215</v>
      </c>
      <c r="E137" s="16">
        <v>1389912538</v>
      </c>
      <c r="F137" s="16">
        <v>1998333186</v>
      </c>
      <c r="G137" s="16">
        <v>1186195766</v>
      </c>
      <c r="H137" s="16">
        <v>750938478</v>
      </c>
      <c r="K137" s="16">
        <v>473814777652</v>
      </c>
      <c r="L137">
        <f t="shared" si="2"/>
        <v>2.7079786526674702E-2</v>
      </c>
    </row>
    <row r="138" spans="1:12" x14ac:dyDescent="0.35">
      <c r="A138" t="s">
        <v>87</v>
      </c>
      <c r="B138">
        <v>2018</v>
      </c>
      <c r="C138" s="16">
        <v>2690443429</v>
      </c>
      <c r="D138" s="16">
        <v>5562424477</v>
      </c>
      <c r="E138" s="16">
        <v>1463555220</v>
      </c>
      <c r="F138" s="16">
        <v>2314276585</v>
      </c>
      <c r="G138" s="16">
        <v>1145424206</v>
      </c>
      <c r="H138" s="16">
        <v>811676593</v>
      </c>
      <c r="K138" s="16">
        <v>492964099238</v>
      </c>
      <c r="L138">
        <f t="shared" si="2"/>
        <v>2.8374886795248709E-2</v>
      </c>
    </row>
    <row r="139" spans="1:12" x14ac:dyDescent="0.35">
      <c r="A139" t="s">
        <v>87</v>
      </c>
      <c r="B139">
        <v>2019</v>
      </c>
      <c r="C139" s="16">
        <v>2864542461</v>
      </c>
      <c r="D139" s="16">
        <v>5726893056</v>
      </c>
      <c r="E139" s="16">
        <v>1442811303</v>
      </c>
      <c r="F139" s="16">
        <v>2153352181</v>
      </c>
      <c r="G139" s="16">
        <v>1157281228</v>
      </c>
      <c r="H139" s="16">
        <v>809297424</v>
      </c>
      <c r="K139" s="16">
        <v>509948158598</v>
      </c>
      <c r="L139">
        <f t="shared" si="2"/>
        <v>2.7756110919027667E-2</v>
      </c>
    </row>
    <row r="140" spans="1:12" x14ac:dyDescent="0.35">
      <c r="A140" t="s">
        <v>87</v>
      </c>
      <c r="B140">
        <v>2020</v>
      </c>
      <c r="C140" s="16">
        <v>2813273629</v>
      </c>
      <c r="D140" s="16">
        <v>4572344218</v>
      </c>
      <c r="E140" s="16">
        <v>1481936096</v>
      </c>
      <c r="F140" s="16">
        <v>1992181229</v>
      </c>
      <c r="G140" s="16">
        <v>1054503277</v>
      </c>
      <c r="H140" s="16">
        <v>644172967</v>
      </c>
      <c r="K140" s="16">
        <v>427236184153</v>
      </c>
      <c r="L140">
        <f t="shared" si="2"/>
        <v>2.9394540729028314E-2</v>
      </c>
    </row>
    <row r="141" spans="1:12" x14ac:dyDescent="0.35">
      <c r="A141" t="s">
        <v>87</v>
      </c>
      <c r="B141">
        <v>2021</v>
      </c>
      <c r="C141" s="16">
        <v>2441162978</v>
      </c>
      <c r="D141" s="16">
        <v>5803017577</v>
      </c>
      <c r="E141" s="16">
        <v>1464199570</v>
      </c>
      <c r="F141" s="16">
        <v>2322907771</v>
      </c>
      <c r="G141" s="16">
        <v>1109287072</v>
      </c>
      <c r="H141" s="16">
        <v>791335447</v>
      </c>
      <c r="K141" s="16">
        <v>494948816197</v>
      </c>
      <c r="L141">
        <f t="shared" si="2"/>
        <v>2.8148184133558584E-2</v>
      </c>
    </row>
    <row r="142" spans="1:12" x14ac:dyDescent="0.35">
      <c r="A142" t="s">
        <v>87</v>
      </c>
      <c r="B142">
        <v>2022</v>
      </c>
      <c r="C142" s="16">
        <v>2936888551</v>
      </c>
      <c r="D142" s="16">
        <v>8615726954</v>
      </c>
      <c r="E142" s="16">
        <v>1534243823</v>
      </c>
      <c r="F142" s="16">
        <v>2578457997</v>
      </c>
      <c r="G142" s="16">
        <v>1264307798</v>
      </c>
      <c r="H142" s="16">
        <v>1117299989</v>
      </c>
      <c r="K142" s="16">
        <v>589710183299</v>
      </c>
      <c r="L142">
        <f t="shared" si="2"/>
        <v>3.0603041329624946E-2</v>
      </c>
    </row>
    <row r="143" spans="1:12" x14ac:dyDescent="0.35">
      <c r="A143" t="s">
        <v>87</v>
      </c>
      <c r="B143">
        <v>2023</v>
      </c>
      <c r="C143" s="16">
        <v>3487151688</v>
      </c>
      <c r="D143" s="16">
        <v>7350205887</v>
      </c>
      <c r="E143" s="16">
        <v>1614936575</v>
      </c>
      <c r="F143" s="16">
        <v>2260850826</v>
      </c>
      <c r="G143" s="16">
        <v>1277263793</v>
      </c>
      <c r="H143" s="16">
        <v>1114066636</v>
      </c>
      <c r="K143" s="16">
        <v>602223492411</v>
      </c>
      <c r="L143">
        <f t="shared" si="2"/>
        <v>2.8402205527589569E-2</v>
      </c>
    </row>
    <row r="144" spans="1:12" x14ac:dyDescent="0.35">
      <c r="A144" t="s">
        <v>87</v>
      </c>
      <c r="B144">
        <v>2024</v>
      </c>
      <c r="C144" s="16">
        <v>3235193434</v>
      </c>
      <c r="D144" s="16">
        <v>4255459506</v>
      </c>
      <c r="E144" s="16">
        <v>1567113333</v>
      </c>
      <c r="F144" s="16">
        <v>2617639393</v>
      </c>
      <c r="G144" s="16">
        <v>1442613479</v>
      </c>
      <c r="H144" s="16">
        <v>979259844</v>
      </c>
      <c r="K144" s="16">
        <v>592226141641</v>
      </c>
      <c r="L144">
        <f t="shared" si="2"/>
        <v>2.3803878278553924E-2</v>
      </c>
    </row>
    <row r="145" spans="1:12" x14ac:dyDescent="0.35">
      <c r="A145" t="s">
        <v>87</v>
      </c>
      <c r="B145">
        <v>2025</v>
      </c>
      <c r="C145" s="16">
        <v>3239166073</v>
      </c>
      <c r="D145" s="16">
        <v>4909933946</v>
      </c>
      <c r="E145" s="16">
        <v>1734525122</v>
      </c>
      <c r="F145" s="16">
        <v>2990286504</v>
      </c>
      <c r="G145" s="16">
        <v>1478960140</v>
      </c>
      <c r="H145" s="16">
        <v>1092360383</v>
      </c>
      <c r="K145" s="16">
        <v>606033418643</v>
      </c>
      <c r="L145">
        <f t="shared" si="2"/>
        <v>2.5485776349733646E-2</v>
      </c>
    </row>
    <row r="146" spans="1:12" x14ac:dyDescent="0.35">
      <c r="A146" t="s">
        <v>88</v>
      </c>
      <c r="B146">
        <v>2002</v>
      </c>
      <c r="C146" s="16">
        <v>2516642479</v>
      </c>
      <c r="D146" s="16">
        <v>6428790525</v>
      </c>
      <c r="E146" s="16">
        <v>5480090158</v>
      </c>
      <c r="F146" s="16">
        <v>10760016417</v>
      </c>
      <c r="G146" s="16">
        <v>83403669</v>
      </c>
      <c r="H146" s="16">
        <v>17986379</v>
      </c>
      <c r="K146" s="16">
        <v>93343303504</v>
      </c>
      <c r="L146">
        <f t="shared" si="2"/>
        <v>0.27090245017861825</v>
      </c>
    </row>
    <row r="147" spans="1:12" x14ac:dyDescent="0.35">
      <c r="A147" t="s">
        <v>88</v>
      </c>
      <c r="B147">
        <v>2003</v>
      </c>
      <c r="C147" s="16">
        <v>2353355628</v>
      </c>
      <c r="D147" s="16">
        <v>1293263593</v>
      </c>
      <c r="E147" s="16">
        <v>4595123647</v>
      </c>
      <c r="F147" s="16">
        <v>9958379315</v>
      </c>
      <c r="G147" s="16">
        <v>52995610</v>
      </c>
      <c r="H147" s="16">
        <v>11771881</v>
      </c>
      <c r="K147" s="16">
        <v>81997311685</v>
      </c>
      <c r="L147">
        <f t="shared" si="2"/>
        <v>0.22274985970474503</v>
      </c>
    </row>
    <row r="148" spans="1:12" x14ac:dyDescent="0.35">
      <c r="A148" t="s">
        <v>88</v>
      </c>
      <c r="B148">
        <v>2004</v>
      </c>
      <c r="C148" s="16">
        <v>2983042924</v>
      </c>
      <c r="D148" s="16">
        <v>1399707387</v>
      </c>
      <c r="E148" s="16">
        <v>3572212397</v>
      </c>
      <c r="F148" s="16">
        <v>9476578267</v>
      </c>
      <c r="G148" s="16">
        <v>51355155</v>
      </c>
      <c r="H148" s="16">
        <v>19687864</v>
      </c>
      <c r="K148" s="16">
        <v>84241578253</v>
      </c>
      <c r="L148">
        <f t="shared" si="2"/>
        <v>0.20776657271822541</v>
      </c>
    </row>
    <row r="149" spans="1:12" x14ac:dyDescent="0.35">
      <c r="A149" t="s">
        <v>88</v>
      </c>
      <c r="B149">
        <v>2005</v>
      </c>
      <c r="C149" s="16">
        <v>3163523062</v>
      </c>
      <c r="D149" s="16">
        <v>1148913650</v>
      </c>
      <c r="E149" s="16">
        <v>3680829406</v>
      </c>
      <c r="F149" s="16">
        <v>9913028462</v>
      </c>
      <c r="G149" s="16">
        <v>43956487</v>
      </c>
      <c r="H149" s="16">
        <v>22840942</v>
      </c>
      <c r="K149" s="16">
        <v>88141991308</v>
      </c>
      <c r="L149">
        <f t="shared" si="2"/>
        <v>0.20391066439826069</v>
      </c>
    </row>
    <row r="150" spans="1:12" x14ac:dyDescent="0.35">
      <c r="A150" t="s">
        <v>88</v>
      </c>
      <c r="B150">
        <v>2006</v>
      </c>
      <c r="C150" s="16">
        <v>2950817324</v>
      </c>
      <c r="D150" s="16">
        <v>1006659006</v>
      </c>
      <c r="E150" s="16">
        <v>3764302259</v>
      </c>
      <c r="F150" s="16">
        <v>9832409661</v>
      </c>
      <c r="G150" s="16">
        <v>66029665</v>
      </c>
      <c r="H150" s="16">
        <v>17026341</v>
      </c>
      <c r="K150" s="16">
        <v>86592595875</v>
      </c>
      <c r="L150">
        <f t="shared" si="2"/>
        <v>0.2036807428831455</v>
      </c>
    </row>
    <row r="151" spans="1:12" x14ac:dyDescent="0.35">
      <c r="A151" t="s">
        <v>88</v>
      </c>
      <c r="B151">
        <v>2007</v>
      </c>
      <c r="C151" s="16">
        <v>2868617532</v>
      </c>
      <c r="D151" s="16">
        <v>462952597</v>
      </c>
      <c r="E151" s="16">
        <v>2672019387</v>
      </c>
      <c r="F151" s="16">
        <v>8664908892</v>
      </c>
      <c r="G151" s="16">
        <v>71316778</v>
      </c>
      <c r="H151" s="16">
        <v>57899393</v>
      </c>
      <c r="K151" s="16">
        <v>88685503864</v>
      </c>
      <c r="L151">
        <f t="shared" si="2"/>
        <v>0.16685606930409311</v>
      </c>
    </row>
    <row r="152" spans="1:12" x14ac:dyDescent="0.35">
      <c r="A152" t="s">
        <v>88</v>
      </c>
      <c r="B152">
        <v>2008</v>
      </c>
      <c r="C152" s="16">
        <v>2917074875</v>
      </c>
      <c r="D152" s="16">
        <v>571303968</v>
      </c>
      <c r="E152" s="16">
        <v>2345003068</v>
      </c>
      <c r="F152" s="16">
        <v>5930592286</v>
      </c>
      <c r="G152" s="16">
        <v>56388827</v>
      </c>
      <c r="H152" s="16">
        <v>35406187</v>
      </c>
      <c r="K152" s="16">
        <v>85476843450</v>
      </c>
      <c r="L152">
        <f t="shared" si="2"/>
        <v>0.13870153286527334</v>
      </c>
    </row>
    <row r="153" spans="1:12" x14ac:dyDescent="0.35">
      <c r="A153" t="s">
        <v>88</v>
      </c>
      <c r="B153">
        <v>2009</v>
      </c>
      <c r="C153" s="16">
        <v>1943777106</v>
      </c>
      <c r="D153" s="16">
        <v>310210360</v>
      </c>
      <c r="E153" s="16">
        <v>2273822738</v>
      </c>
      <c r="F153" s="16">
        <v>3438862946</v>
      </c>
      <c r="G153" s="16">
        <v>47701025</v>
      </c>
      <c r="H153" s="16">
        <v>41260627</v>
      </c>
      <c r="K153" s="16">
        <v>83114389074</v>
      </c>
      <c r="L153">
        <f t="shared" si="2"/>
        <v>9.6922264504979427E-2</v>
      </c>
    </row>
    <row r="154" spans="1:12" x14ac:dyDescent="0.35">
      <c r="A154" t="s">
        <v>88</v>
      </c>
      <c r="B154">
        <v>2010</v>
      </c>
      <c r="C154" s="16">
        <v>1435849219</v>
      </c>
      <c r="D154" s="16">
        <v>171285266</v>
      </c>
      <c r="E154" s="16">
        <v>1298782963</v>
      </c>
      <c r="F154" s="16">
        <v>2156350935</v>
      </c>
      <c r="G154" s="16">
        <v>40843091</v>
      </c>
      <c r="H154" s="16">
        <v>61012410</v>
      </c>
      <c r="K154" s="16">
        <v>88660234695</v>
      </c>
      <c r="L154">
        <f t="shared" si="2"/>
        <v>5.8246223933030389E-2</v>
      </c>
    </row>
    <row r="155" spans="1:12" x14ac:dyDescent="0.35">
      <c r="A155" t="s">
        <v>88</v>
      </c>
      <c r="B155">
        <v>2011</v>
      </c>
      <c r="C155" s="16">
        <v>1330714429</v>
      </c>
      <c r="D155" s="16">
        <v>117347376</v>
      </c>
      <c r="E155" s="16">
        <v>1099118525</v>
      </c>
      <c r="F155" s="16">
        <v>1728132782</v>
      </c>
      <c r="G155" s="16">
        <v>49496252</v>
      </c>
      <c r="H155" s="16">
        <v>97643527</v>
      </c>
      <c r="K155" s="16">
        <v>91554495094</v>
      </c>
      <c r="L155">
        <f t="shared" si="2"/>
        <v>4.8304049806177397E-2</v>
      </c>
    </row>
    <row r="156" spans="1:12" x14ac:dyDescent="0.35">
      <c r="A156" t="s">
        <v>88</v>
      </c>
      <c r="B156">
        <v>2012</v>
      </c>
      <c r="C156" s="16">
        <v>1107128985</v>
      </c>
      <c r="D156" s="16">
        <v>137348478</v>
      </c>
      <c r="E156" s="16">
        <v>1119033178</v>
      </c>
      <c r="F156" s="16">
        <v>1691333667</v>
      </c>
      <c r="G156" s="16">
        <v>32406702</v>
      </c>
      <c r="H156" s="16">
        <v>89625403</v>
      </c>
      <c r="K156" s="16">
        <v>92480320505</v>
      </c>
      <c r="L156">
        <f t="shared" si="2"/>
        <v>4.5165029599720893E-2</v>
      </c>
    </row>
    <row r="157" spans="1:12" x14ac:dyDescent="0.35">
      <c r="A157" t="s">
        <v>88</v>
      </c>
      <c r="B157">
        <v>2013</v>
      </c>
      <c r="C157" s="16">
        <v>832743464</v>
      </c>
      <c r="D157" s="16">
        <v>91505154</v>
      </c>
      <c r="E157" s="16">
        <v>1268326076</v>
      </c>
      <c r="F157" s="16">
        <v>2068707408</v>
      </c>
      <c r="G157" s="16">
        <v>43506037</v>
      </c>
      <c r="H157" s="16">
        <v>97964000</v>
      </c>
      <c r="K157" s="16">
        <v>87933847280</v>
      </c>
      <c r="L157">
        <f t="shared" si="2"/>
        <v>5.0068912883803482E-2</v>
      </c>
    </row>
    <row r="158" spans="1:12" x14ac:dyDescent="0.35">
      <c r="A158" t="s">
        <v>88</v>
      </c>
      <c r="B158">
        <v>2014</v>
      </c>
      <c r="C158" s="16">
        <v>625031484</v>
      </c>
      <c r="D158" s="16">
        <v>83765785</v>
      </c>
      <c r="E158" s="16">
        <v>1402103187</v>
      </c>
      <c r="F158" s="16">
        <v>2068571316</v>
      </c>
      <c r="G158" s="16">
        <v>80123591</v>
      </c>
      <c r="H158" s="16">
        <v>112705045</v>
      </c>
      <c r="K158" s="16">
        <v>91217207790</v>
      </c>
      <c r="L158">
        <f t="shared" si="2"/>
        <v>4.7932846377691123E-2</v>
      </c>
    </row>
    <row r="159" spans="1:12" x14ac:dyDescent="0.35">
      <c r="A159" t="s">
        <v>88</v>
      </c>
      <c r="B159">
        <v>2015</v>
      </c>
      <c r="C159" s="16">
        <v>1481199142</v>
      </c>
      <c r="D159" s="16">
        <v>70508280</v>
      </c>
      <c r="E159" s="16">
        <v>1676127769</v>
      </c>
      <c r="F159" s="16">
        <v>2389983018</v>
      </c>
      <c r="G159" s="16">
        <v>81907626</v>
      </c>
      <c r="H159" s="16">
        <v>139629037</v>
      </c>
      <c r="K159" s="16">
        <v>111259139473</v>
      </c>
      <c r="L159">
        <f t="shared" si="2"/>
        <v>5.2484271401515514E-2</v>
      </c>
    </row>
    <row r="160" spans="1:12" x14ac:dyDescent="0.35">
      <c r="A160" t="s">
        <v>88</v>
      </c>
      <c r="B160">
        <v>2016</v>
      </c>
      <c r="C160" s="16">
        <v>5739843671</v>
      </c>
      <c r="D160" s="16">
        <v>66563742</v>
      </c>
      <c r="E160" s="16">
        <v>1633916589</v>
      </c>
      <c r="F160" s="16">
        <v>2077859978</v>
      </c>
      <c r="G160" s="16">
        <v>60429199</v>
      </c>
      <c r="H160" s="16">
        <v>148291407</v>
      </c>
      <c r="K160" s="16">
        <v>118230301290</v>
      </c>
      <c r="L160">
        <f t="shared" si="2"/>
        <v>8.2270826343759887E-2</v>
      </c>
    </row>
    <row r="161" spans="1:12" x14ac:dyDescent="0.35">
      <c r="A161" t="s">
        <v>88</v>
      </c>
      <c r="B161">
        <v>2017</v>
      </c>
      <c r="C161" s="16">
        <v>4868603268</v>
      </c>
      <c r="D161" s="16">
        <v>67053348</v>
      </c>
      <c r="E161" s="16">
        <v>1453153744</v>
      </c>
      <c r="F161" s="16">
        <v>2049725604</v>
      </c>
      <c r="G161" s="16">
        <v>69400936</v>
      </c>
      <c r="H161" s="16">
        <v>153243273</v>
      </c>
      <c r="K161" s="16">
        <v>121759700579</v>
      </c>
      <c r="L161">
        <f t="shared" si="2"/>
        <v>7.113338922331254E-2</v>
      </c>
    </row>
    <row r="162" spans="1:12" x14ac:dyDescent="0.35">
      <c r="A162" t="s">
        <v>88</v>
      </c>
      <c r="B162">
        <v>2018</v>
      </c>
      <c r="C162" s="16">
        <v>3609109670</v>
      </c>
      <c r="D162" s="16">
        <v>77060233</v>
      </c>
      <c r="E162" s="16">
        <v>1701427297</v>
      </c>
      <c r="F162" s="16">
        <v>2668366305</v>
      </c>
      <c r="G162" s="16">
        <v>93290230</v>
      </c>
      <c r="H162" s="16">
        <v>215776171</v>
      </c>
      <c r="K162" s="16">
        <v>139637126173</v>
      </c>
      <c r="L162">
        <f t="shared" si="2"/>
        <v>5.9905485992574434E-2</v>
      </c>
    </row>
    <row r="163" spans="1:12" x14ac:dyDescent="0.35">
      <c r="A163" t="s">
        <v>88</v>
      </c>
      <c r="B163">
        <v>2019</v>
      </c>
      <c r="C163" s="16">
        <v>6525196777</v>
      </c>
      <c r="D163" s="16">
        <v>66749023</v>
      </c>
      <c r="E163" s="16">
        <v>2403375425</v>
      </c>
      <c r="F163" s="16">
        <v>2836747798</v>
      </c>
      <c r="G163" s="16">
        <v>112961466</v>
      </c>
      <c r="H163" s="16">
        <v>146458562</v>
      </c>
      <c r="K163" s="16">
        <v>151515579063</v>
      </c>
      <c r="L163">
        <f t="shared" si="2"/>
        <v>7.9803602545533439E-2</v>
      </c>
    </row>
    <row r="164" spans="1:12" x14ac:dyDescent="0.35">
      <c r="A164" t="s">
        <v>88</v>
      </c>
      <c r="B164">
        <v>2020</v>
      </c>
      <c r="C164" s="16">
        <v>7269420162</v>
      </c>
      <c r="D164" s="16">
        <v>87717238</v>
      </c>
      <c r="E164" s="16">
        <v>2874352623</v>
      </c>
      <c r="F164" s="16">
        <v>1945487101</v>
      </c>
      <c r="G164" s="16">
        <v>135395786</v>
      </c>
      <c r="H164" s="16">
        <v>97106590</v>
      </c>
      <c r="K164" s="16">
        <v>157828328620</v>
      </c>
      <c r="L164">
        <f t="shared" si="2"/>
        <v>7.8626439299614242E-2</v>
      </c>
    </row>
    <row r="165" spans="1:12" x14ac:dyDescent="0.35">
      <c r="A165" t="s">
        <v>88</v>
      </c>
      <c r="B165">
        <v>2021</v>
      </c>
      <c r="C165" s="16">
        <v>9386632207</v>
      </c>
      <c r="D165" s="16">
        <v>229681149</v>
      </c>
      <c r="E165" s="16">
        <v>1612578116</v>
      </c>
      <c r="F165" s="16">
        <v>2404933306</v>
      </c>
      <c r="G165" s="16">
        <v>163654686</v>
      </c>
      <c r="H165" s="16">
        <v>87553995</v>
      </c>
      <c r="K165" s="16">
        <v>161204860324</v>
      </c>
      <c r="L165">
        <f t="shared" si="2"/>
        <v>8.6132846311785874E-2</v>
      </c>
    </row>
    <row r="166" spans="1:12" x14ac:dyDescent="0.35">
      <c r="A166" t="s">
        <v>88</v>
      </c>
      <c r="B166">
        <v>2022</v>
      </c>
      <c r="C166" s="16">
        <v>11417000917</v>
      </c>
      <c r="D166" s="16">
        <v>178043020</v>
      </c>
      <c r="E166" s="16">
        <v>1973884001</v>
      </c>
      <c r="F166" s="16">
        <v>2852859169</v>
      </c>
      <c r="G166" s="16">
        <v>170470654</v>
      </c>
      <c r="H166" s="16">
        <v>129853608</v>
      </c>
      <c r="K166" s="16">
        <v>203431809932</v>
      </c>
      <c r="L166">
        <f t="shared" si="2"/>
        <v>8.2200081563397615E-2</v>
      </c>
    </row>
    <row r="167" spans="1:12" x14ac:dyDescent="0.35">
      <c r="A167" t="s">
        <v>88</v>
      </c>
      <c r="B167">
        <v>2023</v>
      </c>
      <c r="C167" s="16">
        <v>5581164655</v>
      </c>
      <c r="D167" s="16">
        <v>96854406</v>
      </c>
      <c r="E167" s="16">
        <v>1654977374</v>
      </c>
      <c r="F167" s="16">
        <v>2514212359</v>
      </c>
      <c r="G167" s="16">
        <v>152270101</v>
      </c>
      <c r="H167" s="16">
        <v>209255272</v>
      </c>
      <c r="K167" s="16">
        <v>192695314572</v>
      </c>
      <c r="L167">
        <f t="shared" si="2"/>
        <v>5.2978632042376614E-2</v>
      </c>
    </row>
    <row r="168" spans="1:12" x14ac:dyDescent="0.35">
      <c r="A168" t="s">
        <v>88</v>
      </c>
      <c r="B168">
        <v>2024</v>
      </c>
      <c r="C168" s="16">
        <v>7949511227</v>
      </c>
      <c r="D168" s="16">
        <v>86305738</v>
      </c>
      <c r="E168" s="16">
        <v>2293358295</v>
      </c>
      <c r="F168" s="16">
        <v>2648736899</v>
      </c>
      <c r="G168" s="16">
        <v>221285517</v>
      </c>
      <c r="H168" s="16">
        <v>231744680</v>
      </c>
      <c r="K168" s="16">
        <v>222748336891</v>
      </c>
      <c r="L168">
        <f t="shared" si="2"/>
        <v>6.0296487702048783E-2</v>
      </c>
    </row>
    <row r="169" spans="1:12" x14ac:dyDescent="0.35">
      <c r="A169" t="s">
        <v>88</v>
      </c>
      <c r="B169">
        <v>2025</v>
      </c>
      <c r="C169" s="16">
        <v>7963715596</v>
      </c>
      <c r="D169" s="16">
        <v>104085451</v>
      </c>
      <c r="E169" s="16">
        <v>3798157638</v>
      </c>
      <c r="F169" s="16">
        <v>4182466490</v>
      </c>
      <c r="G169" s="16">
        <v>232541810</v>
      </c>
      <c r="H169" s="16">
        <v>168005563</v>
      </c>
      <c r="K169" s="16">
        <v>258255172371</v>
      </c>
      <c r="L169">
        <f t="shared" si="2"/>
        <v>6.3692712897033502E-2</v>
      </c>
    </row>
    <row r="170" spans="1:12" x14ac:dyDescent="0.35">
      <c r="A170" t="s">
        <v>89</v>
      </c>
      <c r="B170">
        <v>2002</v>
      </c>
      <c r="C170" s="16">
        <v>2589848625</v>
      </c>
      <c r="D170" s="16">
        <v>1777419151</v>
      </c>
      <c r="E170" s="16">
        <v>978745054</v>
      </c>
      <c r="F170" s="16">
        <v>1609315060</v>
      </c>
      <c r="G170" s="16">
        <v>2173929151</v>
      </c>
      <c r="H170" s="16">
        <v>943207411</v>
      </c>
      <c r="K170" s="16">
        <v>269063520444</v>
      </c>
      <c r="L170">
        <f t="shared" si="2"/>
        <v>3.7435265975033487E-2</v>
      </c>
    </row>
    <row r="171" spans="1:12" x14ac:dyDescent="0.35">
      <c r="A171" t="s">
        <v>89</v>
      </c>
      <c r="B171">
        <v>2003</v>
      </c>
      <c r="C171" s="16">
        <v>2615673872</v>
      </c>
      <c r="D171" s="16">
        <v>1502152568</v>
      </c>
      <c r="E171" s="16">
        <v>902795627</v>
      </c>
      <c r="F171" s="16">
        <v>1402154932</v>
      </c>
      <c r="G171" s="16">
        <v>2030206618</v>
      </c>
      <c r="H171" s="16">
        <v>952042094</v>
      </c>
      <c r="K171" s="16">
        <v>264615606357</v>
      </c>
      <c r="L171">
        <f t="shared" si="2"/>
        <v>3.554221854289058E-2</v>
      </c>
    </row>
    <row r="172" spans="1:12" x14ac:dyDescent="0.35">
      <c r="A172" t="s">
        <v>89</v>
      </c>
      <c r="B172">
        <v>2004</v>
      </c>
      <c r="C172" s="16">
        <v>2657428739</v>
      </c>
      <c r="D172" s="16">
        <v>1810619913</v>
      </c>
      <c r="E172" s="16">
        <v>660490982</v>
      </c>
      <c r="F172" s="16">
        <v>1329192926</v>
      </c>
      <c r="G172" s="16">
        <v>2161567023</v>
      </c>
      <c r="H172" s="16">
        <v>961357926</v>
      </c>
      <c r="K172" s="16">
        <v>284413361016</v>
      </c>
      <c r="L172">
        <f t="shared" si="2"/>
        <v>3.3685680147990761E-2</v>
      </c>
    </row>
    <row r="173" spans="1:12" x14ac:dyDescent="0.35">
      <c r="A173" t="s">
        <v>89</v>
      </c>
      <c r="B173">
        <v>2005</v>
      </c>
      <c r="C173" s="16">
        <v>1721988180</v>
      </c>
      <c r="D173" s="16">
        <v>2471678718</v>
      </c>
      <c r="E173" s="16">
        <v>554734850</v>
      </c>
      <c r="F173" s="16">
        <v>1405923829</v>
      </c>
      <c r="G173" s="16">
        <v>2338629226</v>
      </c>
      <c r="H173" s="16">
        <v>1185462118</v>
      </c>
      <c r="K173" s="16">
        <v>299923416151</v>
      </c>
      <c r="L173">
        <f t="shared" si="2"/>
        <v>3.2269627510935282E-2</v>
      </c>
    </row>
    <row r="174" spans="1:12" x14ac:dyDescent="0.35">
      <c r="A174" t="s">
        <v>89</v>
      </c>
      <c r="B174">
        <v>2006</v>
      </c>
      <c r="C174" s="16">
        <v>1922845529</v>
      </c>
      <c r="D174" s="16">
        <v>2656663392</v>
      </c>
      <c r="E174" s="16">
        <v>529367292</v>
      </c>
      <c r="F174" s="16">
        <v>1074229915</v>
      </c>
      <c r="G174" s="16">
        <v>1426400127</v>
      </c>
      <c r="H174" s="16">
        <v>1004808429</v>
      </c>
      <c r="K174" s="16">
        <v>332012884964</v>
      </c>
      <c r="L174">
        <f t="shared" si="2"/>
        <v>2.5945724018915851E-2</v>
      </c>
    </row>
    <row r="175" spans="1:12" x14ac:dyDescent="0.35">
      <c r="A175" t="s">
        <v>89</v>
      </c>
      <c r="B175">
        <v>2007</v>
      </c>
      <c r="C175" s="16">
        <v>989271937</v>
      </c>
      <c r="D175" s="16">
        <v>1486666560</v>
      </c>
      <c r="E175" s="16">
        <v>458995140</v>
      </c>
      <c r="F175" s="16">
        <v>899745755</v>
      </c>
      <c r="G175" s="16">
        <v>3943301791</v>
      </c>
      <c r="H175" s="16">
        <v>2160656316</v>
      </c>
      <c r="K175" s="16">
        <v>364743919186</v>
      </c>
      <c r="L175">
        <f t="shared" si="2"/>
        <v>2.7248260974933002E-2</v>
      </c>
    </row>
    <row r="176" spans="1:12" x14ac:dyDescent="0.35">
      <c r="A176" t="s">
        <v>89</v>
      </c>
      <c r="B176">
        <v>2008</v>
      </c>
      <c r="C176" s="16">
        <v>866721157</v>
      </c>
      <c r="D176" s="16">
        <v>1190585808</v>
      </c>
      <c r="E176" s="16">
        <v>432207012</v>
      </c>
      <c r="F176" s="16">
        <v>799948757</v>
      </c>
      <c r="G176" s="16">
        <v>4167903151</v>
      </c>
      <c r="H176" s="16">
        <v>1932677015</v>
      </c>
      <c r="K176" s="16">
        <v>369015556090</v>
      </c>
      <c r="L176">
        <f t="shared" si="2"/>
        <v>2.5446197985512141E-2</v>
      </c>
    </row>
    <row r="177" spans="1:12" x14ac:dyDescent="0.35">
      <c r="A177" t="s">
        <v>89</v>
      </c>
      <c r="B177">
        <v>2009</v>
      </c>
      <c r="C177" s="16">
        <v>639801938</v>
      </c>
      <c r="D177" s="16">
        <v>970115632</v>
      </c>
      <c r="E177" s="16">
        <v>331656125</v>
      </c>
      <c r="F177" s="16">
        <v>804469247</v>
      </c>
      <c r="G177" s="16">
        <v>3192117685</v>
      </c>
      <c r="H177" s="16">
        <v>1365292636</v>
      </c>
      <c r="K177" s="16">
        <v>291733117417</v>
      </c>
      <c r="L177">
        <f t="shared" si="2"/>
        <v>2.5034707501378827E-2</v>
      </c>
    </row>
    <row r="178" spans="1:12" x14ac:dyDescent="0.35">
      <c r="A178" t="s">
        <v>89</v>
      </c>
      <c r="B178">
        <v>2010</v>
      </c>
      <c r="C178" s="16">
        <v>763849635</v>
      </c>
      <c r="D178" s="16">
        <v>1324175774</v>
      </c>
      <c r="E178" s="16">
        <v>421293923</v>
      </c>
      <c r="F178" s="16">
        <v>920734849</v>
      </c>
      <c r="G178" s="16">
        <v>3841982534</v>
      </c>
      <c r="H178" s="16">
        <v>1500661433</v>
      </c>
      <c r="K178" s="16">
        <v>337407352110</v>
      </c>
      <c r="L178">
        <f t="shared" si="2"/>
        <v>2.6000317103759982E-2</v>
      </c>
    </row>
    <row r="179" spans="1:12" x14ac:dyDescent="0.35">
      <c r="A179" t="s">
        <v>89</v>
      </c>
      <c r="B179">
        <v>2011</v>
      </c>
      <c r="C179" s="16">
        <v>709564135</v>
      </c>
      <c r="D179" s="16">
        <v>1412481317</v>
      </c>
      <c r="E179" s="16">
        <v>799294738</v>
      </c>
      <c r="F179" s="16">
        <v>1307333329</v>
      </c>
      <c r="G179" s="16">
        <v>4574182580</v>
      </c>
      <c r="H179" s="16">
        <v>1698170965</v>
      </c>
      <c r="K179" s="16">
        <v>375903831853</v>
      </c>
      <c r="L179">
        <f t="shared" si="2"/>
        <v>2.7935408405484159E-2</v>
      </c>
    </row>
    <row r="180" spans="1:12" x14ac:dyDescent="0.35">
      <c r="A180" t="s">
        <v>89</v>
      </c>
      <c r="B180">
        <v>2012</v>
      </c>
      <c r="C180" s="16">
        <v>602541028</v>
      </c>
      <c r="D180" s="16">
        <v>1524631941</v>
      </c>
      <c r="E180" s="16">
        <v>897001405</v>
      </c>
      <c r="F180" s="16">
        <v>1370145955</v>
      </c>
      <c r="G180" s="16">
        <v>3840868969</v>
      </c>
      <c r="H180" s="16">
        <v>1745956053</v>
      </c>
      <c r="K180" s="16">
        <v>390182091869</v>
      </c>
      <c r="L180">
        <f t="shared" si="2"/>
        <v>2.5580736684222494E-2</v>
      </c>
    </row>
    <row r="181" spans="1:12" x14ac:dyDescent="0.35">
      <c r="A181" t="s">
        <v>89</v>
      </c>
      <c r="B181">
        <v>2013</v>
      </c>
      <c r="C181" s="16">
        <v>529966577</v>
      </c>
      <c r="D181" s="16">
        <v>1451948419</v>
      </c>
      <c r="E181" s="16">
        <v>892371384</v>
      </c>
      <c r="F181" s="16">
        <v>1254504026</v>
      </c>
      <c r="G181" s="16">
        <v>3781082559</v>
      </c>
      <c r="H181" s="16">
        <v>1691131533</v>
      </c>
      <c r="K181" s="16">
        <v>390232593094</v>
      </c>
      <c r="L181">
        <f t="shared" si="2"/>
        <v>2.4603287034220874E-2</v>
      </c>
    </row>
    <row r="182" spans="1:12" x14ac:dyDescent="0.35">
      <c r="A182" t="s">
        <v>89</v>
      </c>
      <c r="B182">
        <v>2014</v>
      </c>
      <c r="C182" s="16">
        <v>386625161</v>
      </c>
      <c r="D182" s="16">
        <v>1221010611</v>
      </c>
      <c r="E182" s="16">
        <v>845177750</v>
      </c>
      <c r="F182" s="16">
        <v>1215471756</v>
      </c>
      <c r="G182" s="16">
        <v>4020968509</v>
      </c>
      <c r="H182" s="16">
        <v>1922994891</v>
      </c>
      <c r="K182" s="16">
        <v>398870413894</v>
      </c>
      <c r="L182">
        <f t="shared" si="2"/>
        <v>2.4098675517594193E-2</v>
      </c>
    </row>
    <row r="183" spans="1:12" x14ac:dyDescent="0.35">
      <c r="A183" t="s">
        <v>89</v>
      </c>
      <c r="B183">
        <v>2015</v>
      </c>
      <c r="C183" s="16">
        <v>525243042</v>
      </c>
      <c r="D183" s="16">
        <v>1299885958</v>
      </c>
      <c r="E183" s="16">
        <v>922334950</v>
      </c>
      <c r="F183" s="16">
        <v>1274661313</v>
      </c>
      <c r="G183" s="16">
        <v>3977685154</v>
      </c>
      <c r="H183" s="16">
        <v>2157790455</v>
      </c>
      <c r="K183" s="16">
        <v>412291286364</v>
      </c>
      <c r="L183">
        <f t="shared" si="2"/>
        <v>2.4636952581704938E-2</v>
      </c>
    </row>
    <row r="184" spans="1:12" x14ac:dyDescent="0.35">
      <c r="A184" t="s">
        <v>89</v>
      </c>
      <c r="B184">
        <v>2016</v>
      </c>
      <c r="C184" s="16">
        <v>939465219</v>
      </c>
      <c r="D184" s="16">
        <v>953414711</v>
      </c>
      <c r="E184" s="16">
        <v>836598087</v>
      </c>
      <c r="F184" s="16">
        <v>1342415319</v>
      </c>
      <c r="G184" s="16">
        <v>3903713224</v>
      </c>
      <c r="H184" s="16">
        <v>2358081138</v>
      </c>
      <c r="K184" s="16">
        <v>417268909969</v>
      </c>
      <c r="L184">
        <f t="shared" si="2"/>
        <v>2.4765055462118463E-2</v>
      </c>
    </row>
    <row r="185" spans="1:12" x14ac:dyDescent="0.35">
      <c r="A185" t="s">
        <v>89</v>
      </c>
      <c r="B185">
        <v>2017</v>
      </c>
      <c r="C185" s="16">
        <v>1240852837</v>
      </c>
      <c r="D185" s="16">
        <v>802702025</v>
      </c>
      <c r="E185" s="16">
        <v>859193948</v>
      </c>
      <c r="F185" s="16">
        <v>1536692479</v>
      </c>
      <c r="G185" s="16">
        <v>3991964299</v>
      </c>
      <c r="H185" s="16">
        <v>2477231148</v>
      </c>
      <c r="K185" s="16">
        <v>449129030906</v>
      </c>
      <c r="L185">
        <f t="shared" si="2"/>
        <v>2.4288424896503989E-2</v>
      </c>
    </row>
    <row r="186" spans="1:12" x14ac:dyDescent="0.35">
      <c r="A186" t="s">
        <v>89</v>
      </c>
      <c r="B186">
        <v>2018</v>
      </c>
      <c r="C186" s="16">
        <v>1350687995</v>
      </c>
      <c r="D186" s="16">
        <v>855289556</v>
      </c>
      <c r="E186" s="16">
        <v>773937210</v>
      </c>
      <c r="F186" s="16">
        <v>1497304404</v>
      </c>
      <c r="G186" s="16">
        <v>4121858894</v>
      </c>
      <c r="H186" s="16">
        <v>2558418777</v>
      </c>
      <c r="K186" s="16">
        <v>465325415456</v>
      </c>
      <c r="L186">
        <f t="shared" si="2"/>
        <v>2.3977836725436772E-2</v>
      </c>
    </row>
    <row r="187" spans="1:12" x14ac:dyDescent="0.35">
      <c r="A187" t="s">
        <v>89</v>
      </c>
      <c r="B187">
        <v>2019</v>
      </c>
      <c r="C187" s="16">
        <v>1411185554</v>
      </c>
      <c r="D187" s="16">
        <v>816746436</v>
      </c>
      <c r="E187" s="16">
        <v>867583509</v>
      </c>
      <c r="F187" s="16">
        <v>1548151784</v>
      </c>
      <c r="G187" s="16">
        <v>4103053202</v>
      </c>
      <c r="H187" s="16">
        <v>2575386404</v>
      </c>
      <c r="K187" s="16">
        <v>480352083928</v>
      </c>
      <c r="L187">
        <f t="shared" si="2"/>
        <v>2.3570433579501386E-2</v>
      </c>
    </row>
    <row r="188" spans="1:12" x14ac:dyDescent="0.35">
      <c r="A188" t="s">
        <v>89</v>
      </c>
      <c r="B188">
        <v>2020</v>
      </c>
      <c r="C188" s="16">
        <v>1430076968</v>
      </c>
      <c r="D188" s="16">
        <v>651080723</v>
      </c>
      <c r="E188" s="16">
        <v>859246218</v>
      </c>
      <c r="F188" s="16">
        <v>1462751144</v>
      </c>
      <c r="G188" s="16">
        <v>3704031648</v>
      </c>
      <c r="H188" s="16">
        <v>2039088044</v>
      </c>
      <c r="K188" s="16">
        <v>436717838010</v>
      </c>
      <c r="L188">
        <f t="shared" si="2"/>
        <v>2.3233021099467135E-2</v>
      </c>
    </row>
    <row r="189" spans="1:12" x14ac:dyDescent="0.35">
      <c r="A189" t="s">
        <v>89</v>
      </c>
      <c r="B189">
        <v>2021</v>
      </c>
      <c r="C189" s="16">
        <v>1662062720</v>
      </c>
      <c r="D189" s="16">
        <v>680585567</v>
      </c>
      <c r="E189" s="16">
        <v>942672980</v>
      </c>
      <c r="F189" s="16">
        <v>1636760618</v>
      </c>
      <c r="G189" s="16">
        <v>3986015422</v>
      </c>
      <c r="H189" s="16">
        <v>2422024050</v>
      </c>
      <c r="K189" s="16">
        <v>520771098751</v>
      </c>
      <c r="L189">
        <f t="shared" si="2"/>
        <v>2.1756432690242959E-2</v>
      </c>
    </row>
    <row r="190" spans="1:12" x14ac:dyDescent="0.35">
      <c r="A190" t="s">
        <v>89</v>
      </c>
      <c r="B190">
        <v>2022</v>
      </c>
      <c r="C190" s="16">
        <v>2183066716</v>
      </c>
      <c r="D190" s="16">
        <v>901051883</v>
      </c>
      <c r="E190" s="16">
        <v>1106885803</v>
      </c>
      <c r="F190" s="16">
        <v>1686289892</v>
      </c>
      <c r="G190" s="16">
        <v>4555465663</v>
      </c>
      <c r="H190" s="16">
        <v>2584546266</v>
      </c>
      <c r="K190" s="16">
        <v>626169442832</v>
      </c>
      <c r="L190">
        <f t="shared" si="2"/>
        <v>2.0788791870976875E-2</v>
      </c>
    </row>
    <row r="191" spans="1:12" x14ac:dyDescent="0.35">
      <c r="A191" t="s">
        <v>89</v>
      </c>
      <c r="B191">
        <v>2023</v>
      </c>
      <c r="C191" s="16">
        <v>2440433496</v>
      </c>
      <c r="D191" s="16">
        <v>897852946</v>
      </c>
      <c r="E191" s="16">
        <v>993796786</v>
      </c>
      <c r="F191" s="16">
        <v>1497250344</v>
      </c>
      <c r="G191" s="16">
        <v>4751203906</v>
      </c>
      <c r="H191" s="16">
        <v>2791516762</v>
      </c>
      <c r="K191" s="16">
        <v>625949746357</v>
      </c>
      <c r="L191">
        <f t="shared" si="2"/>
        <v>2.1362823961228145E-2</v>
      </c>
    </row>
    <row r="192" spans="1:12" x14ac:dyDescent="0.35">
      <c r="A192" t="s">
        <v>89</v>
      </c>
      <c r="B192">
        <v>2024</v>
      </c>
      <c r="C192" s="16">
        <v>2539937564</v>
      </c>
      <c r="D192" s="16">
        <v>806396974</v>
      </c>
      <c r="E192" s="16">
        <v>1044478875</v>
      </c>
      <c r="F192" s="16">
        <v>1653918907</v>
      </c>
      <c r="G192" s="16">
        <v>4649116569</v>
      </c>
      <c r="H192" s="16">
        <v>2763739374</v>
      </c>
      <c r="K192" s="16">
        <v>622606972884</v>
      </c>
      <c r="L192">
        <f t="shared" si="2"/>
        <v>2.1614901292644741E-2</v>
      </c>
    </row>
    <row r="193" spans="1:12" x14ac:dyDescent="0.35">
      <c r="A193" t="s">
        <v>89</v>
      </c>
      <c r="B193">
        <v>2025</v>
      </c>
      <c r="C193" s="16">
        <v>2200639861</v>
      </c>
      <c r="D193" s="16">
        <v>836361115</v>
      </c>
      <c r="E193" s="16">
        <v>1093655260</v>
      </c>
      <c r="F193" s="16">
        <v>1878121582</v>
      </c>
      <c r="G193" s="16">
        <v>4575571443</v>
      </c>
      <c r="H193" s="16">
        <v>2787403138</v>
      </c>
      <c r="K193" s="16">
        <v>643153265752</v>
      </c>
      <c r="L193">
        <f t="shared" si="2"/>
        <v>2.0790926690491453E-2</v>
      </c>
    </row>
    <row r="194" spans="1:12" x14ac:dyDescent="0.35">
      <c r="A194" t="s">
        <v>90</v>
      </c>
      <c r="B194">
        <v>2002</v>
      </c>
      <c r="C194" s="16">
        <v>2063978261</v>
      </c>
      <c r="D194" s="16">
        <v>7371042141</v>
      </c>
      <c r="E194" s="16">
        <v>5437196803</v>
      </c>
      <c r="F194" s="16">
        <v>21793371470</v>
      </c>
      <c r="G194" s="16">
        <v>624433898</v>
      </c>
      <c r="H194" s="16">
        <v>552614924</v>
      </c>
      <c r="K194" s="16">
        <v>258099027139</v>
      </c>
      <c r="L194">
        <f t="shared" ref="L194:L257" si="3">SUM(C194:H194)/K194</f>
        <v>0.14662061270234752</v>
      </c>
    </row>
    <row r="195" spans="1:12" x14ac:dyDescent="0.35">
      <c r="A195" t="s">
        <v>90</v>
      </c>
      <c r="B195">
        <v>2003</v>
      </c>
      <c r="C195" s="16">
        <v>2317325221</v>
      </c>
      <c r="D195" s="16">
        <v>7864821353</v>
      </c>
      <c r="E195" s="16">
        <v>5253748668</v>
      </c>
      <c r="F195" s="16">
        <v>20828817992</v>
      </c>
      <c r="G195" s="16">
        <v>564062306</v>
      </c>
      <c r="H195" s="16">
        <v>618296990</v>
      </c>
      <c r="K195" s="16">
        <v>261679875131</v>
      </c>
      <c r="L195">
        <f t="shared" si="3"/>
        <v>0.14310260776169187</v>
      </c>
    </row>
    <row r="196" spans="1:12" x14ac:dyDescent="0.35">
      <c r="A196" t="s">
        <v>90</v>
      </c>
      <c r="B196">
        <v>2004</v>
      </c>
      <c r="C196" s="16">
        <v>3207053821</v>
      </c>
      <c r="D196" s="16">
        <v>9345659209</v>
      </c>
      <c r="E196" s="16">
        <v>4506560329</v>
      </c>
      <c r="F196" s="16">
        <v>24008709466</v>
      </c>
      <c r="G196" s="16">
        <v>673717659</v>
      </c>
      <c r="H196" s="16">
        <v>576355668</v>
      </c>
      <c r="K196" s="16">
        <v>287335881762</v>
      </c>
      <c r="L196">
        <f t="shared" si="3"/>
        <v>0.1472773114603626</v>
      </c>
    </row>
    <row r="197" spans="1:12" x14ac:dyDescent="0.35">
      <c r="A197" t="s">
        <v>90</v>
      </c>
      <c r="B197">
        <v>2005</v>
      </c>
      <c r="C197" s="16">
        <v>2625799426</v>
      </c>
      <c r="D197" s="16">
        <v>9829753438</v>
      </c>
      <c r="E197" s="16">
        <v>6338652675</v>
      </c>
      <c r="F197" s="16">
        <v>29435643798</v>
      </c>
      <c r="G197" s="16">
        <v>655897468</v>
      </c>
      <c r="H197" s="16">
        <v>703926407</v>
      </c>
      <c r="K197" s="16">
        <v>326639698414</v>
      </c>
      <c r="L197">
        <f t="shared" si="3"/>
        <v>0.15181765551702014</v>
      </c>
    </row>
    <row r="198" spans="1:12" x14ac:dyDescent="0.35">
      <c r="A198" t="s">
        <v>90</v>
      </c>
      <c r="B198">
        <v>2006</v>
      </c>
      <c r="C198" s="16">
        <v>2726038234</v>
      </c>
      <c r="D198" s="16">
        <v>8344736176</v>
      </c>
      <c r="E198" s="16">
        <v>6569131181</v>
      </c>
      <c r="F198" s="16">
        <v>32973616274</v>
      </c>
      <c r="G198" s="16">
        <v>488022380</v>
      </c>
      <c r="H198" s="16">
        <v>688923191</v>
      </c>
      <c r="K198" s="16">
        <v>369249324376</v>
      </c>
      <c r="L198">
        <f t="shared" si="3"/>
        <v>0.14025880080761555</v>
      </c>
    </row>
    <row r="199" spans="1:12" x14ac:dyDescent="0.35">
      <c r="A199" t="s">
        <v>90</v>
      </c>
      <c r="B199">
        <v>2007</v>
      </c>
      <c r="C199" s="16">
        <v>1094343164</v>
      </c>
      <c r="D199" s="16">
        <v>6800669731</v>
      </c>
      <c r="E199" s="16">
        <v>6094342486</v>
      </c>
      <c r="F199" s="16">
        <v>24776421087</v>
      </c>
      <c r="G199" s="16">
        <v>4504308187</v>
      </c>
      <c r="H199" s="16">
        <v>1469663224</v>
      </c>
      <c r="K199" s="16">
        <v>401900754138</v>
      </c>
      <c r="L199">
        <f t="shared" si="3"/>
        <v>0.11132038797727109</v>
      </c>
    </row>
    <row r="200" spans="1:12" x14ac:dyDescent="0.35">
      <c r="A200" t="s">
        <v>90</v>
      </c>
      <c r="B200">
        <v>2008</v>
      </c>
      <c r="C200" s="16">
        <v>785225173</v>
      </c>
      <c r="D200" s="16">
        <v>6347953512</v>
      </c>
      <c r="E200" s="16">
        <v>5164047154</v>
      </c>
      <c r="F200" s="16">
        <v>23128811329</v>
      </c>
      <c r="G200" s="16">
        <v>3800938242</v>
      </c>
      <c r="H200" s="16">
        <v>1432158628</v>
      </c>
      <c r="K200" s="16">
        <v>433721726540</v>
      </c>
      <c r="L200">
        <f t="shared" si="3"/>
        <v>9.3744748187638255E-2</v>
      </c>
    </row>
    <row r="201" spans="1:12" x14ac:dyDescent="0.35">
      <c r="A201" t="s">
        <v>90</v>
      </c>
      <c r="B201">
        <v>2009</v>
      </c>
      <c r="C201" s="16">
        <v>765740650</v>
      </c>
      <c r="D201" s="16">
        <v>5695200765</v>
      </c>
      <c r="E201" s="16">
        <v>4947465451</v>
      </c>
      <c r="F201" s="16">
        <v>22304903408</v>
      </c>
      <c r="G201" s="16">
        <v>2351927206</v>
      </c>
      <c r="H201" s="16">
        <v>1023027150</v>
      </c>
      <c r="K201" s="16">
        <v>356962270485</v>
      </c>
      <c r="L201">
        <f t="shared" si="3"/>
        <v>0.10389967707121724</v>
      </c>
    </row>
    <row r="202" spans="1:12" x14ac:dyDescent="0.35">
      <c r="A202" t="s">
        <v>90</v>
      </c>
      <c r="B202">
        <v>2010</v>
      </c>
      <c r="C202" s="16">
        <v>928868740</v>
      </c>
      <c r="D202" s="16">
        <v>8909127161</v>
      </c>
      <c r="E202" s="16">
        <v>5712991495</v>
      </c>
      <c r="F202" s="16">
        <v>26201832797</v>
      </c>
      <c r="G202" s="16">
        <v>5620652688</v>
      </c>
      <c r="H202" s="16">
        <v>1068969559</v>
      </c>
      <c r="K202" s="16">
        <v>433173089757</v>
      </c>
      <c r="L202">
        <f t="shared" si="3"/>
        <v>0.11183160631509931</v>
      </c>
    </row>
    <row r="203" spans="1:12" x14ac:dyDescent="0.35">
      <c r="A203" t="s">
        <v>90</v>
      </c>
      <c r="B203">
        <v>2011</v>
      </c>
      <c r="C203" s="16">
        <v>662941367</v>
      </c>
      <c r="D203" s="16">
        <v>8604604035</v>
      </c>
      <c r="E203" s="16">
        <v>5886655423</v>
      </c>
      <c r="F203" s="16">
        <v>26444562862</v>
      </c>
      <c r="G203" s="16">
        <v>7233304972</v>
      </c>
      <c r="H203" s="16">
        <v>1346855708</v>
      </c>
      <c r="K203" s="16">
        <v>479239418648</v>
      </c>
      <c r="L203">
        <f t="shared" si="3"/>
        <v>0.10470533602716073</v>
      </c>
    </row>
    <row r="204" spans="1:12" x14ac:dyDescent="0.35">
      <c r="A204" t="s">
        <v>90</v>
      </c>
      <c r="B204">
        <v>2012</v>
      </c>
      <c r="C204" s="16">
        <v>905832070</v>
      </c>
      <c r="D204" s="16">
        <v>7485244611</v>
      </c>
      <c r="E204" s="16">
        <v>6647259752</v>
      </c>
      <c r="F204" s="16">
        <v>28055368299</v>
      </c>
      <c r="G204" s="16">
        <v>5406747802</v>
      </c>
      <c r="H204" s="16">
        <v>965470841</v>
      </c>
      <c r="K204" s="16">
        <v>510097962235</v>
      </c>
      <c r="L204">
        <f t="shared" si="3"/>
        <v>9.6973379698018197E-2</v>
      </c>
    </row>
    <row r="205" spans="1:12" x14ac:dyDescent="0.35">
      <c r="A205" t="s">
        <v>90</v>
      </c>
      <c r="B205">
        <v>2013</v>
      </c>
      <c r="C205" s="16">
        <v>935798465</v>
      </c>
      <c r="D205" s="16">
        <v>5586699271</v>
      </c>
      <c r="E205" s="16">
        <v>6191417025</v>
      </c>
      <c r="F205" s="16">
        <v>26890129356</v>
      </c>
      <c r="G205" s="16">
        <v>5818406545</v>
      </c>
      <c r="H205" s="16">
        <v>995316677</v>
      </c>
      <c r="K205" s="16">
        <v>505651479965</v>
      </c>
      <c r="L205">
        <f t="shared" si="3"/>
        <v>9.1797946170775427E-2</v>
      </c>
    </row>
    <row r="206" spans="1:12" x14ac:dyDescent="0.35">
      <c r="A206" t="s">
        <v>90</v>
      </c>
      <c r="B206">
        <v>2014</v>
      </c>
      <c r="C206" s="16">
        <v>1091904971</v>
      </c>
      <c r="D206" s="16">
        <v>5640259711</v>
      </c>
      <c r="E206" s="16">
        <v>5508861290</v>
      </c>
      <c r="F206" s="16">
        <v>28113555895</v>
      </c>
      <c r="G206" s="16">
        <v>6767908969</v>
      </c>
      <c r="H206" s="16">
        <v>982978848</v>
      </c>
      <c r="K206" s="16">
        <v>506338920775</v>
      </c>
      <c r="L206">
        <f t="shared" si="3"/>
        <v>9.5006462490321686E-2</v>
      </c>
    </row>
    <row r="207" spans="1:12" x14ac:dyDescent="0.35">
      <c r="A207" t="s">
        <v>90</v>
      </c>
      <c r="B207">
        <v>2015</v>
      </c>
      <c r="C207" s="16">
        <v>1381948528</v>
      </c>
      <c r="D207" s="16">
        <v>6417299532</v>
      </c>
      <c r="E207" s="16">
        <v>4556583541</v>
      </c>
      <c r="F207" s="16">
        <v>28253535503</v>
      </c>
      <c r="G207" s="16">
        <v>6745010436</v>
      </c>
      <c r="H207" s="16">
        <v>1059960853</v>
      </c>
      <c r="K207" s="16">
        <v>514309061000</v>
      </c>
      <c r="L207">
        <f t="shared" si="3"/>
        <v>9.4134717943458512E-2</v>
      </c>
    </row>
    <row r="208" spans="1:12" x14ac:dyDescent="0.35">
      <c r="A208" t="s">
        <v>90</v>
      </c>
      <c r="B208">
        <v>2016</v>
      </c>
      <c r="C208" s="16">
        <v>1378012559</v>
      </c>
      <c r="D208" s="16">
        <v>7102220651</v>
      </c>
      <c r="E208" s="16">
        <v>4694535728</v>
      </c>
      <c r="F208" s="16">
        <v>29836891486</v>
      </c>
      <c r="G208" s="16">
        <v>6447350267</v>
      </c>
      <c r="H208" s="16">
        <v>1366513995</v>
      </c>
      <c r="K208" s="16">
        <v>515934642422</v>
      </c>
      <c r="L208">
        <f t="shared" si="3"/>
        <v>9.8511556516935966E-2</v>
      </c>
    </row>
    <row r="209" spans="1:12" x14ac:dyDescent="0.35">
      <c r="A209" t="s">
        <v>90</v>
      </c>
      <c r="B209">
        <v>2017</v>
      </c>
      <c r="C209" s="16">
        <v>2266430163</v>
      </c>
      <c r="D209" s="16">
        <v>11895712795</v>
      </c>
      <c r="E209" s="16">
        <v>4941116577</v>
      </c>
      <c r="F209" s="16">
        <v>28695052758</v>
      </c>
      <c r="G209" s="16">
        <v>9362685613</v>
      </c>
      <c r="H209" s="16">
        <v>1479678949</v>
      </c>
      <c r="K209" s="16">
        <v>577087073690</v>
      </c>
      <c r="L209">
        <f t="shared" si="3"/>
        <v>0.10161495470699217</v>
      </c>
    </row>
    <row r="210" spans="1:12" x14ac:dyDescent="0.35">
      <c r="A210" t="s">
        <v>90</v>
      </c>
      <c r="B210">
        <v>2018</v>
      </c>
      <c r="C210" s="16">
        <v>2526042974</v>
      </c>
      <c r="D210" s="16">
        <v>12990231901</v>
      </c>
      <c r="E210" s="16">
        <v>5386991877</v>
      </c>
      <c r="F210" s="16">
        <v>30519084681</v>
      </c>
      <c r="G210" s="16">
        <v>12406532970</v>
      </c>
      <c r="H210" s="16">
        <v>1588887613</v>
      </c>
      <c r="K210" s="16">
        <v>615600685103</v>
      </c>
      <c r="L210">
        <f t="shared" si="3"/>
        <v>0.1062665679214677</v>
      </c>
    </row>
    <row r="211" spans="1:12" x14ac:dyDescent="0.35">
      <c r="A211" t="s">
        <v>90</v>
      </c>
      <c r="B211">
        <v>2019</v>
      </c>
      <c r="C211" s="16">
        <v>2834686989</v>
      </c>
      <c r="D211" s="16">
        <v>13853179568</v>
      </c>
      <c r="E211" s="16">
        <v>5671282618</v>
      </c>
      <c r="F211" s="16">
        <v>30625378521</v>
      </c>
      <c r="G211" s="16">
        <v>13244545674</v>
      </c>
      <c r="H211" s="16">
        <v>1709885544</v>
      </c>
      <c r="K211" s="16">
        <v>633056944231</v>
      </c>
      <c r="L211">
        <f t="shared" si="3"/>
        <v>0.10731887476019747</v>
      </c>
    </row>
    <row r="212" spans="1:12" x14ac:dyDescent="0.35">
      <c r="A212" t="s">
        <v>90</v>
      </c>
      <c r="B212">
        <v>2020</v>
      </c>
      <c r="C212" s="16">
        <v>3647533391</v>
      </c>
      <c r="D212" s="16">
        <v>12801360640</v>
      </c>
      <c r="E212" s="16">
        <v>9364094948</v>
      </c>
      <c r="F212" s="16">
        <v>30832793027</v>
      </c>
      <c r="G212" s="16">
        <v>14157336327</v>
      </c>
      <c r="H212" s="16">
        <v>1432532840</v>
      </c>
      <c r="K212" s="16">
        <v>590233153936</v>
      </c>
      <c r="L212">
        <f t="shared" si="3"/>
        <v>0.12238494346055091</v>
      </c>
    </row>
    <row r="213" spans="1:12" x14ac:dyDescent="0.35">
      <c r="A213" t="s">
        <v>90</v>
      </c>
      <c r="B213">
        <v>2021</v>
      </c>
      <c r="C213" s="16">
        <v>4387251023</v>
      </c>
      <c r="D213" s="16">
        <v>14907739465</v>
      </c>
      <c r="E213" s="16">
        <v>8740654689</v>
      </c>
      <c r="F213" s="16">
        <v>35829825081</v>
      </c>
      <c r="G213" s="16">
        <v>17954236146</v>
      </c>
      <c r="H213" s="16">
        <v>1656100951</v>
      </c>
      <c r="K213" s="16">
        <v>711069847525</v>
      </c>
      <c r="L213">
        <f t="shared" si="3"/>
        <v>0.11739466614363103</v>
      </c>
    </row>
    <row r="214" spans="1:12" x14ac:dyDescent="0.35">
      <c r="A214" t="s">
        <v>90</v>
      </c>
      <c r="B214">
        <v>2022</v>
      </c>
      <c r="C214" s="16">
        <v>5944661774</v>
      </c>
      <c r="D214" s="16">
        <v>21089618097</v>
      </c>
      <c r="E214" s="16">
        <v>10450470941</v>
      </c>
      <c r="F214" s="16">
        <v>38353576454</v>
      </c>
      <c r="G214" s="16">
        <v>20845410182</v>
      </c>
      <c r="H214" s="16">
        <v>2277676406</v>
      </c>
      <c r="K214" s="16">
        <v>917539930190</v>
      </c>
      <c r="L214">
        <f t="shared" si="3"/>
        <v>0.10785515768617014</v>
      </c>
    </row>
    <row r="215" spans="1:12" x14ac:dyDescent="0.35">
      <c r="A215" t="s">
        <v>90</v>
      </c>
      <c r="B215">
        <v>2023</v>
      </c>
      <c r="C215" s="16">
        <v>5676913895</v>
      </c>
      <c r="D215" s="16">
        <v>19995827563</v>
      </c>
      <c r="E215" s="16">
        <v>14393577962</v>
      </c>
      <c r="F215" s="16">
        <v>33685927135</v>
      </c>
      <c r="G215" s="16">
        <v>22124570153</v>
      </c>
      <c r="H215" s="16">
        <v>3361420694</v>
      </c>
      <c r="K215" s="16">
        <v>864928867642</v>
      </c>
      <c r="L215">
        <f t="shared" si="3"/>
        <v>0.11473572118427129</v>
      </c>
    </row>
    <row r="216" spans="1:12" x14ac:dyDescent="0.35">
      <c r="A216" t="s">
        <v>90</v>
      </c>
      <c r="B216">
        <v>2024</v>
      </c>
      <c r="C216" s="16">
        <v>4518248417</v>
      </c>
      <c r="D216" s="16">
        <v>15171683702</v>
      </c>
      <c r="E216" s="16">
        <v>11501395050</v>
      </c>
      <c r="F216" s="16">
        <v>38581043094</v>
      </c>
      <c r="G216" s="16">
        <v>24468521225</v>
      </c>
      <c r="H216" s="16">
        <v>2876774973</v>
      </c>
      <c r="K216" s="16">
        <v>850696780925</v>
      </c>
      <c r="L216">
        <f t="shared" si="3"/>
        <v>0.11416249436773429</v>
      </c>
    </row>
    <row r="217" spans="1:12" x14ac:dyDescent="0.35">
      <c r="A217" t="s">
        <v>90</v>
      </c>
      <c r="B217">
        <v>2025</v>
      </c>
      <c r="C217" s="16">
        <v>4824619783</v>
      </c>
      <c r="D217" s="16">
        <v>13083221581</v>
      </c>
      <c r="E217" s="16">
        <v>14356512036</v>
      </c>
      <c r="F217" s="16">
        <v>43036584124</v>
      </c>
      <c r="G217" s="16">
        <v>26897802880</v>
      </c>
      <c r="H217" s="16">
        <v>2245939265</v>
      </c>
      <c r="K217" s="16">
        <v>875641064742</v>
      </c>
      <c r="L217">
        <f t="shared" si="3"/>
        <v>0.11927795974229888</v>
      </c>
    </row>
    <row r="218" spans="1:12" x14ac:dyDescent="0.35">
      <c r="A218" t="s">
        <v>91</v>
      </c>
      <c r="B218">
        <v>2002</v>
      </c>
      <c r="C218" s="16">
        <v>340389691</v>
      </c>
      <c r="D218" s="16">
        <v>288948769</v>
      </c>
      <c r="E218" s="16">
        <v>135445152</v>
      </c>
      <c r="F218" s="16">
        <v>203717871</v>
      </c>
      <c r="G218" s="16">
        <v>35854610</v>
      </c>
      <c r="H218" s="16">
        <v>29879826</v>
      </c>
      <c r="K218" s="16">
        <v>27398284109</v>
      </c>
      <c r="L218">
        <f t="shared" si="3"/>
        <v>3.7748200394062861E-2</v>
      </c>
    </row>
    <row r="219" spans="1:12" x14ac:dyDescent="0.35">
      <c r="A219" t="s">
        <v>91</v>
      </c>
      <c r="B219">
        <v>2003</v>
      </c>
      <c r="C219" s="16">
        <v>505815928</v>
      </c>
      <c r="D219" s="16">
        <v>302565555</v>
      </c>
      <c r="E219" s="16">
        <v>164487163</v>
      </c>
      <c r="F219" s="16">
        <v>255343889</v>
      </c>
      <c r="G219" s="16">
        <v>35611943</v>
      </c>
      <c r="H219" s="16">
        <v>26457358</v>
      </c>
      <c r="K219" s="16">
        <v>28074032292</v>
      </c>
      <c r="L219">
        <f t="shared" si="3"/>
        <v>4.5959975488369005E-2</v>
      </c>
    </row>
    <row r="220" spans="1:12" x14ac:dyDescent="0.35">
      <c r="A220" t="s">
        <v>91</v>
      </c>
      <c r="B220">
        <v>2004</v>
      </c>
      <c r="C220" s="16">
        <v>412774578</v>
      </c>
      <c r="D220" s="16">
        <v>254504671</v>
      </c>
      <c r="E220" s="16">
        <v>272600830</v>
      </c>
      <c r="F220" s="16">
        <v>241620233</v>
      </c>
      <c r="G220" s="16">
        <v>32721576</v>
      </c>
      <c r="H220" s="16">
        <v>29053451</v>
      </c>
      <c r="K220" s="16">
        <v>28769839148</v>
      </c>
      <c r="L220">
        <f t="shared" si="3"/>
        <v>4.321453910827406E-2</v>
      </c>
    </row>
    <row r="221" spans="1:12" x14ac:dyDescent="0.35">
      <c r="A221" t="s">
        <v>91</v>
      </c>
      <c r="B221">
        <v>2005</v>
      </c>
      <c r="C221" s="16">
        <v>546694208</v>
      </c>
      <c r="D221" s="16">
        <v>242607452</v>
      </c>
      <c r="E221" s="16">
        <v>388427058</v>
      </c>
      <c r="F221" s="16">
        <v>325143461</v>
      </c>
      <c r="G221" s="16">
        <v>38305676</v>
      </c>
      <c r="H221" s="16">
        <v>41418582</v>
      </c>
      <c r="K221" s="16">
        <v>31137084365</v>
      </c>
      <c r="L221">
        <f t="shared" si="3"/>
        <v>5.0826738253596272E-2</v>
      </c>
    </row>
    <row r="222" spans="1:12" x14ac:dyDescent="0.35">
      <c r="A222" t="s">
        <v>91</v>
      </c>
      <c r="B222">
        <v>2006</v>
      </c>
      <c r="C222" s="16">
        <v>1059038863</v>
      </c>
      <c r="D222" s="16">
        <v>248505067</v>
      </c>
      <c r="E222" s="16">
        <v>346641126</v>
      </c>
      <c r="F222" s="16">
        <v>273674762</v>
      </c>
      <c r="G222" s="16">
        <v>36540709</v>
      </c>
      <c r="H222" s="16">
        <v>37158853</v>
      </c>
      <c r="K222" s="16">
        <v>35640473472</v>
      </c>
      <c r="L222">
        <f t="shared" si="3"/>
        <v>5.6159730357467685E-2</v>
      </c>
    </row>
    <row r="223" spans="1:12" x14ac:dyDescent="0.35">
      <c r="A223" t="s">
        <v>91</v>
      </c>
      <c r="B223">
        <v>2007</v>
      </c>
      <c r="C223" s="16">
        <v>1249946425</v>
      </c>
      <c r="D223" s="16">
        <v>115814276</v>
      </c>
      <c r="E223" s="16">
        <v>355642481</v>
      </c>
      <c r="F223" s="16">
        <v>83933560</v>
      </c>
      <c r="G223" s="16">
        <v>75951007</v>
      </c>
      <c r="H223" s="16">
        <v>71793162</v>
      </c>
      <c r="K223" s="16">
        <v>38294061544</v>
      </c>
      <c r="L223">
        <f t="shared" si="3"/>
        <v>5.1002187604360108E-2</v>
      </c>
    </row>
    <row r="224" spans="1:12" x14ac:dyDescent="0.35">
      <c r="A224" t="s">
        <v>91</v>
      </c>
      <c r="B224">
        <v>2008</v>
      </c>
      <c r="C224" s="16">
        <v>1223037285</v>
      </c>
      <c r="D224" s="16">
        <v>102404286</v>
      </c>
      <c r="E224" s="16">
        <v>217333385</v>
      </c>
      <c r="F224" s="16">
        <v>47667681</v>
      </c>
      <c r="G224" s="16">
        <v>75748805</v>
      </c>
      <c r="H224" s="16">
        <v>78266958</v>
      </c>
      <c r="K224" s="16">
        <v>38847346198</v>
      </c>
      <c r="L224">
        <f t="shared" si="3"/>
        <v>4.4905471563198081E-2</v>
      </c>
    </row>
    <row r="225" spans="1:12" x14ac:dyDescent="0.35">
      <c r="A225" t="s">
        <v>91</v>
      </c>
      <c r="B225">
        <v>2009</v>
      </c>
      <c r="C225" s="16">
        <v>71201929</v>
      </c>
      <c r="D225" s="16">
        <v>99567504</v>
      </c>
      <c r="E225" s="16">
        <v>135178711</v>
      </c>
      <c r="F225" s="16">
        <v>53894251</v>
      </c>
      <c r="G225" s="16">
        <v>67671010</v>
      </c>
      <c r="H225" s="16">
        <v>44681228</v>
      </c>
      <c r="K225" s="16">
        <v>31696763402</v>
      </c>
      <c r="L225">
        <f t="shared" si="3"/>
        <v>1.4897250770096151E-2</v>
      </c>
    </row>
    <row r="226" spans="1:12" x14ac:dyDescent="0.35">
      <c r="A226" t="s">
        <v>91</v>
      </c>
      <c r="B226">
        <v>2010</v>
      </c>
      <c r="C226" s="16">
        <v>44952025</v>
      </c>
      <c r="D226" s="16">
        <v>91079619</v>
      </c>
      <c r="E226" s="16">
        <v>61675789</v>
      </c>
      <c r="F226" s="16">
        <v>56943675</v>
      </c>
      <c r="G226" s="16">
        <v>62973098</v>
      </c>
      <c r="H226" s="16">
        <v>54155643</v>
      </c>
      <c r="K226" s="16">
        <v>37267906508</v>
      </c>
      <c r="L226">
        <f t="shared" si="3"/>
        <v>9.9758715698235693E-3</v>
      </c>
    </row>
    <row r="227" spans="1:12" x14ac:dyDescent="0.35">
      <c r="A227" t="s">
        <v>91</v>
      </c>
      <c r="B227">
        <v>2011</v>
      </c>
      <c r="C227" s="16">
        <v>87135067</v>
      </c>
      <c r="D227" s="16">
        <v>110813114</v>
      </c>
      <c r="E227" s="16">
        <v>74557516</v>
      </c>
      <c r="F227" s="16">
        <v>43585487</v>
      </c>
      <c r="G227" s="16">
        <v>81266113</v>
      </c>
      <c r="H227" s="16">
        <v>65507127</v>
      </c>
      <c r="K227" s="16">
        <v>42828033392</v>
      </c>
      <c r="L227">
        <f t="shared" si="3"/>
        <v>1.0807510579891816E-2</v>
      </c>
    </row>
    <row r="228" spans="1:12" x14ac:dyDescent="0.35">
      <c r="A228" t="s">
        <v>91</v>
      </c>
      <c r="B228">
        <v>2012</v>
      </c>
      <c r="C228" s="16">
        <v>16024603</v>
      </c>
      <c r="D228" s="16">
        <v>191096604</v>
      </c>
      <c r="E228" s="16">
        <v>96124879</v>
      </c>
      <c r="F228" s="16">
        <v>70539075</v>
      </c>
      <c r="G228" s="16">
        <v>91033194</v>
      </c>
      <c r="H228" s="16">
        <v>71527672</v>
      </c>
      <c r="K228" s="16">
        <v>45213015628</v>
      </c>
      <c r="L228">
        <f t="shared" si="3"/>
        <v>1.1862646619568679E-2</v>
      </c>
    </row>
    <row r="229" spans="1:12" x14ac:dyDescent="0.35">
      <c r="A229" t="s">
        <v>91</v>
      </c>
      <c r="B229">
        <v>2013</v>
      </c>
      <c r="C229" s="16">
        <v>13094812</v>
      </c>
      <c r="D229" s="16">
        <v>160454546</v>
      </c>
      <c r="E229" s="16">
        <v>81368719</v>
      </c>
      <c r="F229" s="16">
        <v>41271861</v>
      </c>
      <c r="G229" s="16">
        <v>86856324</v>
      </c>
      <c r="H229" s="16">
        <v>67425986</v>
      </c>
      <c r="K229" s="16">
        <v>47302913319</v>
      </c>
      <c r="L229">
        <f t="shared" si="3"/>
        <v>9.5231396206427801E-3</v>
      </c>
    </row>
    <row r="230" spans="1:12" x14ac:dyDescent="0.35">
      <c r="A230" t="s">
        <v>91</v>
      </c>
      <c r="B230">
        <v>2014</v>
      </c>
      <c r="C230" s="16">
        <v>18624968</v>
      </c>
      <c r="D230" s="16">
        <v>88837461</v>
      </c>
      <c r="E230" s="16">
        <v>72261504</v>
      </c>
      <c r="F230" s="16">
        <v>42774689</v>
      </c>
      <c r="G230" s="16">
        <v>87683249</v>
      </c>
      <c r="H230" s="16">
        <v>83495362</v>
      </c>
      <c r="K230" s="16">
        <v>48053695644</v>
      </c>
      <c r="L230">
        <f t="shared" si="3"/>
        <v>8.1924444670501556E-3</v>
      </c>
    </row>
    <row r="231" spans="1:12" x14ac:dyDescent="0.35">
      <c r="A231" t="s">
        <v>91</v>
      </c>
      <c r="B231">
        <v>2015</v>
      </c>
      <c r="C231" s="16">
        <v>30422716</v>
      </c>
      <c r="D231" s="16">
        <v>75074895</v>
      </c>
      <c r="E231" s="16">
        <v>71367210</v>
      </c>
      <c r="F231" s="16">
        <v>56158558</v>
      </c>
      <c r="G231" s="16">
        <v>84761485</v>
      </c>
      <c r="H231" s="16">
        <v>80864917</v>
      </c>
      <c r="K231" s="16">
        <v>49634001363</v>
      </c>
      <c r="L231">
        <f t="shared" si="3"/>
        <v>8.031788089871315E-3</v>
      </c>
    </row>
    <row r="232" spans="1:12" x14ac:dyDescent="0.35">
      <c r="A232" t="s">
        <v>91</v>
      </c>
      <c r="B232">
        <v>2016</v>
      </c>
      <c r="C232" s="16">
        <v>139868879</v>
      </c>
      <c r="D232" s="16">
        <v>116746742</v>
      </c>
      <c r="E232" s="16">
        <v>61353573</v>
      </c>
      <c r="F232" s="16">
        <v>65222274</v>
      </c>
      <c r="G232" s="16">
        <v>75349568</v>
      </c>
      <c r="H232" s="16">
        <v>118699393</v>
      </c>
      <c r="K232" s="16">
        <v>50038841230</v>
      </c>
      <c r="L232">
        <f t="shared" si="3"/>
        <v>1.15358472500743E-2</v>
      </c>
    </row>
    <row r="233" spans="1:12" x14ac:dyDescent="0.35">
      <c r="A233" t="s">
        <v>91</v>
      </c>
      <c r="B233">
        <v>2017</v>
      </c>
      <c r="C233" s="16">
        <v>250621916</v>
      </c>
      <c r="D233" s="16">
        <v>69600186</v>
      </c>
      <c r="E233" s="16">
        <v>58601904</v>
      </c>
      <c r="F233" s="16">
        <v>77591640</v>
      </c>
      <c r="G233" s="16">
        <v>66869616</v>
      </c>
      <c r="H233" s="16">
        <v>134445412</v>
      </c>
      <c r="K233" s="16">
        <v>55017987697</v>
      </c>
      <c r="L233">
        <f t="shared" si="3"/>
        <v>1.1954829711735613E-2</v>
      </c>
    </row>
    <row r="234" spans="1:12" x14ac:dyDescent="0.35">
      <c r="A234" t="s">
        <v>91</v>
      </c>
      <c r="B234">
        <v>2018</v>
      </c>
      <c r="C234" s="16">
        <v>244938109</v>
      </c>
      <c r="D234" s="16">
        <v>69870524</v>
      </c>
      <c r="E234" s="16">
        <v>47412394</v>
      </c>
      <c r="F234" s="16">
        <v>65783327</v>
      </c>
      <c r="G234" s="16">
        <v>82632638</v>
      </c>
      <c r="H234" s="16">
        <v>153727951</v>
      </c>
      <c r="K234" s="16">
        <v>57849991618</v>
      </c>
      <c r="L234">
        <f t="shared" si="3"/>
        <v>1.1484270341592983E-2</v>
      </c>
    </row>
    <row r="235" spans="1:12" x14ac:dyDescent="0.35">
      <c r="A235" t="s">
        <v>91</v>
      </c>
      <c r="B235">
        <v>2019</v>
      </c>
      <c r="C235" s="16">
        <v>244475988</v>
      </c>
      <c r="D235" s="16">
        <v>319718786</v>
      </c>
      <c r="E235" s="16">
        <v>52857022</v>
      </c>
      <c r="F235" s="16">
        <v>103229320</v>
      </c>
      <c r="G235" s="16">
        <v>63288607</v>
      </c>
      <c r="H235" s="16">
        <v>164921668</v>
      </c>
      <c r="K235" s="16">
        <v>59902809944</v>
      </c>
      <c r="L235">
        <f t="shared" si="3"/>
        <v>1.5833838043435609E-2</v>
      </c>
    </row>
    <row r="236" spans="1:12" x14ac:dyDescent="0.35">
      <c r="A236" t="s">
        <v>91</v>
      </c>
      <c r="B236">
        <v>2020</v>
      </c>
      <c r="C236" s="16">
        <v>264296821</v>
      </c>
      <c r="D236" s="16">
        <v>345194908</v>
      </c>
      <c r="E236" s="16">
        <v>61470126</v>
      </c>
      <c r="F236" s="16">
        <v>118277319</v>
      </c>
      <c r="G236" s="16">
        <v>66185976</v>
      </c>
      <c r="H236" s="16">
        <v>138390312</v>
      </c>
      <c r="K236" s="16">
        <v>53757392564</v>
      </c>
      <c r="L236">
        <f t="shared" si="3"/>
        <v>1.8487047354776909E-2</v>
      </c>
    </row>
    <row r="237" spans="1:12" x14ac:dyDescent="0.35">
      <c r="A237" t="s">
        <v>91</v>
      </c>
      <c r="B237">
        <v>2021</v>
      </c>
      <c r="C237" s="16">
        <v>142204696</v>
      </c>
      <c r="D237" s="16">
        <v>476790869</v>
      </c>
      <c r="E237" s="16">
        <v>95219559</v>
      </c>
      <c r="F237" s="16">
        <v>136683859</v>
      </c>
      <c r="G237" s="16">
        <v>66282555</v>
      </c>
      <c r="H237" s="16">
        <v>125786776</v>
      </c>
      <c r="K237" s="16">
        <v>63618525288</v>
      </c>
      <c r="L237">
        <f t="shared" si="3"/>
        <v>1.6394097619812781E-2</v>
      </c>
    </row>
    <row r="238" spans="1:12" x14ac:dyDescent="0.35">
      <c r="A238" t="s">
        <v>91</v>
      </c>
      <c r="B238">
        <v>2022</v>
      </c>
      <c r="C238" s="16">
        <v>214395550</v>
      </c>
      <c r="D238" s="16">
        <v>1082194597</v>
      </c>
      <c r="E238" s="16">
        <v>86604486</v>
      </c>
      <c r="F238" s="16">
        <v>149209232</v>
      </c>
      <c r="G238" s="16">
        <v>89565799</v>
      </c>
      <c r="H238" s="16">
        <v>129727053</v>
      </c>
      <c r="K238" s="16">
        <v>78402700313</v>
      </c>
      <c r="L238">
        <f t="shared" si="3"/>
        <v>2.2342300839216761E-2</v>
      </c>
    </row>
    <row r="239" spans="1:12" x14ac:dyDescent="0.35">
      <c r="A239" t="s">
        <v>91</v>
      </c>
      <c r="B239">
        <v>2023</v>
      </c>
      <c r="C239" s="16">
        <v>200145765</v>
      </c>
      <c r="D239" s="16">
        <v>812961795</v>
      </c>
      <c r="E239" s="16">
        <v>71332770</v>
      </c>
      <c r="F239" s="16">
        <v>154468375</v>
      </c>
      <c r="G239" s="16">
        <v>95292576</v>
      </c>
      <c r="H239" s="16">
        <v>144605769</v>
      </c>
      <c r="K239" s="16">
        <v>77340132974</v>
      </c>
      <c r="L239">
        <f t="shared" si="3"/>
        <v>1.9120823731931538E-2</v>
      </c>
    </row>
    <row r="240" spans="1:12" x14ac:dyDescent="0.35">
      <c r="A240" t="s">
        <v>91</v>
      </c>
      <c r="B240">
        <v>2024</v>
      </c>
      <c r="C240" s="16">
        <v>230450720</v>
      </c>
      <c r="D240" s="16">
        <v>876276155</v>
      </c>
      <c r="E240" s="16">
        <v>71239636</v>
      </c>
      <c r="F240" s="16">
        <v>129515389</v>
      </c>
      <c r="G240" s="16">
        <v>96384612</v>
      </c>
      <c r="H240" s="16">
        <v>147810973</v>
      </c>
      <c r="K240" s="16">
        <v>78895039661</v>
      </c>
      <c r="L240">
        <f t="shared" si="3"/>
        <v>1.9667617782655571E-2</v>
      </c>
    </row>
    <row r="241" spans="1:12" x14ac:dyDescent="0.35">
      <c r="A241" t="s">
        <v>91</v>
      </c>
      <c r="B241">
        <v>2025</v>
      </c>
      <c r="C241" s="16">
        <v>345747963</v>
      </c>
      <c r="D241" s="16">
        <v>718725956</v>
      </c>
      <c r="E241" s="16">
        <v>65855892</v>
      </c>
      <c r="F241" s="16">
        <v>147241712</v>
      </c>
      <c r="G241" s="16">
        <v>81760398</v>
      </c>
      <c r="H241" s="16">
        <v>137576409</v>
      </c>
      <c r="K241" s="16">
        <v>78967527509</v>
      </c>
      <c r="L241">
        <f t="shared" si="3"/>
        <v>1.895599846189177E-2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37"/>
  <sheetViews>
    <sheetView workbookViewId="0">
      <pane xSplit="1" ySplit="12" topLeftCell="B13" activePane="bottomRight" state="frozen"/>
      <selection pane="topRight"/>
      <selection pane="bottomLeft"/>
      <selection pane="bottomRight" activeCell="B13" sqref="B13"/>
    </sheetView>
  </sheetViews>
  <sheetFormatPr defaultRowHeight="11.4" customHeight="1" x14ac:dyDescent="0.35"/>
  <cols>
    <col min="1" max="1" width="29.90625" customWidth="1"/>
    <col min="2" max="26" width="10" customWidth="1"/>
  </cols>
  <sheetData>
    <row r="1" spans="1:37" ht="14.5" x14ac:dyDescent="0.35">
      <c r="A1" s="2" t="s">
        <v>31</v>
      </c>
    </row>
    <row r="2" spans="1:37" ht="14.5" x14ac:dyDescent="0.35">
      <c r="A2" s="2" t="s">
        <v>32</v>
      </c>
      <c r="B2" s="1" t="s">
        <v>0</v>
      </c>
    </row>
    <row r="3" spans="1:37" ht="14.5" x14ac:dyDescent="0.35">
      <c r="A3" s="2" t="s">
        <v>33</v>
      </c>
      <c r="B3" s="2" t="s">
        <v>6</v>
      </c>
    </row>
    <row r="4" spans="1:37" ht="14.5" x14ac:dyDescent="0.35"/>
    <row r="5" spans="1:37" ht="14.5" x14ac:dyDescent="0.35">
      <c r="A5" s="1" t="s">
        <v>11</v>
      </c>
      <c r="C5" s="2" t="s">
        <v>16</v>
      </c>
    </row>
    <row r="6" spans="1:37" ht="14.5" x14ac:dyDescent="0.35">
      <c r="A6" s="1" t="s">
        <v>12</v>
      </c>
      <c r="C6" s="2" t="s">
        <v>17</v>
      </c>
    </row>
    <row r="7" spans="1:37" ht="14.5" x14ac:dyDescent="0.35">
      <c r="A7" s="1" t="s">
        <v>13</v>
      </c>
      <c r="C7" s="2" t="s">
        <v>18</v>
      </c>
    </row>
    <row r="8" spans="1:37" ht="14.5" x14ac:dyDescent="0.35">
      <c r="A8" s="1" t="s">
        <v>14</v>
      </c>
      <c r="C8" s="2" t="s">
        <v>19</v>
      </c>
    </row>
    <row r="9" spans="1:37" ht="14.5" x14ac:dyDescent="0.35"/>
    <row r="10" spans="1:37" ht="14.5" x14ac:dyDescent="0.35">
      <c r="A10" s="5" t="s">
        <v>34</v>
      </c>
      <c r="B10" s="4" t="s">
        <v>35</v>
      </c>
      <c r="C10" s="4" t="s">
        <v>36</v>
      </c>
      <c r="D10" s="4" t="s">
        <v>37</v>
      </c>
      <c r="E10" s="4" t="s">
        <v>38</v>
      </c>
      <c r="F10" s="4" t="s">
        <v>39</v>
      </c>
      <c r="G10" s="4" t="s">
        <v>40</v>
      </c>
      <c r="H10" s="4" t="s">
        <v>41</v>
      </c>
      <c r="I10" s="4" t="s">
        <v>42</v>
      </c>
      <c r="J10" s="4" t="s">
        <v>43</v>
      </c>
      <c r="K10" s="4" t="s">
        <v>44</v>
      </c>
      <c r="L10" s="4" t="s">
        <v>45</v>
      </c>
      <c r="M10" s="4" t="s">
        <v>46</v>
      </c>
      <c r="N10" s="4" t="s">
        <v>47</v>
      </c>
      <c r="O10" s="4" t="s">
        <v>48</v>
      </c>
      <c r="P10" s="4" t="s">
        <v>49</v>
      </c>
      <c r="Q10" s="4" t="s">
        <v>50</v>
      </c>
      <c r="R10" s="4" t="s">
        <v>51</v>
      </c>
      <c r="S10" s="4" t="s">
        <v>52</v>
      </c>
      <c r="T10" s="4" t="s">
        <v>53</v>
      </c>
      <c r="U10" s="4" t="s">
        <v>54</v>
      </c>
      <c r="V10" s="4" t="s">
        <v>55</v>
      </c>
      <c r="W10" s="4" t="s">
        <v>56</v>
      </c>
      <c r="X10" s="4" t="s">
        <v>57</v>
      </c>
      <c r="Y10" s="4" t="s">
        <v>58</v>
      </c>
      <c r="Z10" s="4" t="s">
        <v>59</v>
      </c>
    </row>
    <row r="11" spans="1:37" ht="14.5" x14ac:dyDescent="0.35">
      <c r="A11" s="5" t="s">
        <v>60</v>
      </c>
      <c r="B11" s="3" t="s">
        <v>61</v>
      </c>
      <c r="C11" s="3" t="s">
        <v>61</v>
      </c>
      <c r="D11" s="3" t="s">
        <v>61</v>
      </c>
      <c r="E11" s="3" t="s">
        <v>61</v>
      </c>
      <c r="F11" s="3" t="s">
        <v>61</v>
      </c>
      <c r="G11" s="3" t="s">
        <v>61</v>
      </c>
      <c r="H11" s="3" t="s">
        <v>61</v>
      </c>
      <c r="I11" s="3" t="s">
        <v>61</v>
      </c>
      <c r="J11" s="3" t="s">
        <v>61</v>
      </c>
      <c r="K11" s="3" t="s">
        <v>61</v>
      </c>
      <c r="L11" s="3" t="s">
        <v>61</v>
      </c>
      <c r="M11" s="3" t="s">
        <v>61</v>
      </c>
      <c r="N11" s="3" t="s">
        <v>61</v>
      </c>
      <c r="O11" s="3" t="s">
        <v>61</v>
      </c>
      <c r="P11" s="3" t="s">
        <v>61</v>
      </c>
      <c r="Q11" s="3" t="s">
        <v>61</v>
      </c>
      <c r="R11" s="3" t="s">
        <v>61</v>
      </c>
      <c r="S11" s="3" t="s">
        <v>61</v>
      </c>
      <c r="T11" s="3" t="s">
        <v>61</v>
      </c>
      <c r="U11" s="3" t="s">
        <v>61</v>
      </c>
      <c r="V11" s="3" t="s">
        <v>61</v>
      </c>
      <c r="W11" s="3" t="s">
        <v>61</v>
      </c>
      <c r="X11" s="3" t="s">
        <v>61</v>
      </c>
      <c r="Y11" s="3" t="s">
        <v>61</v>
      </c>
      <c r="Z11" s="3" t="s">
        <v>61</v>
      </c>
    </row>
    <row r="12" spans="1:37" ht="14.5" x14ac:dyDescent="0.35">
      <c r="A12" s="6" t="s">
        <v>62</v>
      </c>
      <c r="B12" s="8" t="s">
        <v>63</v>
      </c>
      <c r="C12" s="8" t="s">
        <v>63</v>
      </c>
      <c r="D12" s="8" t="s">
        <v>63</v>
      </c>
      <c r="E12" s="8" t="s">
        <v>63</v>
      </c>
      <c r="F12" s="8" t="s">
        <v>63</v>
      </c>
      <c r="G12" s="8" t="s">
        <v>63</v>
      </c>
      <c r="H12" s="8" t="s">
        <v>63</v>
      </c>
      <c r="I12" s="8" t="s">
        <v>63</v>
      </c>
      <c r="J12" s="8" t="s">
        <v>63</v>
      </c>
      <c r="K12" s="8" t="s">
        <v>63</v>
      </c>
      <c r="L12" s="8" t="s">
        <v>63</v>
      </c>
      <c r="M12" s="8" t="s">
        <v>63</v>
      </c>
      <c r="N12" s="8" t="s">
        <v>63</v>
      </c>
      <c r="O12" s="8" t="s">
        <v>63</v>
      </c>
      <c r="P12" s="8" t="s">
        <v>63</v>
      </c>
      <c r="Q12" s="8" t="s">
        <v>63</v>
      </c>
      <c r="R12" s="8" t="s">
        <v>63</v>
      </c>
      <c r="S12" s="8" t="s">
        <v>63</v>
      </c>
      <c r="T12" s="8" t="s">
        <v>63</v>
      </c>
      <c r="U12" s="8" t="s">
        <v>63</v>
      </c>
      <c r="V12" s="8" t="s">
        <v>63</v>
      </c>
      <c r="W12" s="8" t="s">
        <v>63</v>
      </c>
      <c r="X12" s="8" t="s">
        <v>63</v>
      </c>
      <c r="Y12" s="8" t="s">
        <v>63</v>
      </c>
      <c r="Z12" s="8" t="s">
        <v>63</v>
      </c>
      <c r="AB12" t="s">
        <v>83</v>
      </c>
      <c r="AC12" t="s">
        <v>84</v>
      </c>
      <c r="AD12" t="s">
        <v>88</v>
      </c>
      <c r="AE12" t="s">
        <v>85</v>
      </c>
      <c r="AF12" t="s">
        <v>87</v>
      </c>
      <c r="AG12" t="s">
        <v>89</v>
      </c>
      <c r="AH12" t="s">
        <v>90</v>
      </c>
      <c r="AI12" t="s">
        <v>82</v>
      </c>
      <c r="AJ12" t="s">
        <v>91</v>
      </c>
      <c r="AK12" t="s">
        <v>86</v>
      </c>
    </row>
    <row r="13" spans="1:37" ht="14.5" x14ac:dyDescent="0.35">
      <c r="A13" s="7" t="s">
        <v>64</v>
      </c>
      <c r="B13" s="9">
        <v>62031323386</v>
      </c>
      <c r="C13" s="9">
        <v>57772274753</v>
      </c>
      <c r="D13" s="9">
        <v>59293959873</v>
      </c>
      <c r="E13" s="9">
        <v>63378740671</v>
      </c>
      <c r="F13" s="9">
        <v>70014268677</v>
      </c>
      <c r="G13" s="9">
        <v>75200569627</v>
      </c>
      <c r="H13" s="9">
        <v>74210178874</v>
      </c>
      <c r="I13" s="9">
        <v>64881942739</v>
      </c>
      <c r="J13" s="9">
        <v>83131064603</v>
      </c>
      <c r="K13" s="9">
        <v>95891395913</v>
      </c>
      <c r="L13" s="9">
        <v>104267454499</v>
      </c>
      <c r="M13" s="9">
        <v>105475796362</v>
      </c>
      <c r="N13" s="9">
        <v>104691279242</v>
      </c>
      <c r="O13" s="9">
        <v>101257534306</v>
      </c>
      <c r="P13" s="9">
        <v>100609638279</v>
      </c>
      <c r="Q13" s="9">
        <v>105278694903</v>
      </c>
      <c r="R13" s="9">
        <v>106970148539</v>
      </c>
      <c r="S13" s="9">
        <v>108754426441</v>
      </c>
      <c r="T13" s="9">
        <v>127359688072</v>
      </c>
      <c r="U13" s="9">
        <v>154251888492</v>
      </c>
      <c r="V13" s="9">
        <v>193203279502</v>
      </c>
      <c r="W13" s="9">
        <v>177963933435</v>
      </c>
      <c r="X13" s="9">
        <v>166743323538</v>
      </c>
      <c r="Y13" s="9">
        <v>157432124061</v>
      </c>
      <c r="Z13" s="9" t="s">
        <v>65</v>
      </c>
      <c r="AB13" s="9">
        <v>62031323386</v>
      </c>
      <c r="AC13" s="10">
        <v>296455634123</v>
      </c>
      <c r="AD13" s="9">
        <v>32628957510</v>
      </c>
      <c r="AE13" s="10">
        <v>38071692283</v>
      </c>
      <c r="AF13" s="9">
        <v>135391732712</v>
      </c>
      <c r="AG13" s="10">
        <v>124169882417</v>
      </c>
      <c r="AH13" s="9">
        <v>58716507767</v>
      </c>
      <c r="AI13" s="10">
        <v>32111774016</v>
      </c>
      <c r="AJ13" s="9">
        <v>5528289886</v>
      </c>
      <c r="AK13" s="10">
        <v>22024838241</v>
      </c>
    </row>
    <row r="14" spans="1:37" ht="14.5" x14ac:dyDescent="0.35">
      <c r="A14" s="7" t="s">
        <v>66</v>
      </c>
      <c r="B14" s="10">
        <v>296455634123</v>
      </c>
      <c r="C14" s="10">
        <v>294622903291</v>
      </c>
      <c r="D14" s="10">
        <v>286100133261</v>
      </c>
      <c r="E14" s="10">
        <v>285862216810</v>
      </c>
      <c r="F14" s="10">
        <v>330469100222</v>
      </c>
      <c r="G14" s="10">
        <v>340182225146</v>
      </c>
      <c r="H14" s="10">
        <v>360590842328</v>
      </c>
      <c r="I14" s="10">
        <v>302312744375</v>
      </c>
      <c r="J14" s="10">
        <v>378714152590</v>
      </c>
      <c r="K14" s="10">
        <v>431152446855</v>
      </c>
      <c r="L14" s="10">
        <v>473136311866</v>
      </c>
      <c r="M14" s="10">
        <v>470524909976</v>
      </c>
      <c r="N14" s="10">
        <v>476440141831</v>
      </c>
      <c r="O14" s="10">
        <v>503014161038</v>
      </c>
      <c r="P14" s="10">
        <v>499720247391</v>
      </c>
      <c r="Q14" s="10">
        <v>531972779086</v>
      </c>
      <c r="R14" s="10">
        <v>541985006853</v>
      </c>
      <c r="S14" s="10">
        <v>552821345847</v>
      </c>
      <c r="T14" s="10">
        <v>567148118250</v>
      </c>
      <c r="U14" s="10">
        <v>632719703451</v>
      </c>
      <c r="V14" s="10">
        <v>714375973105</v>
      </c>
      <c r="W14" s="10">
        <v>714550976595</v>
      </c>
      <c r="X14" s="10">
        <v>709140539286</v>
      </c>
      <c r="Y14" s="10">
        <v>689200312766</v>
      </c>
      <c r="Z14" s="10" t="s">
        <v>65</v>
      </c>
      <c r="AB14" s="9">
        <v>57772274753</v>
      </c>
      <c r="AC14" s="10">
        <v>294622903291</v>
      </c>
      <c r="AD14" s="9">
        <v>31651005629</v>
      </c>
      <c r="AE14" s="10">
        <v>38890470739</v>
      </c>
      <c r="AF14" s="9">
        <v>129044113392</v>
      </c>
      <c r="AG14" s="10">
        <v>119983083602</v>
      </c>
      <c r="AH14" s="9">
        <v>59807378735</v>
      </c>
      <c r="AI14" s="10">
        <v>33093312180</v>
      </c>
      <c r="AJ14" s="9">
        <v>5776134020</v>
      </c>
      <c r="AK14" s="10">
        <v>22109925592</v>
      </c>
    </row>
    <row r="15" spans="1:37" ht="14.5" x14ac:dyDescent="0.35">
      <c r="A15" s="7" t="s">
        <v>67</v>
      </c>
      <c r="B15" s="9">
        <v>32628957510</v>
      </c>
      <c r="C15" s="9">
        <v>31651005629</v>
      </c>
      <c r="D15" s="9">
        <v>31631620796</v>
      </c>
      <c r="E15" s="9">
        <v>32072426984</v>
      </c>
      <c r="F15" s="9">
        <v>31965340199</v>
      </c>
      <c r="G15" s="9">
        <v>32409411293</v>
      </c>
      <c r="H15" s="9">
        <v>31782409778</v>
      </c>
      <c r="I15" s="9">
        <v>32263610648</v>
      </c>
      <c r="J15" s="9">
        <v>37537640260</v>
      </c>
      <c r="K15" s="9">
        <v>38400028315</v>
      </c>
      <c r="L15" s="9">
        <v>37832956318</v>
      </c>
      <c r="M15" s="9">
        <v>37612007026</v>
      </c>
      <c r="N15" s="9">
        <v>41085459786</v>
      </c>
      <c r="O15" s="9">
        <v>52288915665</v>
      </c>
      <c r="P15" s="9">
        <v>58927170747</v>
      </c>
      <c r="Q15" s="9">
        <v>59558709177</v>
      </c>
      <c r="R15" s="9">
        <v>69642961945</v>
      </c>
      <c r="S15" s="9">
        <v>79683747421</v>
      </c>
      <c r="T15" s="9">
        <v>92629918900</v>
      </c>
      <c r="U15" s="9">
        <v>99756393511</v>
      </c>
      <c r="V15" s="9">
        <v>123122778110</v>
      </c>
      <c r="W15" s="9">
        <v>111602967026</v>
      </c>
      <c r="X15" s="9">
        <v>134458200364</v>
      </c>
      <c r="Y15" s="9">
        <v>171705682310</v>
      </c>
      <c r="Z15" s="9" t="s">
        <v>65</v>
      </c>
      <c r="AB15" s="9">
        <v>59293959873</v>
      </c>
      <c r="AC15" s="10">
        <v>286100133261</v>
      </c>
      <c r="AD15" s="9">
        <v>31631620796</v>
      </c>
      <c r="AE15" s="10">
        <v>39829558171</v>
      </c>
      <c r="AF15" s="9">
        <v>130028775886</v>
      </c>
      <c r="AG15" s="10">
        <v>119085908196</v>
      </c>
      <c r="AH15" s="9">
        <v>61454816769</v>
      </c>
      <c r="AI15" s="10">
        <v>30623861128</v>
      </c>
      <c r="AJ15" s="9">
        <v>5928580211</v>
      </c>
      <c r="AK15" s="10">
        <v>22053593477</v>
      </c>
    </row>
    <row r="16" spans="1:37" ht="14.5" x14ac:dyDescent="0.35">
      <c r="A16" s="7" t="s">
        <v>68</v>
      </c>
      <c r="B16" s="10">
        <v>38071692283</v>
      </c>
      <c r="C16" s="10">
        <v>38890470739</v>
      </c>
      <c r="D16" s="10">
        <v>39829558171</v>
      </c>
      <c r="E16" s="10">
        <v>43582168381</v>
      </c>
      <c r="F16" s="10">
        <v>50072932257</v>
      </c>
      <c r="G16" s="10">
        <v>54028954929</v>
      </c>
      <c r="H16" s="10">
        <v>58232722526</v>
      </c>
      <c r="I16" s="10">
        <v>49181136109</v>
      </c>
      <c r="J16" s="10">
        <v>60108293228</v>
      </c>
      <c r="K16" s="10">
        <v>73521473981</v>
      </c>
      <c r="L16" s="10">
        <v>83713151371</v>
      </c>
      <c r="M16" s="10">
        <v>88913749283</v>
      </c>
      <c r="N16" s="10">
        <v>88493078826</v>
      </c>
      <c r="O16" s="10">
        <v>88955736813</v>
      </c>
      <c r="P16" s="10">
        <v>86998580131</v>
      </c>
      <c r="Q16" s="10">
        <v>95512945028</v>
      </c>
      <c r="R16" s="10">
        <v>98501914646</v>
      </c>
      <c r="S16" s="10">
        <v>99689068975</v>
      </c>
      <c r="T16" s="10">
        <v>102779625779</v>
      </c>
      <c r="U16" s="10">
        <v>121869339529</v>
      </c>
      <c r="V16" s="10">
        <v>144821463463</v>
      </c>
      <c r="W16" s="10">
        <v>144313782795</v>
      </c>
      <c r="X16" s="10">
        <v>150186027645</v>
      </c>
      <c r="Y16" s="10">
        <v>150531883045</v>
      </c>
      <c r="Z16" s="10" t="s">
        <v>65</v>
      </c>
      <c r="AB16" s="9">
        <v>63378740671</v>
      </c>
      <c r="AC16" s="10">
        <v>285862216810</v>
      </c>
      <c r="AD16" s="9">
        <v>32072426984</v>
      </c>
      <c r="AE16" s="10">
        <v>43582168381</v>
      </c>
      <c r="AF16" s="9">
        <v>138529093521</v>
      </c>
      <c r="AG16" s="10">
        <v>122169819396</v>
      </c>
      <c r="AH16" s="9">
        <v>67140881603</v>
      </c>
      <c r="AI16" s="10">
        <v>30698284255</v>
      </c>
      <c r="AJ16" s="9">
        <v>6213406047</v>
      </c>
      <c r="AK16" s="10">
        <v>22861598893</v>
      </c>
    </row>
    <row r="17" spans="1:37" ht="14.5" x14ac:dyDescent="0.35">
      <c r="A17" s="7" t="s">
        <v>69</v>
      </c>
      <c r="B17" s="9">
        <v>135391732712</v>
      </c>
      <c r="C17" s="9">
        <v>129044113392</v>
      </c>
      <c r="D17" s="9">
        <v>130028775886</v>
      </c>
      <c r="E17" s="9">
        <v>138529093521</v>
      </c>
      <c r="F17" s="9">
        <v>139170389380</v>
      </c>
      <c r="G17" s="9">
        <v>140719076113</v>
      </c>
      <c r="H17" s="9">
        <v>151381533758</v>
      </c>
      <c r="I17" s="9">
        <v>130602208885</v>
      </c>
      <c r="J17" s="9">
        <v>154463686875</v>
      </c>
      <c r="K17" s="9">
        <v>167477056664</v>
      </c>
      <c r="L17" s="9">
        <v>182098435799</v>
      </c>
      <c r="M17" s="9">
        <v>177803780583</v>
      </c>
      <c r="N17" s="9">
        <v>174514775614</v>
      </c>
      <c r="O17" s="9">
        <v>187828775501</v>
      </c>
      <c r="P17" s="9">
        <v>183782596566</v>
      </c>
      <c r="Q17" s="9">
        <v>195186519283</v>
      </c>
      <c r="R17" s="9">
        <v>201913254175</v>
      </c>
      <c r="S17" s="9">
        <v>213099222238</v>
      </c>
      <c r="T17" s="9">
        <v>196006250526</v>
      </c>
      <c r="U17" s="9">
        <v>224530351760</v>
      </c>
      <c r="V17" s="9">
        <v>259756251548</v>
      </c>
      <c r="W17" s="9">
        <v>268568308244</v>
      </c>
      <c r="X17" s="9">
        <v>272280100721</v>
      </c>
      <c r="Y17" s="9">
        <v>280374784992</v>
      </c>
      <c r="Z17" s="9" t="s">
        <v>65</v>
      </c>
      <c r="AB17" s="9">
        <v>70014268677</v>
      </c>
      <c r="AC17" s="10">
        <v>330469100222</v>
      </c>
      <c r="AD17" s="9">
        <v>31965340199</v>
      </c>
      <c r="AE17" s="10">
        <v>50072932257</v>
      </c>
      <c r="AF17" s="9">
        <v>139170389380</v>
      </c>
      <c r="AG17" s="10">
        <v>136040548947</v>
      </c>
      <c r="AH17" s="9">
        <v>78615883497</v>
      </c>
      <c r="AI17" s="10">
        <v>33121245441</v>
      </c>
      <c r="AJ17" s="9">
        <v>7885740291</v>
      </c>
      <c r="AK17" s="10">
        <v>26454424657</v>
      </c>
    </row>
    <row r="18" spans="1:37" ht="14.5" x14ac:dyDescent="0.35">
      <c r="A18" s="7" t="s">
        <v>70</v>
      </c>
      <c r="B18" s="10">
        <v>124169882417</v>
      </c>
      <c r="C18" s="10">
        <v>119983083602</v>
      </c>
      <c r="D18" s="10">
        <v>119085908196</v>
      </c>
      <c r="E18" s="10">
        <v>122169819396</v>
      </c>
      <c r="F18" s="10">
        <v>136040548947</v>
      </c>
      <c r="G18" s="10">
        <v>142570743917</v>
      </c>
      <c r="H18" s="10">
        <v>151805357334</v>
      </c>
      <c r="I18" s="10">
        <v>123668671415</v>
      </c>
      <c r="J18" s="10">
        <v>143957510947</v>
      </c>
      <c r="K18" s="10">
        <v>165237892574</v>
      </c>
      <c r="L18" s="10">
        <v>180290325361</v>
      </c>
      <c r="M18" s="10">
        <v>181311456190</v>
      </c>
      <c r="N18" s="10">
        <v>180046749281</v>
      </c>
      <c r="O18" s="10">
        <v>186316004436</v>
      </c>
      <c r="P18" s="10">
        <v>183856021097</v>
      </c>
      <c r="Q18" s="10">
        <v>198841916206</v>
      </c>
      <c r="R18" s="10">
        <v>202244898607</v>
      </c>
      <c r="S18" s="10">
        <v>209672019662</v>
      </c>
      <c r="T18" s="10">
        <v>209881054904</v>
      </c>
      <c r="U18" s="10">
        <v>246169283907</v>
      </c>
      <c r="V18" s="10">
        <v>295717082613</v>
      </c>
      <c r="W18" s="10">
        <v>301825603086</v>
      </c>
      <c r="X18" s="10">
        <v>305796686630</v>
      </c>
      <c r="Y18" s="10">
        <v>313014621384</v>
      </c>
      <c r="Z18" s="10" t="s">
        <v>65</v>
      </c>
      <c r="AB18" s="9">
        <v>75200569627</v>
      </c>
      <c r="AC18" s="10">
        <v>340182225146</v>
      </c>
      <c r="AD18" s="9">
        <v>32409411293</v>
      </c>
      <c r="AE18" s="10">
        <v>54028954929</v>
      </c>
      <c r="AF18" s="9">
        <v>140719076113</v>
      </c>
      <c r="AG18" s="10">
        <v>142570743917</v>
      </c>
      <c r="AH18" s="9">
        <v>88245928197</v>
      </c>
      <c r="AI18" s="10">
        <v>32742163997</v>
      </c>
      <c r="AJ18" s="9">
        <v>8768956005</v>
      </c>
      <c r="AK18" s="10">
        <v>28356115694</v>
      </c>
    </row>
    <row r="19" spans="1:37" ht="14.5" x14ac:dyDescent="0.35">
      <c r="A19" s="7" t="s">
        <v>71</v>
      </c>
      <c r="B19" s="9">
        <v>58716507767</v>
      </c>
      <c r="C19" s="9">
        <v>59807378735</v>
      </c>
      <c r="D19" s="9">
        <v>61454816769</v>
      </c>
      <c r="E19" s="9">
        <v>67140881603</v>
      </c>
      <c r="F19" s="9">
        <v>78615883497</v>
      </c>
      <c r="G19" s="9">
        <v>88245928197</v>
      </c>
      <c r="H19" s="9">
        <v>91371696416</v>
      </c>
      <c r="I19" s="9">
        <v>80735607820</v>
      </c>
      <c r="J19" s="9">
        <v>98741417939</v>
      </c>
      <c r="K19" s="9">
        <v>110231104346</v>
      </c>
      <c r="L19" s="9">
        <v>124199986499</v>
      </c>
      <c r="M19" s="9">
        <v>123305372452</v>
      </c>
      <c r="N19" s="9">
        <v>122108717858</v>
      </c>
      <c r="O19" s="9">
        <v>124664608633</v>
      </c>
      <c r="P19" s="9">
        <v>123440793995</v>
      </c>
      <c r="Q19" s="9">
        <v>142747926675</v>
      </c>
      <c r="R19" s="9">
        <v>158544656907</v>
      </c>
      <c r="S19" s="9">
        <v>167976814663</v>
      </c>
      <c r="T19" s="9">
        <v>198000036124</v>
      </c>
      <c r="U19" s="9">
        <v>217449251623</v>
      </c>
      <c r="V19" s="9">
        <v>263139934599</v>
      </c>
      <c r="W19" s="9">
        <v>261362243303</v>
      </c>
      <c r="X19" s="9">
        <v>263059183515</v>
      </c>
      <c r="Y19" s="9">
        <v>270789200749</v>
      </c>
      <c r="Z19" s="9" t="s">
        <v>65</v>
      </c>
      <c r="AB19" s="9">
        <v>74210178874</v>
      </c>
      <c r="AC19" s="10">
        <v>360590842328</v>
      </c>
      <c r="AD19" s="9">
        <v>31782409778</v>
      </c>
      <c r="AE19" s="10">
        <v>58232722526</v>
      </c>
      <c r="AF19" s="9">
        <v>151381533758</v>
      </c>
      <c r="AG19" s="10">
        <v>151805357334</v>
      </c>
      <c r="AH19" s="9">
        <v>91371696416</v>
      </c>
      <c r="AI19" s="10">
        <v>34235191478</v>
      </c>
      <c r="AJ19" s="9">
        <v>9943308063</v>
      </c>
      <c r="AK19" s="10">
        <v>28912540849</v>
      </c>
    </row>
    <row r="20" spans="1:37" ht="14.5" x14ac:dyDescent="0.35">
      <c r="A20" s="7" t="s">
        <v>72</v>
      </c>
      <c r="B20" s="10">
        <v>32111774016</v>
      </c>
      <c r="C20" s="10">
        <v>33093312180</v>
      </c>
      <c r="D20" s="10">
        <v>30623861128</v>
      </c>
      <c r="E20" s="10">
        <v>30698284255</v>
      </c>
      <c r="F20" s="10">
        <v>33121245441</v>
      </c>
      <c r="G20" s="10">
        <v>32742163997</v>
      </c>
      <c r="H20" s="10">
        <v>34235191478</v>
      </c>
      <c r="I20" s="10">
        <v>27837654723</v>
      </c>
      <c r="J20" s="10">
        <v>33074036196</v>
      </c>
      <c r="K20" s="10">
        <v>37665044296</v>
      </c>
      <c r="L20" s="10">
        <v>39957565897</v>
      </c>
      <c r="M20" s="10">
        <v>40006844682</v>
      </c>
      <c r="N20" s="10">
        <v>40398200679</v>
      </c>
      <c r="O20" s="10">
        <v>41237357447</v>
      </c>
      <c r="P20" s="10">
        <v>40336689374</v>
      </c>
      <c r="Q20" s="10">
        <v>42852807207</v>
      </c>
      <c r="R20" s="10">
        <v>44755726415</v>
      </c>
      <c r="S20" s="10">
        <v>46668858125</v>
      </c>
      <c r="T20" s="10">
        <v>46095011527</v>
      </c>
      <c r="U20" s="10">
        <v>53002037109</v>
      </c>
      <c r="V20" s="10">
        <v>61138102869</v>
      </c>
      <c r="W20" s="10">
        <v>63459325935</v>
      </c>
      <c r="X20" s="10">
        <v>63035372588</v>
      </c>
      <c r="Y20" s="10">
        <v>60734194758</v>
      </c>
      <c r="Z20" s="10" t="s">
        <v>65</v>
      </c>
      <c r="AB20" s="9">
        <v>64881942739</v>
      </c>
      <c r="AC20" s="10">
        <v>302312744375</v>
      </c>
      <c r="AD20" s="9">
        <v>32263610648</v>
      </c>
      <c r="AE20" s="10">
        <v>49181136109</v>
      </c>
      <c r="AF20" s="9">
        <v>130602208885</v>
      </c>
      <c r="AG20" s="10">
        <v>123668671415</v>
      </c>
      <c r="AH20" s="9">
        <v>80735607820</v>
      </c>
      <c r="AI20" s="10">
        <v>27837654723</v>
      </c>
      <c r="AJ20" s="9">
        <v>7804365553</v>
      </c>
      <c r="AK20" s="10">
        <v>20010569269</v>
      </c>
    </row>
    <row r="21" spans="1:37" ht="14.5" x14ac:dyDescent="0.35">
      <c r="A21" s="7" t="s">
        <v>73</v>
      </c>
      <c r="B21" s="9">
        <v>5528289886</v>
      </c>
      <c r="C21" s="9">
        <v>5776134020</v>
      </c>
      <c r="D21" s="9">
        <v>5928580211</v>
      </c>
      <c r="E21" s="9">
        <v>6213406047</v>
      </c>
      <c r="F21" s="9">
        <v>7885740291</v>
      </c>
      <c r="G21" s="9">
        <v>8768956005</v>
      </c>
      <c r="H21" s="9">
        <v>9943308063</v>
      </c>
      <c r="I21" s="9">
        <v>7804365553</v>
      </c>
      <c r="J21" s="9">
        <v>9163742665</v>
      </c>
      <c r="K21" s="9">
        <v>10955295337</v>
      </c>
      <c r="L21" s="9">
        <v>13104745939</v>
      </c>
      <c r="M21" s="9">
        <v>14035248310</v>
      </c>
      <c r="N21" s="9">
        <v>14008900568</v>
      </c>
      <c r="O21" s="9">
        <v>13562916160</v>
      </c>
      <c r="P21" s="9">
        <v>12449229852</v>
      </c>
      <c r="Q21" s="9">
        <v>14227082988</v>
      </c>
      <c r="R21" s="9">
        <v>13794808261</v>
      </c>
      <c r="S21" s="9">
        <v>13906579385</v>
      </c>
      <c r="T21" s="9">
        <v>15093822814</v>
      </c>
      <c r="U21" s="9">
        <v>18108795459</v>
      </c>
      <c r="V21" s="9">
        <v>23111744407</v>
      </c>
      <c r="W21" s="9">
        <v>23095512987</v>
      </c>
      <c r="X21" s="9">
        <v>22891553854</v>
      </c>
      <c r="Y21" s="9">
        <v>22018254621</v>
      </c>
      <c r="Z21" s="9" t="s">
        <v>65</v>
      </c>
      <c r="AB21" s="9">
        <v>83131064603</v>
      </c>
      <c r="AC21" s="10">
        <v>378714152590</v>
      </c>
      <c r="AD21" s="9">
        <v>37537640260</v>
      </c>
      <c r="AE21" s="10">
        <v>60108293228</v>
      </c>
      <c r="AF21" s="9">
        <v>154463686875</v>
      </c>
      <c r="AG21" s="10">
        <v>143957510947</v>
      </c>
      <c r="AH21" s="9">
        <v>98741417939</v>
      </c>
      <c r="AI21" s="10">
        <v>33074036196</v>
      </c>
      <c r="AJ21" s="9">
        <v>9163742665</v>
      </c>
      <c r="AK21" s="10">
        <v>23954238784</v>
      </c>
    </row>
    <row r="22" spans="1:37" ht="14.5" x14ac:dyDescent="0.35">
      <c r="A22" s="7" t="s">
        <v>74</v>
      </c>
      <c r="B22" s="10">
        <v>22024838241</v>
      </c>
      <c r="C22" s="10">
        <v>22109925592</v>
      </c>
      <c r="D22" s="10">
        <v>22053593477</v>
      </c>
      <c r="E22" s="10">
        <v>22861598893</v>
      </c>
      <c r="F22" s="10">
        <v>26454424657</v>
      </c>
      <c r="G22" s="10">
        <v>28356115694</v>
      </c>
      <c r="H22" s="10">
        <v>28912540849</v>
      </c>
      <c r="I22" s="10">
        <v>20010569269</v>
      </c>
      <c r="J22" s="10">
        <v>23954238784</v>
      </c>
      <c r="K22" s="10">
        <v>25192522228</v>
      </c>
      <c r="L22" s="10">
        <v>26392304417</v>
      </c>
      <c r="M22" s="10">
        <v>25078257728</v>
      </c>
      <c r="N22" s="10">
        <v>23892479455</v>
      </c>
      <c r="O22" s="10">
        <v>22159745459</v>
      </c>
      <c r="P22" s="10">
        <v>21646410463</v>
      </c>
      <c r="Q22" s="10">
        <v>24384767233</v>
      </c>
      <c r="R22" s="10">
        <v>26352062471</v>
      </c>
      <c r="S22" s="10">
        <v>27013767572</v>
      </c>
      <c r="T22" s="10">
        <v>26269914956</v>
      </c>
      <c r="U22" s="10">
        <v>30440073930</v>
      </c>
      <c r="V22" s="10">
        <v>35791264548</v>
      </c>
      <c r="W22" s="10">
        <v>33127509371</v>
      </c>
      <c r="X22" s="10">
        <v>30221638264</v>
      </c>
      <c r="Y22" s="10">
        <v>32293431101</v>
      </c>
      <c r="Z22" s="10" t="s">
        <v>65</v>
      </c>
      <c r="AB22" s="9">
        <v>95891395913</v>
      </c>
      <c r="AC22" s="10">
        <v>431152446855</v>
      </c>
      <c r="AD22" s="9">
        <v>38400028315</v>
      </c>
      <c r="AE22" s="10">
        <v>73521473981</v>
      </c>
      <c r="AF22" s="9">
        <v>167477056664</v>
      </c>
      <c r="AG22" s="10">
        <v>165237892574</v>
      </c>
      <c r="AH22" s="9">
        <v>110231104346</v>
      </c>
      <c r="AI22" s="10">
        <v>37665044296</v>
      </c>
      <c r="AJ22" s="9">
        <v>10955295337</v>
      </c>
      <c r="AK22" s="10">
        <v>25192522228</v>
      </c>
    </row>
    <row r="23" spans="1:37" ht="11.4" customHeight="1" x14ac:dyDescent="0.35">
      <c r="AB23" s="9">
        <v>104267454499</v>
      </c>
      <c r="AC23" s="10">
        <v>473136311866</v>
      </c>
      <c r="AD23" s="9">
        <v>37832956318</v>
      </c>
      <c r="AE23" s="10">
        <v>83713151371</v>
      </c>
      <c r="AF23" s="9">
        <v>182098435799</v>
      </c>
      <c r="AG23" s="10">
        <v>180290325361</v>
      </c>
      <c r="AH23" s="9">
        <v>124199986499</v>
      </c>
      <c r="AI23" s="10">
        <v>39957565897</v>
      </c>
      <c r="AJ23" s="9">
        <v>13104745939</v>
      </c>
      <c r="AK23" s="10">
        <v>26392304417</v>
      </c>
    </row>
    <row r="24" spans="1:37" ht="14.5" x14ac:dyDescent="0.35">
      <c r="A24" s="1" t="s">
        <v>75</v>
      </c>
      <c r="AB24" s="9">
        <v>105475796362</v>
      </c>
      <c r="AC24" s="10">
        <v>470524909976</v>
      </c>
      <c r="AD24" s="9">
        <v>37612007026</v>
      </c>
      <c r="AE24" s="10">
        <v>88913749283</v>
      </c>
      <c r="AF24" s="9">
        <v>177803780583</v>
      </c>
      <c r="AG24" s="10">
        <v>181311456190</v>
      </c>
      <c r="AH24" s="9">
        <v>123305372452</v>
      </c>
      <c r="AI24" s="10">
        <v>40006844682</v>
      </c>
      <c r="AJ24" s="9">
        <v>14035248310</v>
      </c>
      <c r="AK24" s="10">
        <v>25078257728</v>
      </c>
    </row>
    <row r="25" spans="1:37" ht="14.5" x14ac:dyDescent="0.35">
      <c r="A25" s="1" t="s">
        <v>65</v>
      </c>
      <c r="B25" s="2" t="s">
        <v>76</v>
      </c>
      <c r="AB25" s="9">
        <v>104691279242</v>
      </c>
      <c r="AC25" s="10">
        <v>476440141831</v>
      </c>
      <c r="AD25" s="9">
        <v>41085459786</v>
      </c>
      <c r="AE25" s="10">
        <v>88493078826</v>
      </c>
      <c r="AF25" s="9">
        <v>174514775614</v>
      </c>
      <c r="AG25" s="10">
        <v>180046749281</v>
      </c>
      <c r="AH25" s="9">
        <v>122108717858</v>
      </c>
      <c r="AI25" s="10">
        <v>40398200679</v>
      </c>
      <c r="AJ25" s="9">
        <v>14008900568</v>
      </c>
      <c r="AK25" s="10">
        <v>23892479455</v>
      </c>
    </row>
    <row r="26" spans="1:37" ht="11.4" customHeight="1" x14ac:dyDescent="0.35">
      <c r="AB26" s="9">
        <v>101257534306</v>
      </c>
      <c r="AC26" s="10">
        <v>503014161038</v>
      </c>
      <c r="AD26" s="9">
        <v>52288915665</v>
      </c>
      <c r="AE26" s="10">
        <v>88955736813</v>
      </c>
      <c r="AF26" s="9">
        <v>187828775501</v>
      </c>
      <c r="AG26" s="10">
        <v>186316004436</v>
      </c>
      <c r="AH26" s="9">
        <v>124664608633</v>
      </c>
      <c r="AI26" s="10">
        <v>41237357447</v>
      </c>
      <c r="AJ26" s="9">
        <v>13562916160</v>
      </c>
      <c r="AK26" s="10">
        <v>22159745459</v>
      </c>
    </row>
    <row r="27" spans="1:37" ht="11.4" customHeight="1" x14ac:dyDescent="0.35">
      <c r="AB27" s="9">
        <v>100609638279</v>
      </c>
      <c r="AC27" s="10">
        <v>499720247391</v>
      </c>
      <c r="AD27" s="9">
        <v>58927170747</v>
      </c>
      <c r="AE27" s="10">
        <v>86998580131</v>
      </c>
      <c r="AF27" s="9">
        <v>183782596566</v>
      </c>
      <c r="AG27" s="10">
        <v>183856021097</v>
      </c>
      <c r="AH27" s="9">
        <v>123440793995</v>
      </c>
      <c r="AI27" s="10">
        <v>40336689374</v>
      </c>
      <c r="AJ27" s="9">
        <v>12449229852</v>
      </c>
      <c r="AK27" s="10">
        <v>21646410463</v>
      </c>
    </row>
    <row r="28" spans="1:37" ht="11.4" customHeight="1" x14ac:dyDescent="0.35">
      <c r="AB28" s="9">
        <v>105278694903</v>
      </c>
      <c r="AC28" s="10">
        <v>531972779086</v>
      </c>
      <c r="AD28" s="9">
        <v>59558709177</v>
      </c>
      <c r="AE28" s="10">
        <v>95512945028</v>
      </c>
      <c r="AF28" s="9">
        <v>195186519283</v>
      </c>
      <c r="AG28" s="10">
        <v>198841916206</v>
      </c>
      <c r="AH28" s="9">
        <v>142747926675</v>
      </c>
      <c r="AI28" s="10">
        <v>42852807207</v>
      </c>
      <c r="AJ28" s="9">
        <v>14227082988</v>
      </c>
      <c r="AK28" s="10">
        <v>24384767233</v>
      </c>
    </row>
    <row r="29" spans="1:37" ht="11.4" customHeight="1" x14ac:dyDescent="0.35">
      <c r="AB29" s="9">
        <v>106970148539</v>
      </c>
      <c r="AC29" s="10">
        <v>541985006853</v>
      </c>
      <c r="AD29" s="9">
        <v>69642961945</v>
      </c>
      <c r="AE29" s="10">
        <v>98501914646</v>
      </c>
      <c r="AF29" s="9">
        <v>201913254175</v>
      </c>
      <c r="AG29" s="10">
        <v>202244898607</v>
      </c>
      <c r="AH29" s="9">
        <v>158544656907</v>
      </c>
      <c r="AI29" s="10">
        <v>44755726415</v>
      </c>
      <c r="AJ29" s="9">
        <v>13794808261</v>
      </c>
      <c r="AK29" s="10">
        <v>26352062471</v>
      </c>
    </row>
    <row r="30" spans="1:37" ht="11.4" customHeight="1" x14ac:dyDescent="0.35">
      <c r="AB30" s="9">
        <v>108754426441</v>
      </c>
      <c r="AC30" s="10">
        <v>552821345847</v>
      </c>
      <c r="AD30" s="9">
        <v>79683747421</v>
      </c>
      <c r="AE30" s="10">
        <v>99689068975</v>
      </c>
      <c r="AF30" s="9">
        <v>213099222238</v>
      </c>
      <c r="AG30" s="10">
        <v>209672019662</v>
      </c>
      <c r="AH30" s="9">
        <v>167976814663</v>
      </c>
      <c r="AI30" s="10">
        <v>46668858125</v>
      </c>
      <c r="AJ30" s="9">
        <v>13906579385</v>
      </c>
      <c r="AK30" s="10">
        <v>27013767572</v>
      </c>
    </row>
    <row r="31" spans="1:37" ht="11.4" customHeight="1" x14ac:dyDescent="0.35">
      <c r="AB31" s="9">
        <v>127359688072</v>
      </c>
      <c r="AC31" s="10">
        <v>567148118250</v>
      </c>
      <c r="AD31" s="9">
        <v>92629918900</v>
      </c>
      <c r="AE31" s="10">
        <v>102779625779</v>
      </c>
      <c r="AF31" s="9">
        <v>196006250526</v>
      </c>
      <c r="AG31" s="10">
        <v>209881054904</v>
      </c>
      <c r="AH31" s="9">
        <v>198000036124</v>
      </c>
      <c r="AI31" s="10">
        <v>46095011527</v>
      </c>
      <c r="AJ31" s="9">
        <v>15093822814</v>
      </c>
      <c r="AK31" s="10">
        <v>26269914956</v>
      </c>
    </row>
    <row r="32" spans="1:37" ht="11.4" customHeight="1" x14ac:dyDescent="0.35">
      <c r="AB32" s="9">
        <v>154251888492</v>
      </c>
      <c r="AC32" s="10">
        <v>632719703451</v>
      </c>
      <c r="AD32" s="9">
        <v>99756393511</v>
      </c>
      <c r="AE32" s="10">
        <v>121869339529</v>
      </c>
      <c r="AF32" s="9">
        <v>224530351760</v>
      </c>
      <c r="AG32" s="10">
        <v>246169283907</v>
      </c>
      <c r="AH32" s="9">
        <v>217449251623</v>
      </c>
      <c r="AI32" s="10">
        <v>53002037109</v>
      </c>
      <c r="AJ32" s="9">
        <v>18108795459</v>
      </c>
      <c r="AK32" s="10">
        <v>30440073930</v>
      </c>
    </row>
    <row r="33" spans="28:37" ht="11.4" customHeight="1" x14ac:dyDescent="0.35">
      <c r="AB33" s="9">
        <v>193203279502</v>
      </c>
      <c r="AC33" s="10">
        <v>714375973105</v>
      </c>
      <c r="AD33" s="9">
        <v>123122778110</v>
      </c>
      <c r="AE33" s="10">
        <v>144821463463</v>
      </c>
      <c r="AF33" s="9">
        <v>259756251548</v>
      </c>
      <c r="AG33" s="10">
        <v>295717082613</v>
      </c>
      <c r="AH33" s="9">
        <v>263139934599</v>
      </c>
      <c r="AI33" s="10">
        <v>61138102869</v>
      </c>
      <c r="AJ33" s="9">
        <v>23111744407</v>
      </c>
      <c r="AK33" s="10">
        <v>35791264548</v>
      </c>
    </row>
    <row r="34" spans="28:37" ht="11.4" customHeight="1" x14ac:dyDescent="0.35">
      <c r="AB34" s="9">
        <v>177963933435</v>
      </c>
      <c r="AC34" s="10">
        <v>714550976595</v>
      </c>
      <c r="AD34" s="9">
        <v>111602967026</v>
      </c>
      <c r="AE34" s="10">
        <v>144313782795</v>
      </c>
      <c r="AF34" s="9">
        <v>268568308244</v>
      </c>
      <c r="AG34" s="10">
        <v>301825603086</v>
      </c>
      <c r="AH34" s="9">
        <v>261362243303</v>
      </c>
      <c r="AI34" s="10">
        <v>63459325935</v>
      </c>
      <c r="AJ34" s="9">
        <v>23095512987</v>
      </c>
      <c r="AK34" s="10">
        <v>33127509371</v>
      </c>
    </row>
    <row r="35" spans="28:37" ht="11.4" customHeight="1" x14ac:dyDescent="0.35">
      <c r="AB35" s="9">
        <v>166743323538</v>
      </c>
      <c r="AC35" s="10">
        <v>709140539286</v>
      </c>
      <c r="AD35" s="9">
        <v>134458200364</v>
      </c>
      <c r="AE35" s="10">
        <v>150186027645</v>
      </c>
      <c r="AF35" s="9">
        <v>272280100721</v>
      </c>
      <c r="AG35" s="10">
        <v>305796686630</v>
      </c>
      <c r="AH35" s="9">
        <v>263059183515</v>
      </c>
      <c r="AI35" s="10">
        <v>63035372588</v>
      </c>
      <c r="AJ35" s="9">
        <v>22891553854</v>
      </c>
      <c r="AK35" s="10">
        <v>30221638264</v>
      </c>
    </row>
    <row r="36" spans="28:37" ht="11.4" customHeight="1" x14ac:dyDescent="0.35">
      <c r="AB36" s="9">
        <v>157432124061</v>
      </c>
      <c r="AC36" s="10">
        <v>689200312766</v>
      </c>
      <c r="AD36" s="9">
        <v>171705682310</v>
      </c>
      <c r="AE36" s="10">
        <v>150531883045</v>
      </c>
      <c r="AF36" s="9">
        <v>280374784992</v>
      </c>
      <c r="AG36" s="10">
        <v>313014621384</v>
      </c>
      <c r="AH36" s="9">
        <v>270789200749</v>
      </c>
      <c r="AI36" s="10">
        <v>60734194758</v>
      </c>
      <c r="AJ36" s="9">
        <v>22018254621</v>
      </c>
      <c r="AK36" s="10">
        <v>32293431101</v>
      </c>
    </row>
    <row r="37" spans="28:37" ht="11.4" customHeight="1" x14ac:dyDescent="0.35">
      <c r="AB37" s="9" t="s">
        <v>65</v>
      </c>
    </row>
  </sheetData>
  <pageMargins left="0.7" right="0.7" top="0.75" bottom="0.75" header="0.3" footer="0.3"/>
  <headerFooter>
    <oddHeader>&amp;L&amp;"Aptos"&amp;10&amp;K7FAA39 | DNB PUBLIC |&amp;1#_x000D_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36"/>
  <sheetViews>
    <sheetView workbookViewId="0">
      <pane xSplit="1" ySplit="12" topLeftCell="B13" activePane="bottomRight" state="frozen"/>
      <selection pane="topRight"/>
      <selection pane="bottomLeft"/>
      <selection pane="bottomRight" activeCell="B13" sqref="B13"/>
    </sheetView>
  </sheetViews>
  <sheetFormatPr defaultRowHeight="11.4" customHeight="1" x14ac:dyDescent="0.35"/>
  <cols>
    <col min="1" max="1" width="29.90625" customWidth="1"/>
    <col min="2" max="26" width="10" customWidth="1"/>
  </cols>
  <sheetData>
    <row r="1" spans="1:37" ht="14.5" x14ac:dyDescent="0.35">
      <c r="A1" s="2" t="s">
        <v>31</v>
      </c>
    </row>
    <row r="2" spans="1:37" ht="14.5" x14ac:dyDescent="0.35">
      <c r="A2" s="2" t="s">
        <v>32</v>
      </c>
      <c r="B2" s="1" t="s">
        <v>0</v>
      </c>
    </row>
    <row r="3" spans="1:37" ht="14.5" x14ac:dyDescent="0.35">
      <c r="A3" s="2" t="s">
        <v>33</v>
      </c>
      <c r="B3" s="2" t="s">
        <v>6</v>
      </c>
    </row>
    <row r="4" spans="1:37" ht="14.5" x14ac:dyDescent="0.35"/>
    <row r="5" spans="1:37" ht="14.5" x14ac:dyDescent="0.35">
      <c r="A5" s="1" t="s">
        <v>11</v>
      </c>
      <c r="C5" s="2" t="s">
        <v>16</v>
      </c>
    </row>
    <row r="6" spans="1:37" ht="14.5" x14ac:dyDescent="0.35">
      <c r="A6" s="1" t="s">
        <v>12</v>
      </c>
      <c r="C6" s="2" t="s">
        <v>21</v>
      </c>
    </row>
    <row r="7" spans="1:37" ht="14.5" x14ac:dyDescent="0.35">
      <c r="A7" s="1" t="s">
        <v>13</v>
      </c>
      <c r="C7" s="2" t="s">
        <v>18</v>
      </c>
    </row>
    <row r="8" spans="1:37" ht="14.5" x14ac:dyDescent="0.35">
      <c r="A8" s="1" t="s">
        <v>14</v>
      </c>
      <c r="C8" s="2" t="s">
        <v>19</v>
      </c>
    </row>
    <row r="9" spans="1:37" ht="14.5" x14ac:dyDescent="0.35"/>
    <row r="10" spans="1:37" ht="14.5" x14ac:dyDescent="0.35">
      <c r="A10" s="5" t="s">
        <v>34</v>
      </c>
      <c r="B10" s="4" t="s">
        <v>35</v>
      </c>
      <c r="C10" s="4" t="s">
        <v>36</v>
      </c>
      <c r="D10" s="4" t="s">
        <v>37</v>
      </c>
      <c r="E10" s="4" t="s">
        <v>38</v>
      </c>
      <c r="F10" s="4" t="s">
        <v>39</v>
      </c>
      <c r="G10" s="4" t="s">
        <v>40</v>
      </c>
      <c r="H10" s="4" t="s">
        <v>41</v>
      </c>
      <c r="I10" s="4" t="s">
        <v>42</v>
      </c>
      <c r="J10" s="4" t="s">
        <v>43</v>
      </c>
      <c r="K10" s="4" t="s">
        <v>44</v>
      </c>
      <c r="L10" s="4" t="s">
        <v>45</v>
      </c>
      <c r="M10" s="4" t="s">
        <v>46</v>
      </c>
      <c r="N10" s="4" t="s">
        <v>47</v>
      </c>
      <c r="O10" s="4" t="s">
        <v>48</v>
      </c>
      <c r="P10" s="4" t="s">
        <v>49</v>
      </c>
      <c r="Q10" s="4" t="s">
        <v>50</v>
      </c>
      <c r="R10" s="4" t="s">
        <v>51</v>
      </c>
      <c r="S10" s="4" t="s">
        <v>52</v>
      </c>
      <c r="T10" s="4" t="s">
        <v>53</v>
      </c>
      <c r="U10" s="4" t="s">
        <v>54</v>
      </c>
      <c r="V10" s="4" t="s">
        <v>55</v>
      </c>
      <c r="W10" s="4" t="s">
        <v>56</v>
      </c>
      <c r="X10" s="4" t="s">
        <v>57</v>
      </c>
      <c r="Y10" s="4" t="s">
        <v>58</v>
      </c>
      <c r="Z10" s="4" t="s">
        <v>59</v>
      </c>
    </row>
    <row r="11" spans="1:37" ht="14.5" x14ac:dyDescent="0.35">
      <c r="A11" s="5" t="s">
        <v>60</v>
      </c>
      <c r="B11" s="3" t="s">
        <v>61</v>
      </c>
      <c r="C11" s="3" t="s">
        <v>61</v>
      </c>
      <c r="D11" s="3" t="s">
        <v>61</v>
      </c>
      <c r="E11" s="3" t="s">
        <v>61</v>
      </c>
      <c r="F11" s="3" t="s">
        <v>61</v>
      </c>
      <c r="G11" s="3" t="s">
        <v>61</v>
      </c>
      <c r="H11" s="3" t="s">
        <v>61</v>
      </c>
      <c r="I11" s="3" t="s">
        <v>61</v>
      </c>
      <c r="J11" s="3" t="s">
        <v>61</v>
      </c>
      <c r="K11" s="3" t="s">
        <v>61</v>
      </c>
      <c r="L11" s="3" t="s">
        <v>61</v>
      </c>
      <c r="M11" s="3" t="s">
        <v>61</v>
      </c>
      <c r="N11" s="3" t="s">
        <v>61</v>
      </c>
      <c r="O11" s="3" t="s">
        <v>61</v>
      </c>
      <c r="P11" s="3" t="s">
        <v>61</v>
      </c>
      <c r="Q11" s="3" t="s">
        <v>61</v>
      </c>
      <c r="R11" s="3" t="s">
        <v>61</v>
      </c>
      <c r="S11" s="3" t="s">
        <v>61</v>
      </c>
      <c r="T11" s="3" t="s">
        <v>61</v>
      </c>
      <c r="U11" s="3" t="s">
        <v>61</v>
      </c>
      <c r="V11" s="3" t="s">
        <v>61</v>
      </c>
      <c r="W11" s="3" t="s">
        <v>61</v>
      </c>
      <c r="X11" s="3" t="s">
        <v>61</v>
      </c>
      <c r="Y11" s="3" t="s">
        <v>61</v>
      </c>
      <c r="Z11" s="3" t="s">
        <v>61</v>
      </c>
    </row>
    <row r="12" spans="1:37" ht="14.5" x14ac:dyDescent="0.35">
      <c r="A12" s="6" t="s">
        <v>62</v>
      </c>
      <c r="B12" s="8" t="s">
        <v>63</v>
      </c>
      <c r="C12" s="8" t="s">
        <v>63</v>
      </c>
      <c r="D12" s="8" t="s">
        <v>63</v>
      </c>
      <c r="E12" s="8" t="s">
        <v>63</v>
      </c>
      <c r="F12" s="8" t="s">
        <v>63</v>
      </c>
      <c r="G12" s="8" t="s">
        <v>63</v>
      </c>
      <c r="H12" s="8" t="s">
        <v>63</v>
      </c>
      <c r="I12" s="8" t="s">
        <v>63</v>
      </c>
      <c r="J12" s="8" t="s">
        <v>63</v>
      </c>
      <c r="K12" s="8" t="s">
        <v>63</v>
      </c>
      <c r="L12" s="8" t="s">
        <v>63</v>
      </c>
      <c r="M12" s="8" t="s">
        <v>63</v>
      </c>
      <c r="N12" s="8" t="s">
        <v>63</v>
      </c>
      <c r="O12" s="8" t="s">
        <v>63</v>
      </c>
      <c r="P12" s="8" t="s">
        <v>63</v>
      </c>
      <c r="Q12" s="8" t="s">
        <v>63</v>
      </c>
      <c r="R12" s="8" t="s">
        <v>63</v>
      </c>
      <c r="S12" s="8" t="s">
        <v>63</v>
      </c>
      <c r="T12" s="8" t="s">
        <v>63</v>
      </c>
      <c r="U12" s="8" t="s">
        <v>63</v>
      </c>
      <c r="V12" s="8" t="s">
        <v>63</v>
      </c>
      <c r="W12" s="8" t="s">
        <v>63</v>
      </c>
      <c r="X12" s="8" t="s">
        <v>63</v>
      </c>
      <c r="Y12" s="8" t="s">
        <v>63</v>
      </c>
      <c r="Z12" s="8" t="s">
        <v>63</v>
      </c>
      <c r="AB12" t="s">
        <v>83</v>
      </c>
      <c r="AC12" t="s">
        <v>84</v>
      </c>
      <c r="AD12" t="s">
        <v>88</v>
      </c>
      <c r="AE12" t="s">
        <v>85</v>
      </c>
      <c r="AF12" t="s">
        <v>87</v>
      </c>
      <c r="AG12" t="s">
        <v>89</v>
      </c>
      <c r="AH12" t="s">
        <v>90</v>
      </c>
      <c r="AI12" t="s">
        <v>82</v>
      </c>
      <c r="AJ12" t="s">
        <v>91</v>
      </c>
      <c r="AK12" t="s">
        <v>86</v>
      </c>
    </row>
    <row r="13" spans="1:37" ht="14.5" x14ac:dyDescent="0.35">
      <c r="A13" s="7" t="s">
        <v>64</v>
      </c>
      <c r="B13" s="9">
        <v>556341514</v>
      </c>
      <c r="C13" s="9">
        <v>509875407</v>
      </c>
      <c r="D13" s="9">
        <v>347621206</v>
      </c>
      <c r="E13" s="9">
        <v>363967313</v>
      </c>
      <c r="F13" s="9">
        <v>601214525</v>
      </c>
      <c r="G13" s="9">
        <v>278942294</v>
      </c>
      <c r="H13" s="9">
        <v>373773882</v>
      </c>
      <c r="I13" s="9">
        <v>228836670</v>
      </c>
      <c r="J13" s="9">
        <v>323833404</v>
      </c>
      <c r="K13" s="9">
        <v>269303793</v>
      </c>
      <c r="L13" s="9">
        <v>258564012</v>
      </c>
      <c r="M13" s="9">
        <v>288906602</v>
      </c>
      <c r="N13" s="9">
        <v>280914973</v>
      </c>
      <c r="O13" s="9">
        <v>344076187</v>
      </c>
      <c r="P13" s="9">
        <v>385365590</v>
      </c>
      <c r="Q13" s="9">
        <v>460448955</v>
      </c>
      <c r="R13" s="9">
        <v>447098007</v>
      </c>
      <c r="S13" s="9">
        <v>597741644</v>
      </c>
      <c r="T13" s="9">
        <v>711410708</v>
      </c>
      <c r="U13" s="9">
        <v>800929845</v>
      </c>
      <c r="V13" s="9">
        <v>1059749022</v>
      </c>
      <c r="W13" s="9">
        <v>1154015064</v>
      </c>
      <c r="X13" s="9">
        <v>1024037189</v>
      </c>
      <c r="Y13" s="9">
        <v>881916121</v>
      </c>
      <c r="Z13" s="9" t="s">
        <v>65</v>
      </c>
      <c r="AB13" s="9">
        <v>556341514</v>
      </c>
      <c r="AC13" s="10">
        <v>9455412286</v>
      </c>
      <c r="AD13" s="9">
        <v>2516642479</v>
      </c>
      <c r="AE13" s="10">
        <v>321643369</v>
      </c>
      <c r="AF13" s="9">
        <v>4773352957</v>
      </c>
      <c r="AG13" s="10">
        <v>2589848625</v>
      </c>
      <c r="AH13" s="9">
        <v>2063978261</v>
      </c>
      <c r="AI13" s="10">
        <v>970441011</v>
      </c>
      <c r="AJ13" s="9">
        <v>340389691</v>
      </c>
      <c r="AK13" s="10">
        <v>911232792</v>
      </c>
    </row>
    <row r="14" spans="1:37" ht="14.5" x14ac:dyDescent="0.35">
      <c r="A14" s="7" t="s">
        <v>66</v>
      </c>
      <c r="B14" s="10">
        <v>9455412286</v>
      </c>
      <c r="C14" s="10">
        <v>10663298794</v>
      </c>
      <c r="D14" s="10">
        <v>10402018966</v>
      </c>
      <c r="E14" s="10">
        <v>9438015518</v>
      </c>
      <c r="F14" s="10">
        <v>9932439050</v>
      </c>
      <c r="G14" s="10">
        <v>7257894223</v>
      </c>
      <c r="H14" s="10">
        <v>6660771688</v>
      </c>
      <c r="I14" s="10">
        <v>5032777353</v>
      </c>
      <c r="J14" s="10">
        <v>6083616568</v>
      </c>
      <c r="K14" s="10">
        <v>6030499007</v>
      </c>
      <c r="L14" s="10">
        <v>6840891749</v>
      </c>
      <c r="M14" s="10">
        <v>6909894916</v>
      </c>
      <c r="N14" s="10">
        <v>7995299526</v>
      </c>
      <c r="O14" s="10">
        <v>8152489863</v>
      </c>
      <c r="P14" s="10">
        <v>7869822879</v>
      </c>
      <c r="Q14" s="10">
        <v>8893505242</v>
      </c>
      <c r="R14" s="10">
        <v>9212565816</v>
      </c>
      <c r="S14" s="10">
        <v>8967136820</v>
      </c>
      <c r="T14" s="10">
        <v>9022720580</v>
      </c>
      <c r="U14" s="10">
        <v>10514308759</v>
      </c>
      <c r="V14" s="10">
        <v>13811736985</v>
      </c>
      <c r="W14" s="10">
        <v>13430108349</v>
      </c>
      <c r="X14" s="10">
        <v>11758175553</v>
      </c>
      <c r="Y14" s="10">
        <v>12129168278</v>
      </c>
      <c r="Z14" s="10" t="s">
        <v>65</v>
      </c>
      <c r="AB14" s="9">
        <v>509875407</v>
      </c>
      <c r="AC14" s="10">
        <v>10663298794</v>
      </c>
      <c r="AD14" s="9">
        <v>2353355628</v>
      </c>
      <c r="AE14" s="10">
        <v>590094869</v>
      </c>
      <c r="AF14" s="9">
        <v>4349100516</v>
      </c>
      <c r="AG14" s="10">
        <v>2615673872</v>
      </c>
      <c r="AH14" s="9">
        <v>2317325221</v>
      </c>
      <c r="AI14" s="10">
        <v>849582646</v>
      </c>
      <c r="AJ14" s="9">
        <v>505815928</v>
      </c>
      <c r="AK14" s="10">
        <v>905878004</v>
      </c>
    </row>
    <row r="15" spans="1:37" ht="14.5" x14ac:dyDescent="0.35">
      <c r="A15" s="7" t="s">
        <v>67</v>
      </c>
      <c r="B15" s="9">
        <v>2516642479</v>
      </c>
      <c r="C15" s="9">
        <v>2353355628</v>
      </c>
      <c r="D15" s="9">
        <v>2983042924</v>
      </c>
      <c r="E15" s="9">
        <v>3163523062</v>
      </c>
      <c r="F15" s="9">
        <v>2950817324</v>
      </c>
      <c r="G15" s="9">
        <v>2868617532</v>
      </c>
      <c r="H15" s="9">
        <v>2917074875</v>
      </c>
      <c r="I15" s="9">
        <v>1943777106</v>
      </c>
      <c r="J15" s="9">
        <v>1435849219</v>
      </c>
      <c r="K15" s="9">
        <v>1330714429</v>
      </c>
      <c r="L15" s="9">
        <v>1107128985</v>
      </c>
      <c r="M15" s="9">
        <v>832743464</v>
      </c>
      <c r="N15" s="9">
        <v>625031484</v>
      </c>
      <c r="O15" s="9">
        <v>1481199142</v>
      </c>
      <c r="P15" s="9">
        <v>5739843671</v>
      </c>
      <c r="Q15" s="9">
        <v>4868603268</v>
      </c>
      <c r="R15" s="9">
        <v>3609109670</v>
      </c>
      <c r="S15" s="9">
        <v>6525196777</v>
      </c>
      <c r="T15" s="9">
        <v>7269420162</v>
      </c>
      <c r="U15" s="9">
        <v>9386632207</v>
      </c>
      <c r="V15" s="9">
        <v>11417000917</v>
      </c>
      <c r="W15" s="9">
        <v>5581164655</v>
      </c>
      <c r="X15" s="9">
        <v>7949511227</v>
      </c>
      <c r="Y15" s="9">
        <v>7963715596</v>
      </c>
      <c r="Z15" s="9" t="s">
        <v>65</v>
      </c>
      <c r="AB15" s="9">
        <v>347621206</v>
      </c>
      <c r="AC15" s="10">
        <v>10402018966</v>
      </c>
      <c r="AD15" s="9">
        <v>2983042924</v>
      </c>
      <c r="AE15" s="10">
        <v>538884873</v>
      </c>
      <c r="AF15" s="9">
        <v>4051307985</v>
      </c>
      <c r="AG15" s="10">
        <v>2657428739</v>
      </c>
      <c r="AH15" s="9">
        <v>3207053821</v>
      </c>
      <c r="AI15" s="10">
        <v>671840601</v>
      </c>
      <c r="AJ15" s="9">
        <v>412774578</v>
      </c>
      <c r="AK15" s="10">
        <v>985971202</v>
      </c>
    </row>
    <row r="16" spans="1:37" ht="14.5" x14ac:dyDescent="0.35">
      <c r="A16" s="7" t="s">
        <v>68</v>
      </c>
      <c r="B16" s="10">
        <v>321643369</v>
      </c>
      <c r="C16" s="10">
        <v>590094869</v>
      </c>
      <c r="D16" s="10">
        <v>538884873</v>
      </c>
      <c r="E16" s="10">
        <v>483533206</v>
      </c>
      <c r="F16" s="10">
        <v>600619054</v>
      </c>
      <c r="G16" s="10">
        <v>145678429</v>
      </c>
      <c r="H16" s="10">
        <v>216623835</v>
      </c>
      <c r="I16" s="10">
        <v>170301786</v>
      </c>
      <c r="J16" s="10">
        <v>120716910</v>
      </c>
      <c r="K16" s="10">
        <v>146778067</v>
      </c>
      <c r="L16" s="10">
        <v>213421400</v>
      </c>
      <c r="M16" s="10">
        <v>176313530</v>
      </c>
      <c r="N16" s="10">
        <v>219970006</v>
      </c>
      <c r="O16" s="10">
        <v>223077246</v>
      </c>
      <c r="P16" s="10">
        <v>231172149</v>
      </c>
      <c r="Q16" s="10">
        <v>279330931</v>
      </c>
      <c r="R16" s="10">
        <v>315412232</v>
      </c>
      <c r="S16" s="10">
        <v>321780318</v>
      </c>
      <c r="T16" s="10">
        <v>314345841</v>
      </c>
      <c r="U16" s="10">
        <v>324790661</v>
      </c>
      <c r="V16" s="10">
        <v>399272077</v>
      </c>
      <c r="W16" s="10">
        <v>496207707</v>
      </c>
      <c r="X16" s="10">
        <v>521008696</v>
      </c>
      <c r="Y16" s="10">
        <v>566043216</v>
      </c>
      <c r="Z16" s="10" t="s">
        <v>65</v>
      </c>
      <c r="AB16" s="9">
        <v>363967313</v>
      </c>
      <c r="AC16" s="10">
        <v>9438015518</v>
      </c>
      <c r="AD16" s="9">
        <v>3163523062</v>
      </c>
      <c r="AE16" s="10">
        <v>483533206</v>
      </c>
      <c r="AF16" s="9">
        <v>4329834418</v>
      </c>
      <c r="AG16" s="10">
        <v>1721988180</v>
      </c>
      <c r="AH16" s="9">
        <v>2625799426</v>
      </c>
      <c r="AI16" s="10">
        <v>577836754</v>
      </c>
      <c r="AJ16" s="9">
        <v>546694208</v>
      </c>
      <c r="AK16" s="10">
        <v>919406274</v>
      </c>
    </row>
    <row r="17" spans="1:37" ht="14.5" x14ac:dyDescent="0.35">
      <c r="A17" s="7" t="s">
        <v>69</v>
      </c>
      <c r="B17" s="9">
        <v>4773352957</v>
      </c>
      <c r="C17" s="9">
        <v>4349100516</v>
      </c>
      <c r="D17" s="9">
        <v>4051307985</v>
      </c>
      <c r="E17" s="9">
        <v>4329834418</v>
      </c>
      <c r="F17" s="9">
        <v>4571013005</v>
      </c>
      <c r="G17" s="9">
        <v>3410710258</v>
      </c>
      <c r="H17" s="9">
        <v>3065160500</v>
      </c>
      <c r="I17" s="9">
        <v>2358215600</v>
      </c>
      <c r="J17" s="9">
        <v>3001824947</v>
      </c>
      <c r="K17" s="9">
        <v>3100616687</v>
      </c>
      <c r="L17" s="9">
        <v>2985277953</v>
      </c>
      <c r="M17" s="9">
        <v>2946131351</v>
      </c>
      <c r="N17" s="9">
        <v>2749690877</v>
      </c>
      <c r="O17" s="9">
        <v>2991563456</v>
      </c>
      <c r="P17" s="9">
        <v>2595244916</v>
      </c>
      <c r="Q17" s="9">
        <v>2491226849</v>
      </c>
      <c r="R17" s="9">
        <v>2690443429</v>
      </c>
      <c r="S17" s="9">
        <v>2864542461</v>
      </c>
      <c r="T17" s="9">
        <v>2813273629</v>
      </c>
      <c r="U17" s="9">
        <v>2441162978</v>
      </c>
      <c r="V17" s="9">
        <v>2936888551</v>
      </c>
      <c r="W17" s="9">
        <v>3487151688</v>
      </c>
      <c r="X17" s="9">
        <v>3235193434</v>
      </c>
      <c r="Y17" s="9">
        <v>3239166073</v>
      </c>
      <c r="Z17" s="9" t="s">
        <v>65</v>
      </c>
      <c r="AB17" s="9">
        <v>601214525</v>
      </c>
      <c r="AC17" s="10">
        <v>9932439050</v>
      </c>
      <c r="AD17" s="9">
        <v>2950817324</v>
      </c>
      <c r="AE17" s="10">
        <v>600619054</v>
      </c>
      <c r="AF17" s="9">
        <v>4571013005</v>
      </c>
      <c r="AG17" s="10">
        <v>1922845529</v>
      </c>
      <c r="AH17" s="9">
        <v>2726038234</v>
      </c>
      <c r="AI17" s="10">
        <v>760094123</v>
      </c>
      <c r="AJ17" s="9">
        <v>1059038863</v>
      </c>
      <c r="AK17" s="10">
        <v>822607912</v>
      </c>
    </row>
    <row r="18" spans="1:37" ht="14.5" x14ac:dyDescent="0.35">
      <c r="A18" s="7" t="s">
        <v>70</v>
      </c>
      <c r="B18" s="10">
        <v>2589848625</v>
      </c>
      <c r="C18" s="10">
        <v>2615673872</v>
      </c>
      <c r="D18" s="10">
        <v>2657428739</v>
      </c>
      <c r="E18" s="10">
        <v>1721988180</v>
      </c>
      <c r="F18" s="10">
        <v>1922845529</v>
      </c>
      <c r="G18" s="10">
        <v>989271937</v>
      </c>
      <c r="H18" s="10">
        <v>866721157</v>
      </c>
      <c r="I18" s="10">
        <v>639801938</v>
      </c>
      <c r="J18" s="10">
        <v>763849635</v>
      </c>
      <c r="K18" s="10">
        <v>709564135</v>
      </c>
      <c r="L18" s="10">
        <v>602541028</v>
      </c>
      <c r="M18" s="10">
        <v>529966577</v>
      </c>
      <c r="N18" s="10">
        <v>386625161</v>
      </c>
      <c r="O18" s="10">
        <v>525243042</v>
      </c>
      <c r="P18" s="10">
        <v>939465219</v>
      </c>
      <c r="Q18" s="10">
        <v>1240852837</v>
      </c>
      <c r="R18" s="10">
        <v>1350687995</v>
      </c>
      <c r="S18" s="10">
        <v>1411185554</v>
      </c>
      <c r="T18" s="10">
        <v>1430076968</v>
      </c>
      <c r="U18" s="10">
        <v>1662062720</v>
      </c>
      <c r="V18" s="10">
        <v>2183066716</v>
      </c>
      <c r="W18" s="10">
        <v>2440433496</v>
      </c>
      <c r="X18" s="10">
        <v>2539937564</v>
      </c>
      <c r="Y18" s="10">
        <v>2200639861</v>
      </c>
      <c r="Z18" s="10" t="s">
        <v>65</v>
      </c>
      <c r="AB18" s="9">
        <v>278942294</v>
      </c>
      <c r="AC18" s="10">
        <v>7257894223</v>
      </c>
      <c r="AD18" s="9">
        <v>2868617532</v>
      </c>
      <c r="AE18" s="10">
        <v>145678429</v>
      </c>
      <c r="AF18" s="9">
        <v>3410710258</v>
      </c>
      <c r="AG18" s="10">
        <v>989271937</v>
      </c>
      <c r="AH18" s="9">
        <v>1094343164</v>
      </c>
      <c r="AI18" s="10">
        <v>585462128</v>
      </c>
      <c r="AJ18" s="9">
        <v>1249946425</v>
      </c>
      <c r="AK18" s="10">
        <v>158065465</v>
      </c>
    </row>
    <row r="19" spans="1:37" ht="14.5" x14ac:dyDescent="0.35">
      <c r="A19" s="7" t="s">
        <v>71</v>
      </c>
      <c r="B19" s="9">
        <v>2063978261</v>
      </c>
      <c r="C19" s="9">
        <v>2317325221</v>
      </c>
      <c r="D19" s="9">
        <v>3207053821</v>
      </c>
      <c r="E19" s="9">
        <v>2625799426</v>
      </c>
      <c r="F19" s="9">
        <v>2726038234</v>
      </c>
      <c r="G19" s="9">
        <v>1094343164</v>
      </c>
      <c r="H19" s="9">
        <v>785225173</v>
      </c>
      <c r="I19" s="9">
        <v>765740650</v>
      </c>
      <c r="J19" s="9">
        <v>928868740</v>
      </c>
      <c r="K19" s="9">
        <v>662941367</v>
      </c>
      <c r="L19" s="9">
        <v>905832070</v>
      </c>
      <c r="M19" s="9">
        <v>935798465</v>
      </c>
      <c r="N19" s="9">
        <v>1091904971</v>
      </c>
      <c r="O19" s="9">
        <v>1381948528</v>
      </c>
      <c r="P19" s="9">
        <v>1378012559</v>
      </c>
      <c r="Q19" s="9">
        <v>2266430163</v>
      </c>
      <c r="R19" s="9">
        <v>2526042974</v>
      </c>
      <c r="S19" s="9">
        <v>2834686989</v>
      </c>
      <c r="T19" s="9">
        <v>3647533391</v>
      </c>
      <c r="U19" s="9">
        <v>4387251023</v>
      </c>
      <c r="V19" s="9">
        <v>5944661774</v>
      </c>
      <c r="W19" s="9">
        <v>5676913895</v>
      </c>
      <c r="X19" s="9">
        <v>4518248417</v>
      </c>
      <c r="Y19" s="9">
        <v>4824619783</v>
      </c>
      <c r="Z19" s="9" t="s">
        <v>65</v>
      </c>
      <c r="AB19" s="9">
        <v>373773882</v>
      </c>
      <c r="AC19" s="10">
        <v>6660771688</v>
      </c>
      <c r="AD19" s="9">
        <v>2917074875</v>
      </c>
      <c r="AE19" s="10">
        <v>216623835</v>
      </c>
      <c r="AF19" s="9">
        <v>3065160500</v>
      </c>
      <c r="AG19" s="10">
        <v>866721157</v>
      </c>
      <c r="AH19" s="9">
        <v>785225173</v>
      </c>
      <c r="AI19" s="10">
        <v>707118327</v>
      </c>
      <c r="AJ19" s="9">
        <v>1223037285</v>
      </c>
      <c r="AK19" s="10">
        <v>144917203</v>
      </c>
    </row>
    <row r="20" spans="1:37" ht="14.5" x14ac:dyDescent="0.35">
      <c r="A20" s="7" t="s">
        <v>72</v>
      </c>
      <c r="B20" s="10">
        <v>970441011</v>
      </c>
      <c r="C20" s="10">
        <v>849582646</v>
      </c>
      <c r="D20" s="10">
        <v>671840601</v>
      </c>
      <c r="E20" s="10">
        <v>577836754</v>
      </c>
      <c r="F20" s="10">
        <v>760094123</v>
      </c>
      <c r="G20" s="10">
        <v>585462128</v>
      </c>
      <c r="H20" s="10">
        <v>707118327</v>
      </c>
      <c r="I20" s="10">
        <v>507516418</v>
      </c>
      <c r="J20" s="10">
        <v>777790773</v>
      </c>
      <c r="K20" s="10">
        <v>842148350</v>
      </c>
      <c r="L20" s="10">
        <v>777609377</v>
      </c>
      <c r="M20" s="10">
        <v>825036942</v>
      </c>
      <c r="N20" s="10">
        <v>669866264</v>
      </c>
      <c r="O20" s="10">
        <v>709779855</v>
      </c>
      <c r="P20" s="10">
        <v>814412293</v>
      </c>
      <c r="Q20" s="10">
        <v>939078743</v>
      </c>
      <c r="R20" s="10">
        <v>969739228</v>
      </c>
      <c r="S20" s="10">
        <v>927067432</v>
      </c>
      <c r="T20" s="10">
        <v>784361961</v>
      </c>
      <c r="U20" s="10">
        <v>946803201</v>
      </c>
      <c r="V20" s="10">
        <v>1102387882</v>
      </c>
      <c r="W20" s="10">
        <v>1113534514</v>
      </c>
      <c r="X20" s="10">
        <v>1174052964</v>
      </c>
      <c r="Y20" s="10">
        <v>1460575843</v>
      </c>
      <c r="Z20" s="10" t="s">
        <v>65</v>
      </c>
      <c r="AB20" s="9">
        <v>228836670</v>
      </c>
      <c r="AC20" s="10">
        <v>5032777353</v>
      </c>
      <c r="AD20" s="9">
        <v>1943777106</v>
      </c>
      <c r="AE20" s="10">
        <v>170301786</v>
      </c>
      <c r="AF20" s="9">
        <v>2358215600</v>
      </c>
      <c r="AG20" s="10">
        <v>639801938</v>
      </c>
      <c r="AH20" s="9">
        <v>765740650</v>
      </c>
      <c r="AI20" s="10">
        <v>507516418</v>
      </c>
      <c r="AJ20" s="9">
        <v>71201929</v>
      </c>
      <c r="AK20" s="10">
        <v>99880425</v>
      </c>
    </row>
    <row r="21" spans="1:37" ht="14.5" x14ac:dyDescent="0.35">
      <c r="A21" s="7" t="s">
        <v>73</v>
      </c>
      <c r="B21" s="9">
        <v>340389691</v>
      </c>
      <c r="C21" s="9">
        <v>505815928</v>
      </c>
      <c r="D21" s="9">
        <v>412774578</v>
      </c>
      <c r="E21" s="9">
        <v>546694208</v>
      </c>
      <c r="F21" s="9">
        <v>1059038863</v>
      </c>
      <c r="G21" s="9">
        <v>1249946425</v>
      </c>
      <c r="H21" s="9">
        <v>1223037285</v>
      </c>
      <c r="I21" s="9">
        <v>71201929</v>
      </c>
      <c r="J21" s="9">
        <v>44952025</v>
      </c>
      <c r="K21" s="9">
        <v>87135067</v>
      </c>
      <c r="L21" s="9">
        <v>16024603</v>
      </c>
      <c r="M21" s="9">
        <v>13094812</v>
      </c>
      <c r="N21" s="9">
        <v>18624968</v>
      </c>
      <c r="O21" s="9">
        <v>30422716</v>
      </c>
      <c r="P21" s="9">
        <v>139868879</v>
      </c>
      <c r="Q21" s="9">
        <v>250621916</v>
      </c>
      <c r="R21" s="9">
        <v>244938109</v>
      </c>
      <c r="S21" s="9">
        <v>244475988</v>
      </c>
      <c r="T21" s="9">
        <v>264296821</v>
      </c>
      <c r="U21" s="9">
        <v>142204696</v>
      </c>
      <c r="V21" s="9">
        <v>214395550</v>
      </c>
      <c r="W21" s="9">
        <v>200145765</v>
      </c>
      <c r="X21" s="9">
        <v>230450720</v>
      </c>
      <c r="Y21" s="9">
        <v>345747963</v>
      </c>
      <c r="Z21" s="9" t="s">
        <v>65</v>
      </c>
      <c r="AB21" s="9">
        <v>323833404</v>
      </c>
      <c r="AC21" s="10">
        <v>6083616568</v>
      </c>
      <c r="AD21" s="9">
        <v>1435849219</v>
      </c>
      <c r="AE21" s="10">
        <v>120716910</v>
      </c>
      <c r="AF21" s="9">
        <v>3001824947</v>
      </c>
      <c r="AG21" s="10">
        <v>763849635</v>
      </c>
      <c r="AH21" s="9">
        <v>928868740</v>
      </c>
      <c r="AI21" s="10">
        <v>777790773</v>
      </c>
      <c r="AJ21" s="9">
        <v>44952025</v>
      </c>
      <c r="AK21" s="10">
        <v>119286497</v>
      </c>
    </row>
    <row r="22" spans="1:37" ht="14.5" x14ac:dyDescent="0.35">
      <c r="A22" s="7" t="s">
        <v>74</v>
      </c>
      <c r="B22" s="10">
        <v>911232792</v>
      </c>
      <c r="C22" s="10">
        <v>905878004</v>
      </c>
      <c r="D22" s="10">
        <v>985971202</v>
      </c>
      <c r="E22" s="10">
        <v>919406274</v>
      </c>
      <c r="F22" s="10">
        <v>822607912</v>
      </c>
      <c r="G22" s="10">
        <v>158065465</v>
      </c>
      <c r="H22" s="10">
        <v>144917203</v>
      </c>
      <c r="I22" s="10">
        <v>99880425</v>
      </c>
      <c r="J22" s="10">
        <v>119286497</v>
      </c>
      <c r="K22" s="10">
        <v>135868493</v>
      </c>
      <c r="L22" s="10">
        <v>150105168</v>
      </c>
      <c r="M22" s="10">
        <v>155025554</v>
      </c>
      <c r="N22" s="10">
        <v>217472555</v>
      </c>
      <c r="O22" s="10">
        <v>215129730</v>
      </c>
      <c r="P22" s="10">
        <v>288470129</v>
      </c>
      <c r="Q22" s="10">
        <v>372092193</v>
      </c>
      <c r="R22" s="10">
        <v>348703938</v>
      </c>
      <c r="S22" s="10">
        <v>284077871</v>
      </c>
      <c r="T22" s="10">
        <v>234166708</v>
      </c>
      <c r="U22" s="10">
        <v>325068191</v>
      </c>
      <c r="V22" s="10">
        <v>812979734</v>
      </c>
      <c r="W22" s="10">
        <v>626919173</v>
      </c>
      <c r="X22" s="10">
        <v>415374930</v>
      </c>
      <c r="Y22" s="10">
        <v>509718269</v>
      </c>
      <c r="Z22" s="10" t="s">
        <v>65</v>
      </c>
      <c r="AB22" s="9">
        <v>269303793</v>
      </c>
      <c r="AC22" s="10">
        <v>6030499007</v>
      </c>
      <c r="AD22" s="9">
        <v>1330714429</v>
      </c>
      <c r="AE22" s="10">
        <v>146778067</v>
      </c>
      <c r="AF22" s="9">
        <v>3100616687</v>
      </c>
      <c r="AG22" s="10">
        <v>709564135</v>
      </c>
      <c r="AH22" s="9">
        <v>662941367</v>
      </c>
      <c r="AI22" s="10">
        <v>842148350</v>
      </c>
      <c r="AJ22" s="9">
        <v>87135067</v>
      </c>
      <c r="AK22" s="10">
        <v>135868493</v>
      </c>
    </row>
    <row r="23" spans="1:37" ht="11.4" customHeight="1" x14ac:dyDescent="0.35">
      <c r="AB23" s="9">
        <v>258564012</v>
      </c>
      <c r="AC23" s="10">
        <v>6840891749</v>
      </c>
      <c r="AD23" s="9">
        <v>1107128985</v>
      </c>
      <c r="AE23" s="10">
        <v>213421400</v>
      </c>
      <c r="AF23" s="9">
        <v>2985277953</v>
      </c>
      <c r="AG23" s="10">
        <v>602541028</v>
      </c>
      <c r="AH23" s="9">
        <v>905832070</v>
      </c>
      <c r="AI23" s="10">
        <v>777609377</v>
      </c>
      <c r="AJ23" s="9">
        <v>16024603</v>
      </c>
      <c r="AK23" s="10">
        <v>150105168</v>
      </c>
    </row>
    <row r="24" spans="1:37" ht="14.5" x14ac:dyDescent="0.35">
      <c r="A24" s="1" t="s">
        <v>75</v>
      </c>
      <c r="AB24" s="9">
        <v>288906602</v>
      </c>
      <c r="AC24" s="10">
        <v>6909894916</v>
      </c>
      <c r="AD24" s="9">
        <v>832743464</v>
      </c>
      <c r="AE24" s="10">
        <v>176313530</v>
      </c>
      <c r="AF24" s="9">
        <v>2946131351</v>
      </c>
      <c r="AG24" s="10">
        <v>529966577</v>
      </c>
      <c r="AH24" s="9">
        <v>935798465</v>
      </c>
      <c r="AI24" s="10">
        <v>825036942</v>
      </c>
      <c r="AJ24" s="9">
        <v>13094812</v>
      </c>
      <c r="AK24" s="10">
        <v>155025554</v>
      </c>
    </row>
    <row r="25" spans="1:37" ht="14.5" x14ac:dyDescent="0.35">
      <c r="A25" s="1" t="s">
        <v>65</v>
      </c>
      <c r="B25" s="2" t="s">
        <v>76</v>
      </c>
      <c r="AB25" s="9">
        <v>280914973</v>
      </c>
      <c r="AC25" s="10">
        <v>7995299526</v>
      </c>
      <c r="AD25" s="9">
        <v>625031484</v>
      </c>
      <c r="AE25" s="10">
        <v>219970006</v>
      </c>
      <c r="AF25" s="9">
        <v>2749690877</v>
      </c>
      <c r="AG25" s="10">
        <v>386625161</v>
      </c>
      <c r="AH25" s="9">
        <v>1091904971</v>
      </c>
      <c r="AI25" s="10">
        <v>669866264</v>
      </c>
      <c r="AJ25" s="9">
        <v>18624968</v>
      </c>
      <c r="AK25" s="10">
        <v>217472555</v>
      </c>
    </row>
    <row r="26" spans="1:37" ht="11.4" customHeight="1" x14ac:dyDescent="0.35">
      <c r="AB26" s="9">
        <v>344076187</v>
      </c>
      <c r="AC26" s="10">
        <v>8152489863</v>
      </c>
      <c r="AD26" s="9">
        <v>1481199142</v>
      </c>
      <c r="AE26" s="10">
        <v>223077246</v>
      </c>
      <c r="AF26" s="9">
        <v>2991563456</v>
      </c>
      <c r="AG26" s="10">
        <v>525243042</v>
      </c>
      <c r="AH26" s="9">
        <v>1381948528</v>
      </c>
      <c r="AI26" s="10">
        <v>709779855</v>
      </c>
      <c r="AJ26" s="9">
        <v>30422716</v>
      </c>
      <c r="AK26" s="10">
        <v>215129730</v>
      </c>
    </row>
    <row r="27" spans="1:37" ht="11.4" customHeight="1" x14ac:dyDescent="0.35">
      <c r="AB27" s="9">
        <v>385365590</v>
      </c>
      <c r="AC27" s="10">
        <v>7869822879</v>
      </c>
      <c r="AD27" s="9">
        <v>5739843671</v>
      </c>
      <c r="AE27" s="10">
        <v>231172149</v>
      </c>
      <c r="AF27" s="9">
        <v>2595244916</v>
      </c>
      <c r="AG27" s="10">
        <v>939465219</v>
      </c>
      <c r="AH27" s="9">
        <v>1378012559</v>
      </c>
      <c r="AI27" s="10">
        <v>814412293</v>
      </c>
      <c r="AJ27" s="9">
        <v>139868879</v>
      </c>
      <c r="AK27" s="10">
        <v>288470129</v>
      </c>
    </row>
    <row r="28" spans="1:37" ht="11.4" customHeight="1" x14ac:dyDescent="0.35">
      <c r="AB28" s="9">
        <v>460448955</v>
      </c>
      <c r="AC28" s="10">
        <v>8893505242</v>
      </c>
      <c r="AD28" s="9">
        <v>4868603268</v>
      </c>
      <c r="AE28" s="10">
        <v>279330931</v>
      </c>
      <c r="AF28" s="9">
        <v>2491226849</v>
      </c>
      <c r="AG28" s="10">
        <v>1240852837</v>
      </c>
      <c r="AH28" s="9">
        <v>2266430163</v>
      </c>
      <c r="AI28" s="10">
        <v>939078743</v>
      </c>
      <c r="AJ28" s="9">
        <v>250621916</v>
      </c>
      <c r="AK28" s="10">
        <v>372092193</v>
      </c>
    </row>
    <row r="29" spans="1:37" ht="11.4" customHeight="1" x14ac:dyDescent="0.35">
      <c r="AB29" s="9">
        <v>447098007</v>
      </c>
      <c r="AC29" s="10">
        <v>9212565816</v>
      </c>
      <c r="AD29" s="9">
        <v>3609109670</v>
      </c>
      <c r="AE29" s="10">
        <v>315412232</v>
      </c>
      <c r="AF29" s="9">
        <v>2690443429</v>
      </c>
      <c r="AG29" s="10">
        <v>1350687995</v>
      </c>
      <c r="AH29" s="9">
        <v>2526042974</v>
      </c>
      <c r="AI29" s="10">
        <v>969739228</v>
      </c>
      <c r="AJ29" s="9">
        <v>244938109</v>
      </c>
      <c r="AK29" s="10">
        <v>348703938</v>
      </c>
    </row>
    <row r="30" spans="1:37" ht="11.4" customHeight="1" x14ac:dyDescent="0.35">
      <c r="AB30" s="9">
        <v>597741644</v>
      </c>
      <c r="AC30" s="10">
        <v>8967136820</v>
      </c>
      <c r="AD30" s="9">
        <v>6525196777</v>
      </c>
      <c r="AE30" s="10">
        <v>321780318</v>
      </c>
      <c r="AF30" s="9">
        <v>2864542461</v>
      </c>
      <c r="AG30" s="10">
        <v>1411185554</v>
      </c>
      <c r="AH30" s="9">
        <v>2834686989</v>
      </c>
      <c r="AI30" s="10">
        <v>927067432</v>
      </c>
      <c r="AJ30" s="9">
        <v>244475988</v>
      </c>
      <c r="AK30" s="10">
        <v>284077871</v>
      </c>
    </row>
    <row r="31" spans="1:37" ht="11.4" customHeight="1" x14ac:dyDescent="0.35">
      <c r="AB31" s="9">
        <v>711410708</v>
      </c>
      <c r="AC31" s="10">
        <v>9022720580</v>
      </c>
      <c r="AD31" s="9">
        <v>7269420162</v>
      </c>
      <c r="AE31" s="10">
        <v>314345841</v>
      </c>
      <c r="AF31" s="9">
        <v>2813273629</v>
      </c>
      <c r="AG31" s="10">
        <v>1430076968</v>
      </c>
      <c r="AH31" s="9">
        <v>3647533391</v>
      </c>
      <c r="AI31" s="10">
        <v>784361961</v>
      </c>
      <c r="AJ31" s="9">
        <v>264296821</v>
      </c>
      <c r="AK31" s="10">
        <v>234166708</v>
      </c>
    </row>
    <row r="32" spans="1:37" ht="11.4" customHeight="1" x14ac:dyDescent="0.35">
      <c r="AB32" s="9">
        <v>800929845</v>
      </c>
      <c r="AC32" s="10">
        <v>10514308759</v>
      </c>
      <c r="AD32" s="9">
        <v>9386632207</v>
      </c>
      <c r="AE32" s="10">
        <v>324790661</v>
      </c>
      <c r="AF32" s="9">
        <v>2441162978</v>
      </c>
      <c r="AG32" s="10">
        <v>1662062720</v>
      </c>
      <c r="AH32" s="9">
        <v>4387251023</v>
      </c>
      <c r="AI32" s="10">
        <v>946803201</v>
      </c>
      <c r="AJ32" s="9">
        <v>142204696</v>
      </c>
      <c r="AK32" s="10">
        <v>325068191</v>
      </c>
    </row>
    <row r="33" spans="28:37" ht="11.4" customHeight="1" x14ac:dyDescent="0.35">
      <c r="AB33" s="9">
        <v>1059749022</v>
      </c>
      <c r="AC33" s="10">
        <v>13811736985</v>
      </c>
      <c r="AD33" s="9">
        <v>11417000917</v>
      </c>
      <c r="AE33" s="10">
        <v>399272077</v>
      </c>
      <c r="AF33" s="9">
        <v>2936888551</v>
      </c>
      <c r="AG33" s="10">
        <v>2183066716</v>
      </c>
      <c r="AH33" s="9">
        <v>5944661774</v>
      </c>
      <c r="AI33" s="10">
        <v>1102387882</v>
      </c>
      <c r="AJ33" s="9">
        <v>214395550</v>
      </c>
      <c r="AK33" s="10">
        <v>812979734</v>
      </c>
    </row>
    <row r="34" spans="28:37" ht="11.4" customHeight="1" x14ac:dyDescent="0.35">
      <c r="AB34" s="9">
        <v>1154015064</v>
      </c>
      <c r="AC34" s="10">
        <v>13430108349</v>
      </c>
      <c r="AD34" s="9">
        <v>5581164655</v>
      </c>
      <c r="AE34" s="10">
        <v>496207707</v>
      </c>
      <c r="AF34" s="9">
        <v>3487151688</v>
      </c>
      <c r="AG34" s="10">
        <v>2440433496</v>
      </c>
      <c r="AH34" s="9">
        <v>5676913895</v>
      </c>
      <c r="AI34" s="10">
        <v>1113534514</v>
      </c>
      <c r="AJ34" s="9">
        <v>200145765</v>
      </c>
      <c r="AK34" s="10">
        <v>626919173</v>
      </c>
    </row>
    <row r="35" spans="28:37" ht="11.4" customHeight="1" x14ac:dyDescent="0.35">
      <c r="AB35" s="9">
        <v>1024037189</v>
      </c>
      <c r="AC35" s="10">
        <v>11758175553</v>
      </c>
      <c r="AD35" s="9">
        <v>7949511227</v>
      </c>
      <c r="AE35" s="10">
        <v>521008696</v>
      </c>
      <c r="AF35" s="9">
        <v>3235193434</v>
      </c>
      <c r="AG35" s="10">
        <v>2539937564</v>
      </c>
      <c r="AH35" s="9">
        <v>4518248417</v>
      </c>
      <c r="AI35" s="10">
        <v>1174052964</v>
      </c>
      <c r="AJ35" s="9">
        <v>230450720</v>
      </c>
      <c r="AK35" s="10">
        <v>415374930</v>
      </c>
    </row>
    <row r="36" spans="28:37" ht="11.4" customHeight="1" x14ac:dyDescent="0.35">
      <c r="AB36" s="9">
        <v>881916121</v>
      </c>
      <c r="AC36" s="10">
        <v>12129168278</v>
      </c>
      <c r="AD36" s="9">
        <v>7963715596</v>
      </c>
      <c r="AE36" s="10">
        <v>566043216</v>
      </c>
      <c r="AF36" s="9">
        <v>3239166073</v>
      </c>
      <c r="AG36" s="10">
        <v>2200639861</v>
      </c>
      <c r="AH36" s="9">
        <v>4824619783</v>
      </c>
      <c r="AI36" s="10">
        <v>1460575843</v>
      </c>
      <c r="AJ36" s="9">
        <v>345747963</v>
      </c>
      <c r="AK36" s="10">
        <v>509718269</v>
      </c>
    </row>
  </sheetData>
  <pageMargins left="0.7" right="0.7" top="0.75" bottom="0.75" header="0.3" footer="0.3"/>
  <headerFooter>
    <oddHeader>&amp;L&amp;"Aptos"&amp;10&amp;K7FAA39 | DNB PUBLIC |&amp;1#_x000D_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K36"/>
  <sheetViews>
    <sheetView workbookViewId="0">
      <pane xSplit="1" ySplit="12" topLeftCell="B13" activePane="bottomRight" state="frozen"/>
      <selection pane="topRight"/>
      <selection pane="bottomLeft"/>
      <selection pane="bottomRight" activeCell="B13" sqref="B13"/>
    </sheetView>
  </sheetViews>
  <sheetFormatPr defaultRowHeight="11.4" customHeight="1" x14ac:dyDescent="0.35"/>
  <cols>
    <col min="1" max="1" width="29.90625" customWidth="1"/>
    <col min="2" max="26" width="10" customWidth="1"/>
  </cols>
  <sheetData>
    <row r="1" spans="1:37" ht="14.5" x14ac:dyDescent="0.35">
      <c r="A1" s="2" t="s">
        <v>31</v>
      </c>
    </row>
    <row r="2" spans="1:37" ht="14.5" x14ac:dyDescent="0.35">
      <c r="A2" s="2" t="s">
        <v>32</v>
      </c>
      <c r="B2" s="1" t="s">
        <v>0</v>
      </c>
    </row>
    <row r="3" spans="1:37" ht="14.5" x14ac:dyDescent="0.35">
      <c r="A3" s="2" t="s">
        <v>33</v>
      </c>
      <c r="B3" s="2" t="s">
        <v>6</v>
      </c>
    </row>
    <row r="4" spans="1:37" ht="14.5" x14ac:dyDescent="0.35"/>
    <row r="5" spans="1:37" ht="14.5" x14ac:dyDescent="0.35">
      <c r="A5" s="1" t="s">
        <v>11</v>
      </c>
      <c r="C5" s="2" t="s">
        <v>16</v>
      </c>
    </row>
    <row r="6" spans="1:37" ht="14.5" x14ac:dyDescent="0.35">
      <c r="A6" s="1" t="s">
        <v>12</v>
      </c>
      <c r="C6" s="2" t="s">
        <v>23</v>
      </c>
    </row>
    <row r="7" spans="1:37" ht="14.5" x14ac:dyDescent="0.35">
      <c r="A7" s="1" t="s">
        <v>13</v>
      </c>
      <c r="C7" s="2" t="s">
        <v>18</v>
      </c>
    </row>
    <row r="8" spans="1:37" ht="14.5" x14ac:dyDescent="0.35">
      <c r="A8" s="1" t="s">
        <v>14</v>
      </c>
      <c r="C8" s="2" t="s">
        <v>19</v>
      </c>
    </row>
    <row r="9" spans="1:37" ht="14.5" x14ac:dyDescent="0.35"/>
    <row r="10" spans="1:37" ht="14.5" x14ac:dyDescent="0.35">
      <c r="A10" s="5" t="s">
        <v>34</v>
      </c>
      <c r="B10" s="4" t="s">
        <v>35</v>
      </c>
      <c r="C10" s="4" t="s">
        <v>36</v>
      </c>
      <c r="D10" s="4" t="s">
        <v>37</v>
      </c>
      <c r="E10" s="4" t="s">
        <v>38</v>
      </c>
      <c r="F10" s="4" t="s">
        <v>39</v>
      </c>
      <c r="G10" s="4" t="s">
        <v>40</v>
      </c>
      <c r="H10" s="4" t="s">
        <v>41</v>
      </c>
      <c r="I10" s="4" t="s">
        <v>42</v>
      </c>
      <c r="J10" s="4" t="s">
        <v>43</v>
      </c>
      <c r="K10" s="4" t="s">
        <v>44</v>
      </c>
      <c r="L10" s="4" t="s">
        <v>45</v>
      </c>
      <c r="M10" s="4" t="s">
        <v>46</v>
      </c>
      <c r="N10" s="4" t="s">
        <v>47</v>
      </c>
      <c r="O10" s="4" t="s">
        <v>48</v>
      </c>
      <c r="P10" s="4" t="s">
        <v>49</v>
      </c>
      <c r="Q10" s="4" t="s">
        <v>50</v>
      </c>
      <c r="R10" s="4" t="s">
        <v>51</v>
      </c>
      <c r="S10" s="4" t="s">
        <v>52</v>
      </c>
      <c r="T10" s="4" t="s">
        <v>53</v>
      </c>
      <c r="U10" s="4" t="s">
        <v>54</v>
      </c>
      <c r="V10" s="4" t="s">
        <v>55</v>
      </c>
      <c r="W10" s="4" t="s">
        <v>56</v>
      </c>
      <c r="X10" s="4" t="s">
        <v>57</v>
      </c>
      <c r="Y10" s="4" t="s">
        <v>58</v>
      </c>
      <c r="Z10" s="4" t="s">
        <v>59</v>
      </c>
    </row>
    <row r="11" spans="1:37" ht="14.5" x14ac:dyDescent="0.35">
      <c r="A11" s="5" t="s">
        <v>60</v>
      </c>
      <c r="B11" s="3" t="s">
        <v>61</v>
      </c>
      <c r="C11" s="3" t="s">
        <v>61</v>
      </c>
      <c r="D11" s="3" t="s">
        <v>61</v>
      </c>
      <c r="E11" s="3" t="s">
        <v>61</v>
      </c>
      <c r="F11" s="3" t="s">
        <v>61</v>
      </c>
      <c r="G11" s="3" t="s">
        <v>61</v>
      </c>
      <c r="H11" s="3" t="s">
        <v>61</v>
      </c>
      <c r="I11" s="3" t="s">
        <v>61</v>
      </c>
      <c r="J11" s="3" t="s">
        <v>61</v>
      </c>
      <c r="K11" s="3" t="s">
        <v>61</v>
      </c>
      <c r="L11" s="3" t="s">
        <v>61</v>
      </c>
      <c r="M11" s="3" t="s">
        <v>61</v>
      </c>
      <c r="N11" s="3" t="s">
        <v>61</v>
      </c>
      <c r="O11" s="3" t="s">
        <v>61</v>
      </c>
      <c r="P11" s="3" t="s">
        <v>61</v>
      </c>
      <c r="Q11" s="3" t="s">
        <v>61</v>
      </c>
      <c r="R11" s="3" t="s">
        <v>61</v>
      </c>
      <c r="S11" s="3" t="s">
        <v>61</v>
      </c>
      <c r="T11" s="3" t="s">
        <v>61</v>
      </c>
      <c r="U11" s="3" t="s">
        <v>61</v>
      </c>
      <c r="V11" s="3" t="s">
        <v>61</v>
      </c>
      <c r="W11" s="3" t="s">
        <v>61</v>
      </c>
      <c r="X11" s="3" t="s">
        <v>61</v>
      </c>
      <c r="Y11" s="3" t="s">
        <v>61</v>
      </c>
      <c r="Z11" s="3" t="s">
        <v>61</v>
      </c>
    </row>
    <row r="12" spans="1:37" ht="14.5" x14ac:dyDescent="0.35">
      <c r="A12" s="6" t="s">
        <v>62</v>
      </c>
      <c r="B12" s="8" t="s">
        <v>63</v>
      </c>
      <c r="C12" s="8" t="s">
        <v>63</v>
      </c>
      <c r="D12" s="8" t="s">
        <v>63</v>
      </c>
      <c r="E12" s="8" t="s">
        <v>63</v>
      </c>
      <c r="F12" s="8" t="s">
        <v>63</v>
      </c>
      <c r="G12" s="8" t="s">
        <v>63</v>
      </c>
      <c r="H12" s="8" t="s">
        <v>63</v>
      </c>
      <c r="I12" s="8" t="s">
        <v>63</v>
      </c>
      <c r="J12" s="8" t="s">
        <v>63</v>
      </c>
      <c r="K12" s="8" t="s">
        <v>63</v>
      </c>
      <c r="L12" s="8" t="s">
        <v>63</v>
      </c>
      <c r="M12" s="8" t="s">
        <v>63</v>
      </c>
      <c r="N12" s="8" t="s">
        <v>63</v>
      </c>
      <c r="O12" s="8" t="s">
        <v>63</v>
      </c>
      <c r="P12" s="8" t="s">
        <v>63</v>
      </c>
      <c r="Q12" s="8" t="s">
        <v>63</v>
      </c>
      <c r="R12" s="8" t="s">
        <v>63</v>
      </c>
      <c r="S12" s="8" t="s">
        <v>63</v>
      </c>
      <c r="T12" s="8" t="s">
        <v>63</v>
      </c>
      <c r="U12" s="8" t="s">
        <v>63</v>
      </c>
      <c r="V12" s="8" t="s">
        <v>63</v>
      </c>
      <c r="W12" s="8" t="s">
        <v>63</v>
      </c>
      <c r="X12" s="8" t="s">
        <v>63</v>
      </c>
      <c r="Y12" s="8" t="s">
        <v>63</v>
      </c>
      <c r="Z12" s="8" t="s">
        <v>63</v>
      </c>
      <c r="AB12" t="s">
        <v>83</v>
      </c>
      <c r="AC12" t="s">
        <v>84</v>
      </c>
      <c r="AD12" t="s">
        <v>88</v>
      </c>
      <c r="AE12" t="s">
        <v>85</v>
      </c>
      <c r="AF12" t="s">
        <v>87</v>
      </c>
      <c r="AG12" t="s">
        <v>89</v>
      </c>
      <c r="AH12" t="s">
        <v>90</v>
      </c>
      <c r="AI12" t="s">
        <v>82</v>
      </c>
      <c r="AJ12" t="s">
        <v>91</v>
      </c>
      <c r="AK12" t="s">
        <v>86</v>
      </c>
    </row>
    <row r="13" spans="1:37" ht="14.5" x14ac:dyDescent="0.35">
      <c r="A13" s="7" t="s">
        <v>64</v>
      </c>
      <c r="B13" s="9">
        <v>792169438</v>
      </c>
      <c r="C13" s="9">
        <v>763411110</v>
      </c>
      <c r="D13" s="9">
        <v>671306011</v>
      </c>
      <c r="E13" s="9">
        <v>679143570</v>
      </c>
      <c r="F13" s="9">
        <v>579917804</v>
      </c>
      <c r="G13" s="9">
        <v>391656177</v>
      </c>
      <c r="H13" s="9">
        <v>398895875</v>
      </c>
      <c r="I13" s="9">
        <v>374443428</v>
      </c>
      <c r="J13" s="9">
        <v>455611865</v>
      </c>
      <c r="K13" s="9">
        <v>507824527</v>
      </c>
      <c r="L13" s="9">
        <v>496129629</v>
      </c>
      <c r="M13" s="9">
        <v>406351265</v>
      </c>
      <c r="N13" s="9">
        <v>388305068</v>
      </c>
      <c r="O13" s="9">
        <v>328521807</v>
      </c>
      <c r="P13" s="9">
        <v>349154728</v>
      </c>
      <c r="Q13" s="9">
        <v>437876217</v>
      </c>
      <c r="R13" s="9">
        <v>370819073</v>
      </c>
      <c r="S13" s="9">
        <v>440620320</v>
      </c>
      <c r="T13" s="9">
        <v>477480580</v>
      </c>
      <c r="U13" s="9">
        <v>409184381</v>
      </c>
      <c r="V13" s="9">
        <v>525405306</v>
      </c>
      <c r="W13" s="9">
        <v>591062794</v>
      </c>
      <c r="X13" s="9">
        <v>684278714</v>
      </c>
      <c r="Y13" s="9">
        <v>770664789</v>
      </c>
      <c r="Z13" s="9" t="s">
        <v>65</v>
      </c>
      <c r="AB13">
        <v>792169438</v>
      </c>
      <c r="AC13">
        <v>5271068196</v>
      </c>
      <c r="AD13">
        <v>5480090158</v>
      </c>
      <c r="AE13">
        <v>231443097</v>
      </c>
      <c r="AF13">
        <v>2509316130</v>
      </c>
      <c r="AG13">
        <v>978745054</v>
      </c>
      <c r="AH13">
        <v>5437196803</v>
      </c>
      <c r="AI13">
        <v>594216714</v>
      </c>
      <c r="AJ13">
        <v>135445152</v>
      </c>
      <c r="AK13">
        <v>248448774</v>
      </c>
    </row>
    <row r="14" spans="1:37" ht="14.5" x14ac:dyDescent="0.35">
      <c r="A14" s="7" t="s">
        <v>66</v>
      </c>
      <c r="B14" s="10">
        <v>5271068196</v>
      </c>
      <c r="C14" s="10">
        <v>5506071142</v>
      </c>
      <c r="D14" s="10">
        <v>5900468563</v>
      </c>
      <c r="E14" s="10">
        <v>5847886624</v>
      </c>
      <c r="F14" s="10">
        <v>6318245027</v>
      </c>
      <c r="G14" s="10">
        <v>4687648719</v>
      </c>
      <c r="H14" s="10">
        <v>4546923566</v>
      </c>
      <c r="I14" s="10">
        <v>3419761490</v>
      </c>
      <c r="J14" s="10">
        <v>3960222988</v>
      </c>
      <c r="K14" s="10">
        <v>4019257508</v>
      </c>
      <c r="L14" s="10">
        <v>4019481295</v>
      </c>
      <c r="M14" s="10">
        <v>3701366625</v>
      </c>
      <c r="N14" s="10">
        <v>3524735669</v>
      </c>
      <c r="O14" s="10">
        <v>3620613352</v>
      </c>
      <c r="P14" s="10">
        <v>3387105439</v>
      </c>
      <c r="Q14" s="10">
        <v>3761116851</v>
      </c>
      <c r="R14" s="10">
        <v>3958747563</v>
      </c>
      <c r="S14" s="10">
        <v>4234683961</v>
      </c>
      <c r="T14" s="10">
        <v>5113374597</v>
      </c>
      <c r="U14" s="10">
        <v>5472198757</v>
      </c>
      <c r="V14" s="10">
        <v>6274148709</v>
      </c>
      <c r="W14" s="10">
        <v>5743468675</v>
      </c>
      <c r="X14" s="10">
        <v>5776140428</v>
      </c>
      <c r="Y14" s="10">
        <v>6518847619</v>
      </c>
      <c r="Z14" s="10" t="s">
        <v>65</v>
      </c>
      <c r="AB14">
        <v>763411110</v>
      </c>
      <c r="AC14">
        <v>5506071142</v>
      </c>
      <c r="AD14">
        <v>4595123647</v>
      </c>
      <c r="AE14">
        <v>334270222</v>
      </c>
      <c r="AF14">
        <v>2089665243</v>
      </c>
      <c r="AG14">
        <v>902795627</v>
      </c>
      <c r="AH14">
        <v>5253748668</v>
      </c>
      <c r="AI14">
        <v>563719201</v>
      </c>
      <c r="AJ14">
        <v>164487163</v>
      </c>
      <c r="AK14">
        <v>216312418</v>
      </c>
    </row>
    <row r="15" spans="1:37" ht="14.5" x14ac:dyDescent="0.35">
      <c r="A15" s="7" t="s">
        <v>67</v>
      </c>
      <c r="B15" s="9">
        <v>5480090158</v>
      </c>
      <c r="C15" s="9">
        <v>4595123647</v>
      </c>
      <c r="D15" s="9">
        <v>3572212397</v>
      </c>
      <c r="E15" s="9">
        <v>3680829406</v>
      </c>
      <c r="F15" s="9">
        <v>3764302259</v>
      </c>
      <c r="G15" s="9">
        <v>2672019387</v>
      </c>
      <c r="H15" s="9">
        <v>2345003068</v>
      </c>
      <c r="I15" s="9">
        <v>2273822738</v>
      </c>
      <c r="J15" s="9">
        <v>1298782963</v>
      </c>
      <c r="K15" s="9">
        <v>1099118525</v>
      </c>
      <c r="L15" s="9">
        <v>1119033178</v>
      </c>
      <c r="M15" s="9">
        <v>1268326076</v>
      </c>
      <c r="N15" s="9">
        <v>1402103187</v>
      </c>
      <c r="O15" s="9">
        <v>1676127769</v>
      </c>
      <c r="P15" s="9">
        <v>1633916589</v>
      </c>
      <c r="Q15" s="9">
        <v>1453153744</v>
      </c>
      <c r="R15" s="9">
        <v>1701427297</v>
      </c>
      <c r="S15" s="9">
        <v>2403375425</v>
      </c>
      <c r="T15" s="9">
        <v>2874352623</v>
      </c>
      <c r="U15" s="9">
        <v>1612578116</v>
      </c>
      <c r="V15" s="9">
        <v>1973884001</v>
      </c>
      <c r="W15" s="9">
        <v>1654977374</v>
      </c>
      <c r="X15" s="9">
        <v>2293358295</v>
      </c>
      <c r="Y15" s="9">
        <v>3798157638</v>
      </c>
      <c r="Z15" s="9" t="s">
        <v>65</v>
      </c>
      <c r="AB15">
        <v>671306011</v>
      </c>
      <c r="AC15">
        <v>5900468563</v>
      </c>
      <c r="AD15">
        <v>3572212397</v>
      </c>
      <c r="AE15">
        <v>236368825</v>
      </c>
      <c r="AF15">
        <v>2085296949</v>
      </c>
      <c r="AG15">
        <v>660490982</v>
      </c>
      <c r="AH15">
        <v>4506560329</v>
      </c>
      <c r="AI15">
        <v>746097643</v>
      </c>
      <c r="AJ15">
        <v>272600830</v>
      </c>
      <c r="AK15">
        <v>194307946</v>
      </c>
    </row>
    <row r="16" spans="1:37" ht="14.5" x14ac:dyDescent="0.35">
      <c r="A16" s="7" t="s">
        <v>68</v>
      </c>
      <c r="B16" s="10">
        <v>231443097</v>
      </c>
      <c r="C16" s="10">
        <v>334270222</v>
      </c>
      <c r="D16" s="10">
        <v>236368825</v>
      </c>
      <c r="E16" s="10">
        <v>214080709</v>
      </c>
      <c r="F16" s="10">
        <v>226021349</v>
      </c>
      <c r="G16" s="10">
        <v>173459629</v>
      </c>
      <c r="H16" s="10">
        <v>142230043</v>
      </c>
      <c r="I16" s="10">
        <v>118005418</v>
      </c>
      <c r="J16" s="10">
        <v>126023903</v>
      </c>
      <c r="K16" s="10">
        <v>157309221</v>
      </c>
      <c r="L16" s="10">
        <v>176000399</v>
      </c>
      <c r="M16" s="10">
        <v>198883432</v>
      </c>
      <c r="N16" s="10">
        <v>269477547</v>
      </c>
      <c r="O16" s="10">
        <v>245165806</v>
      </c>
      <c r="P16" s="10">
        <v>268561415</v>
      </c>
      <c r="Q16" s="10">
        <v>269912372</v>
      </c>
      <c r="R16" s="10">
        <v>276676252</v>
      </c>
      <c r="S16" s="10">
        <v>253120797</v>
      </c>
      <c r="T16" s="10">
        <v>287218505</v>
      </c>
      <c r="U16" s="10">
        <v>274078914</v>
      </c>
      <c r="V16" s="10">
        <v>321986337</v>
      </c>
      <c r="W16" s="10">
        <v>333724732</v>
      </c>
      <c r="X16" s="10">
        <v>358199186</v>
      </c>
      <c r="Y16" s="10">
        <v>350729133</v>
      </c>
      <c r="Z16" s="10" t="s">
        <v>65</v>
      </c>
      <c r="AB16">
        <v>679143570</v>
      </c>
      <c r="AC16">
        <v>5847886624</v>
      </c>
      <c r="AD16">
        <v>3680829406</v>
      </c>
      <c r="AE16">
        <v>214080709</v>
      </c>
      <c r="AF16">
        <v>1915336574</v>
      </c>
      <c r="AG16">
        <v>554734850</v>
      </c>
      <c r="AH16">
        <v>6338652675</v>
      </c>
      <c r="AI16">
        <v>762073259</v>
      </c>
      <c r="AJ16">
        <v>388427058</v>
      </c>
      <c r="AK16">
        <v>261164657</v>
      </c>
    </row>
    <row r="17" spans="1:37" ht="14.5" x14ac:dyDescent="0.35">
      <c r="A17" s="7" t="s">
        <v>69</v>
      </c>
      <c r="B17" s="9">
        <v>2509316130</v>
      </c>
      <c r="C17" s="9">
        <v>2089665243</v>
      </c>
      <c r="D17" s="9">
        <v>2085296949</v>
      </c>
      <c r="E17" s="9">
        <v>1915336574</v>
      </c>
      <c r="F17" s="9">
        <v>1956902546</v>
      </c>
      <c r="G17" s="9">
        <v>1705875587</v>
      </c>
      <c r="H17" s="9">
        <v>1666351850</v>
      </c>
      <c r="I17" s="9">
        <v>1424194504</v>
      </c>
      <c r="J17" s="9">
        <v>1391211153</v>
      </c>
      <c r="K17" s="9">
        <v>1595347364</v>
      </c>
      <c r="L17" s="9">
        <v>1423876081</v>
      </c>
      <c r="M17" s="9">
        <v>1346925809</v>
      </c>
      <c r="N17" s="9">
        <v>1216477558</v>
      </c>
      <c r="O17" s="9">
        <v>1345925415</v>
      </c>
      <c r="P17" s="9">
        <v>1300977604</v>
      </c>
      <c r="Q17" s="9">
        <v>1389912538</v>
      </c>
      <c r="R17" s="9">
        <v>1463555220</v>
      </c>
      <c r="S17" s="9">
        <v>1442811303</v>
      </c>
      <c r="T17" s="9">
        <v>1481936096</v>
      </c>
      <c r="U17" s="9">
        <v>1464199570</v>
      </c>
      <c r="V17" s="9">
        <v>1534243823</v>
      </c>
      <c r="W17" s="9">
        <v>1614936575</v>
      </c>
      <c r="X17" s="9">
        <v>1567113333</v>
      </c>
      <c r="Y17" s="9">
        <v>1734525122</v>
      </c>
      <c r="Z17" s="9" t="s">
        <v>65</v>
      </c>
      <c r="AB17">
        <v>579917804</v>
      </c>
      <c r="AC17">
        <v>6318245027</v>
      </c>
      <c r="AD17">
        <v>3764302259</v>
      </c>
      <c r="AE17">
        <v>226021349</v>
      </c>
      <c r="AF17">
        <v>1956902546</v>
      </c>
      <c r="AG17">
        <v>529367292</v>
      </c>
      <c r="AH17">
        <v>6569131181</v>
      </c>
      <c r="AI17">
        <v>426131675</v>
      </c>
      <c r="AJ17">
        <v>346641126</v>
      </c>
      <c r="AK17">
        <v>347222006</v>
      </c>
    </row>
    <row r="18" spans="1:37" ht="14.5" x14ac:dyDescent="0.35">
      <c r="A18" s="7" t="s">
        <v>70</v>
      </c>
      <c r="B18" s="10">
        <v>978745054</v>
      </c>
      <c r="C18" s="10">
        <v>902795627</v>
      </c>
      <c r="D18" s="10">
        <v>660490982</v>
      </c>
      <c r="E18" s="10">
        <v>554734850</v>
      </c>
      <c r="F18" s="10">
        <v>529367292</v>
      </c>
      <c r="G18" s="10">
        <v>458995140</v>
      </c>
      <c r="H18" s="10">
        <v>432207012</v>
      </c>
      <c r="I18" s="10">
        <v>331656125</v>
      </c>
      <c r="J18" s="10">
        <v>421293923</v>
      </c>
      <c r="K18" s="10">
        <v>799294738</v>
      </c>
      <c r="L18" s="10">
        <v>897001405</v>
      </c>
      <c r="M18" s="10">
        <v>892371384</v>
      </c>
      <c r="N18" s="10">
        <v>845177750</v>
      </c>
      <c r="O18" s="10">
        <v>922334950</v>
      </c>
      <c r="P18" s="10">
        <v>836598087</v>
      </c>
      <c r="Q18" s="10">
        <v>859193948</v>
      </c>
      <c r="R18" s="10">
        <v>773937210</v>
      </c>
      <c r="S18" s="10">
        <v>867583509</v>
      </c>
      <c r="T18" s="10">
        <v>859246218</v>
      </c>
      <c r="U18" s="10">
        <v>942672980</v>
      </c>
      <c r="V18" s="10">
        <v>1106885803</v>
      </c>
      <c r="W18" s="10">
        <v>993796786</v>
      </c>
      <c r="X18" s="10">
        <v>1044478875</v>
      </c>
      <c r="Y18" s="10">
        <v>1093655260</v>
      </c>
      <c r="Z18" s="10" t="s">
        <v>65</v>
      </c>
      <c r="AB18">
        <v>391656177</v>
      </c>
      <c r="AC18">
        <v>4687648719</v>
      </c>
      <c r="AD18">
        <v>2672019387</v>
      </c>
      <c r="AE18">
        <v>173459629</v>
      </c>
      <c r="AF18">
        <v>1705875587</v>
      </c>
      <c r="AG18">
        <v>458995140</v>
      </c>
      <c r="AH18">
        <v>6094342486</v>
      </c>
      <c r="AI18">
        <v>391657587</v>
      </c>
      <c r="AJ18">
        <v>355642481</v>
      </c>
      <c r="AK18">
        <v>322486556</v>
      </c>
    </row>
    <row r="19" spans="1:37" ht="14.5" x14ac:dyDescent="0.35">
      <c r="A19" s="7" t="s">
        <v>71</v>
      </c>
      <c r="B19" s="9">
        <v>5437196803</v>
      </c>
      <c r="C19" s="9">
        <v>5253748668</v>
      </c>
      <c r="D19" s="9">
        <v>4506560329</v>
      </c>
      <c r="E19" s="9">
        <v>6338652675</v>
      </c>
      <c r="F19" s="9">
        <v>6569131181</v>
      </c>
      <c r="G19" s="9">
        <v>6094342486</v>
      </c>
      <c r="H19" s="9">
        <v>5164047154</v>
      </c>
      <c r="I19" s="9">
        <v>4947465451</v>
      </c>
      <c r="J19" s="9">
        <v>5712991495</v>
      </c>
      <c r="K19" s="9">
        <v>5886655423</v>
      </c>
      <c r="L19" s="9">
        <v>6647259752</v>
      </c>
      <c r="M19" s="9">
        <v>6191417025</v>
      </c>
      <c r="N19" s="9">
        <v>5508861290</v>
      </c>
      <c r="O19" s="9">
        <v>4556583541</v>
      </c>
      <c r="P19" s="9">
        <v>4694535728</v>
      </c>
      <c r="Q19" s="9">
        <v>4941116577</v>
      </c>
      <c r="R19" s="9">
        <v>5386991877</v>
      </c>
      <c r="S19" s="9">
        <v>5671282618</v>
      </c>
      <c r="T19" s="9">
        <v>9364094948</v>
      </c>
      <c r="U19" s="9">
        <v>8740654689</v>
      </c>
      <c r="V19" s="9">
        <v>10450470941</v>
      </c>
      <c r="W19" s="9">
        <v>14393577962</v>
      </c>
      <c r="X19" s="9">
        <v>11501395050</v>
      </c>
      <c r="Y19" s="9">
        <v>14356512036</v>
      </c>
      <c r="Z19" s="9" t="s">
        <v>65</v>
      </c>
      <c r="AB19">
        <v>398895875</v>
      </c>
      <c r="AC19">
        <v>4546923566</v>
      </c>
      <c r="AD19">
        <v>2345003068</v>
      </c>
      <c r="AE19">
        <v>142230043</v>
      </c>
      <c r="AF19">
        <v>1666351850</v>
      </c>
      <c r="AG19">
        <v>432207012</v>
      </c>
      <c r="AH19">
        <v>5164047154</v>
      </c>
      <c r="AI19">
        <v>321836204</v>
      </c>
      <c r="AJ19">
        <v>217333385</v>
      </c>
      <c r="AK19">
        <v>245815190</v>
      </c>
    </row>
    <row r="20" spans="1:37" ht="14.5" x14ac:dyDescent="0.35">
      <c r="A20" s="7" t="s">
        <v>72</v>
      </c>
      <c r="B20" s="10">
        <v>594216714</v>
      </c>
      <c r="C20" s="10">
        <v>563719201</v>
      </c>
      <c r="D20" s="10">
        <v>746097643</v>
      </c>
      <c r="E20" s="10">
        <v>762073259</v>
      </c>
      <c r="F20" s="10">
        <v>426131675</v>
      </c>
      <c r="G20" s="10">
        <v>391657587</v>
      </c>
      <c r="H20" s="10">
        <v>321836204</v>
      </c>
      <c r="I20" s="10">
        <v>213048001</v>
      </c>
      <c r="J20" s="10">
        <v>231317752</v>
      </c>
      <c r="K20" s="10">
        <v>311363108</v>
      </c>
      <c r="L20" s="10">
        <v>238886268</v>
      </c>
      <c r="M20" s="10">
        <v>274161764</v>
      </c>
      <c r="N20" s="10">
        <v>289744631</v>
      </c>
      <c r="O20" s="10">
        <v>240064659</v>
      </c>
      <c r="P20" s="10">
        <v>214316916</v>
      </c>
      <c r="Q20" s="10">
        <v>215230707</v>
      </c>
      <c r="R20" s="10">
        <v>203972228</v>
      </c>
      <c r="S20" s="10">
        <v>217564410</v>
      </c>
      <c r="T20" s="10">
        <v>216163729</v>
      </c>
      <c r="U20" s="10">
        <v>247339902</v>
      </c>
      <c r="V20" s="10">
        <v>296863549</v>
      </c>
      <c r="W20" s="10">
        <v>316532214</v>
      </c>
      <c r="X20" s="10">
        <v>329798011</v>
      </c>
      <c r="Y20" s="10">
        <v>348913577</v>
      </c>
      <c r="Z20" s="10" t="s">
        <v>65</v>
      </c>
      <c r="AB20">
        <v>374443428</v>
      </c>
      <c r="AC20">
        <v>3419761490</v>
      </c>
      <c r="AD20">
        <v>2273822738</v>
      </c>
      <c r="AE20">
        <v>118005418</v>
      </c>
      <c r="AF20">
        <v>1424194504</v>
      </c>
      <c r="AG20">
        <v>331656125</v>
      </c>
      <c r="AH20">
        <v>4947465451</v>
      </c>
      <c r="AI20">
        <v>213048001</v>
      </c>
      <c r="AJ20">
        <v>135178711</v>
      </c>
      <c r="AK20">
        <v>173149717</v>
      </c>
    </row>
    <row r="21" spans="1:37" ht="14.5" x14ac:dyDescent="0.35">
      <c r="A21" s="7" t="s">
        <v>73</v>
      </c>
      <c r="B21" s="9">
        <v>135445152</v>
      </c>
      <c r="C21" s="9">
        <v>164487163</v>
      </c>
      <c r="D21" s="9">
        <v>272600830</v>
      </c>
      <c r="E21" s="9">
        <v>388427058</v>
      </c>
      <c r="F21" s="9">
        <v>346641126</v>
      </c>
      <c r="G21" s="9">
        <v>355642481</v>
      </c>
      <c r="H21" s="9">
        <v>217333385</v>
      </c>
      <c r="I21" s="9">
        <v>135178711</v>
      </c>
      <c r="J21" s="9">
        <v>61675789</v>
      </c>
      <c r="K21" s="9">
        <v>74557516</v>
      </c>
      <c r="L21" s="9">
        <v>96124879</v>
      </c>
      <c r="M21" s="9">
        <v>81368719</v>
      </c>
      <c r="N21" s="9">
        <v>72261504</v>
      </c>
      <c r="O21" s="9">
        <v>71367210</v>
      </c>
      <c r="P21" s="9">
        <v>61353573</v>
      </c>
      <c r="Q21" s="9">
        <v>58601904</v>
      </c>
      <c r="R21" s="9">
        <v>47412394</v>
      </c>
      <c r="S21" s="9">
        <v>52857022</v>
      </c>
      <c r="T21" s="9">
        <v>61470126</v>
      </c>
      <c r="U21" s="9">
        <v>95219559</v>
      </c>
      <c r="V21" s="9">
        <v>86604486</v>
      </c>
      <c r="W21" s="9">
        <v>71332770</v>
      </c>
      <c r="X21" s="9">
        <v>71239636</v>
      </c>
      <c r="Y21" s="9">
        <v>65855892</v>
      </c>
      <c r="Z21" s="9" t="s">
        <v>65</v>
      </c>
      <c r="AB21">
        <v>455611865</v>
      </c>
      <c r="AC21">
        <v>3960222988</v>
      </c>
      <c r="AD21">
        <v>1298782963</v>
      </c>
      <c r="AE21">
        <v>126023903</v>
      </c>
      <c r="AF21">
        <v>1391211153</v>
      </c>
      <c r="AG21">
        <v>421293923</v>
      </c>
      <c r="AH21">
        <v>5712991495</v>
      </c>
      <c r="AI21">
        <v>231317752</v>
      </c>
      <c r="AJ21">
        <v>61675789</v>
      </c>
      <c r="AK21">
        <v>199497932</v>
      </c>
    </row>
    <row r="22" spans="1:37" ht="14.5" x14ac:dyDescent="0.35">
      <c r="A22" s="7" t="s">
        <v>74</v>
      </c>
      <c r="B22" s="10">
        <v>248448774</v>
      </c>
      <c r="C22" s="10">
        <v>216312418</v>
      </c>
      <c r="D22" s="10">
        <v>194307946</v>
      </c>
      <c r="E22" s="10">
        <v>261164657</v>
      </c>
      <c r="F22" s="10">
        <v>347222006</v>
      </c>
      <c r="G22" s="10">
        <v>322486556</v>
      </c>
      <c r="H22" s="10">
        <v>245815190</v>
      </c>
      <c r="I22" s="10">
        <v>173149717</v>
      </c>
      <c r="J22" s="10">
        <v>199497932</v>
      </c>
      <c r="K22" s="10">
        <v>220978214</v>
      </c>
      <c r="L22" s="10">
        <v>217337525</v>
      </c>
      <c r="M22" s="10">
        <v>223209925</v>
      </c>
      <c r="N22" s="10">
        <v>224349947</v>
      </c>
      <c r="O22" s="10">
        <v>185270654</v>
      </c>
      <c r="P22" s="10">
        <v>137582872</v>
      </c>
      <c r="Q22" s="10">
        <v>161186691</v>
      </c>
      <c r="R22" s="10">
        <v>172540677</v>
      </c>
      <c r="S22" s="10">
        <v>220699585</v>
      </c>
      <c r="T22" s="10">
        <v>189767706</v>
      </c>
      <c r="U22" s="10">
        <v>264348529</v>
      </c>
      <c r="V22" s="10">
        <v>140854348</v>
      </c>
      <c r="W22" s="10">
        <v>97904749</v>
      </c>
      <c r="X22" s="10">
        <v>118553164</v>
      </c>
      <c r="Y22" s="10">
        <v>128815917</v>
      </c>
      <c r="Z22" s="10" t="s">
        <v>65</v>
      </c>
      <c r="AB22">
        <v>507824527</v>
      </c>
      <c r="AC22">
        <v>4019257508</v>
      </c>
      <c r="AD22">
        <v>1099118525</v>
      </c>
      <c r="AE22">
        <v>157309221</v>
      </c>
      <c r="AF22">
        <v>1595347364</v>
      </c>
      <c r="AG22">
        <v>799294738</v>
      </c>
      <c r="AH22">
        <v>5886655423</v>
      </c>
      <c r="AI22">
        <v>311363108</v>
      </c>
      <c r="AJ22">
        <v>74557516</v>
      </c>
      <c r="AK22">
        <v>220978214</v>
      </c>
    </row>
    <row r="23" spans="1:37" ht="11.4" customHeight="1" x14ac:dyDescent="0.35">
      <c r="AB23">
        <v>496129629</v>
      </c>
      <c r="AC23">
        <v>4019481295</v>
      </c>
      <c r="AD23">
        <v>1119033178</v>
      </c>
      <c r="AE23">
        <v>176000399</v>
      </c>
      <c r="AF23">
        <v>1423876081</v>
      </c>
      <c r="AG23">
        <v>897001405</v>
      </c>
      <c r="AH23">
        <v>6647259752</v>
      </c>
      <c r="AI23">
        <v>238886268</v>
      </c>
      <c r="AJ23">
        <v>96124879</v>
      </c>
      <c r="AK23">
        <v>217337525</v>
      </c>
    </row>
    <row r="24" spans="1:37" ht="14.5" x14ac:dyDescent="0.35">
      <c r="A24" s="1" t="s">
        <v>75</v>
      </c>
      <c r="AB24">
        <v>406351265</v>
      </c>
      <c r="AC24">
        <v>3701366625</v>
      </c>
      <c r="AD24">
        <v>1268326076</v>
      </c>
      <c r="AE24">
        <v>198883432</v>
      </c>
      <c r="AF24">
        <v>1346925809</v>
      </c>
      <c r="AG24">
        <v>892371384</v>
      </c>
      <c r="AH24">
        <v>6191417025</v>
      </c>
      <c r="AI24">
        <v>274161764</v>
      </c>
      <c r="AJ24">
        <v>81368719</v>
      </c>
      <c r="AK24">
        <v>223209925</v>
      </c>
    </row>
    <row r="25" spans="1:37" ht="14.5" x14ac:dyDescent="0.35">
      <c r="A25" s="1" t="s">
        <v>65</v>
      </c>
      <c r="B25" s="2" t="s">
        <v>76</v>
      </c>
      <c r="AB25">
        <v>388305068</v>
      </c>
      <c r="AC25">
        <v>3524735669</v>
      </c>
      <c r="AD25">
        <v>1402103187</v>
      </c>
      <c r="AE25">
        <v>269477547</v>
      </c>
      <c r="AF25">
        <v>1216477558</v>
      </c>
      <c r="AG25">
        <v>845177750</v>
      </c>
      <c r="AH25">
        <v>5508861290</v>
      </c>
      <c r="AI25">
        <v>289744631</v>
      </c>
      <c r="AJ25">
        <v>72261504</v>
      </c>
      <c r="AK25">
        <v>224349947</v>
      </c>
    </row>
    <row r="26" spans="1:37" ht="11.4" customHeight="1" x14ac:dyDescent="0.35">
      <c r="AB26">
        <v>328521807</v>
      </c>
      <c r="AC26">
        <v>3620613352</v>
      </c>
      <c r="AD26">
        <v>1676127769</v>
      </c>
      <c r="AE26">
        <v>245165806</v>
      </c>
      <c r="AF26">
        <v>1345925415</v>
      </c>
      <c r="AG26">
        <v>922334950</v>
      </c>
      <c r="AH26">
        <v>4556583541</v>
      </c>
      <c r="AI26">
        <v>240064659</v>
      </c>
      <c r="AJ26">
        <v>71367210</v>
      </c>
      <c r="AK26">
        <v>185270654</v>
      </c>
    </row>
    <row r="27" spans="1:37" ht="11.4" customHeight="1" x14ac:dyDescent="0.35">
      <c r="AB27">
        <v>349154728</v>
      </c>
      <c r="AC27">
        <v>3387105439</v>
      </c>
      <c r="AD27">
        <v>1633916589</v>
      </c>
      <c r="AE27">
        <v>268561415</v>
      </c>
      <c r="AF27">
        <v>1300977604</v>
      </c>
      <c r="AG27">
        <v>836598087</v>
      </c>
      <c r="AH27">
        <v>4694535728</v>
      </c>
      <c r="AI27">
        <v>214316916</v>
      </c>
      <c r="AJ27">
        <v>61353573</v>
      </c>
      <c r="AK27">
        <v>137582872</v>
      </c>
    </row>
    <row r="28" spans="1:37" ht="11.4" customHeight="1" x14ac:dyDescent="0.35">
      <c r="AB28">
        <v>437876217</v>
      </c>
      <c r="AC28">
        <v>3761116851</v>
      </c>
      <c r="AD28">
        <v>1453153744</v>
      </c>
      <c r="AE28">
        <v>269912372</v>
      </c>
      <c r="AF28">
        <v>1389912538</v>
      </c>
      <c r="AG28">
        <v>859193948</v>
      </c>
      <c r="AH28">
        <v>4941116577</v>
      </c>
      <c r="AI28">
        <v>215230707</v>
      </c>
      <c r="AJ28">
        <v>58601904</v>
      </c>
      <c r="AK28">
        <v>161186691</v>
      </c>
    </row>
    <row r="29" spans="1:37" ht="11.4" customHeight="1" x14ac:dyDescent="0.35">
      <c r="AB29">
        <v>370819073</v>
      </c>
      <c r="AC29">
        <v>3958747563</v>
      </c>
      <c r="AD29">
        <v>1701427297</v>
      </c>
      <c r="AE29">
        <v>276676252</v>
      </c>
      <c r="AF29">
        <v>1463555220</v>
      </c>
      <c r="AG29">
        <v>773937210</v>
      </c>
      <c r="AH29">
        <v>5386991877</v>
      </c>
      <c r="AI29">
        <v>203972228</v>
      </c>
      <c r="AJ29">
        <v>47412394</v>
      </c>
      <c r="AK29">
        <v>172540677</v>
      </c>
    </row>
    <row r="30" spans="1:37" ht="11.4" customHeight="1" x14ac:dyDescent="0.35">
      <c r="AB30">
        <v>440620320</v>
      </c>
      <c r="AC30">
        <v>4234683961</v>
      </c>
      <c r="AD30">
        <v>2403375425</v>
      </c>
      <c r="AE30">
        <v>253120797</v>
      </c>
      <c r="AF30">
        <v>1442811303</v>
      </c>
      <c r="AG30">
        <v>867583509</v>
      </c>
      <c r="AH30">
        <v>5671282618</v>
      </c>
      <c r="AI30">
        <v>217564410</v>
      </c>
      <c r="AJ30">
        <v>52857022</v>
      </c>
      <c r="AK30">
        <v>220699585</v>
      </c>
    </row>
    <row r="31" spans="1:37" ht="11.4" customHeight="1" x14ac:dyDescent="0.35">
      <c r="AB31">
        <v>477480580</v>
      </c>
      <c r="AC31">
        <v>5113374597</v>
      </c>
      <c r="AD31">
        <v>2874352623</v>
      </c>
      <c r="AE31">
        <v>287218505</v>
      </c>
      <c r="AF31">
        <v>1481936096</v>
      </c>
      <c r="AG31">
        <v>859246218</v>
      </c>
      <c r="AH31">
        <v>9364094948</v>
      </c>
      <c r="AI31">
        <v>216163729</v>
      </c>
      <c r="AJ31">
        <v>61470126</v>
      </c>
      <c r="AK31">
        <v>189767706</v>
      </c>
    </row>
    <row r="32" spans="1:37" ht="11.4" customHeight="1" x14ac:dyDescent="0.35">
      <c r="AB32">
        <v>409184381</v>
      </c>
      <c r="AC32">
        <v>5472198757</v>
      </c>
      <c r="AD32">
        <v>1612578116</v>
      </c>
      <c r="AE32">
        <v>274078914</v>
      </c>
      <c r="AF32">
        <v>1464199570</v>
      </c>
      <c r="AG32">
        <v>942672980</v>
      </c>
      <c r="AH32">
        <v>8740654689</v>
      </c>
      <c r="AI32">
        <v>247339902</v>
      </c>
      <c r="AJ32">
        <v>95219559</v>
      </c>
      <c r="AK32">
        <v>264348529</v>
      </c>
    </row>
    <row r="33" spans="28:37" ht="11.4" customHeight="1" x14ac:dyDescent="0.35">
      <c r="AB33">
        <v>525405306</v>
      </c>
      <c r="AC33">
        <v>6274148709</v>
      </c>
      <c r="AD33">
        <v>1973884001</v>
      </c>
      <c r="AE33">
        <v>321986337</v>
      </c>
      <c r="AF33">
        <v>1534243823</v>
      </c>
      <c r="AG33">
        <v>1106885803</v>
      </c>
      <c r="AH33">
        <v>10450470941</v>
      </c>
      <c r="AI33">
        <v>296863549</v>
      </c>
      <c r="AJ33">
        <v>86604486</v>
      </c>
      <c r="AK33">
        <v>140854348</v>
      </c>
    </row>
    <row r="34" spans="28:37" ht="11.4" customHeight="1" x14ac:dyDescent="0.35">
      <c r="AB34">
        <v>591062794</v>
      </c>
      <c r="AC34">
        <v>5743468675</v>
      </c>
      <c r="AD34">
        <v>1654977374</v>
      </c>
      <c r="AE34">
        <v>333724732</v>
      </c>
      <c r="AF34">
        <v>1614936575</v>
      </c>
      <c r="AG34">
        <v>993796786</v>
      </c>
      <c r="AH34">
        <v>14393577962</v>
      </c>
      <c r="AI34">
        <v>316532214</v>
      </c>
      <c r="AJ34">
        <v>71332770</v>
      </c>
      <c r="AK34">
        <v>97904749</v>
      </c>
    </row>
    <row r="35" spans="28:37" ht="11.4" customHeight="1" x14ac:dyDescent="0.35">
      <c r="AB35">
        <v>684278714</v>
      </c>
      <c r="AC35">
        <v>5776140428</v>
      </c>
      <c r="AD35">
        <v>2293358295</v>
      </c>
      <c r="AE35">
        <v>358199186</v>
      </c>
      <c r="AF35">
        <v>1567113333</v>
      </c>
      <c r="AG35">
        <v>1044478875</v>
      </c>
      <c r="AH35">
        <v>11501395050</v>
      </c>
      <c r="AI35">
        <v>329798011</v>
      </c>
      <c r="AJ35">
        <v>71239636</v>
      </c>
      <c r="AK35">
        <v>118553164</v>
      </c>
    </row>
    <row r="36" spans="28:37" ht="11.4" customHeight="1" x14ac:dyDescent="0.35">
      <c r="AB36">
        <v>770664789</v>
      </c>
      <c r="AC36">
        <v>6518847619</v>
      </c>
      <c r="AD36">
        <v>3798157638</v>
      </c>
      <c r="AE36">
        <v>350729133</v>
      </c>
      <c r="AF36">
        <v>1734525122</v>
      </c>
      <c r="AG36">
        <v>1093655260</v>
      </c>
      <c r="AH36">
        <v>14356512036</v>
      </c>
      <c r="AI36">
        <v>348913577</v>
      </c>
      <c r="AJ36">
        <v>65855892</v>
      </c>
      <c r="AK36">
        <v>128815917</v>
      </c>
    </row>
  </sheetData>
  <pageMargins left="0.7" right="0.7" top="0.75" bottom="0.75" header="0.3" footer="0.3"/>
  <headerFooter>
    <oddHeader>&amp;L&amp;"Aptos"&amp;10&amp;K7FAA39 | DNB PUBLIC |&amp;1#_x000D_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K36"/>
  <sheetViews>
    <sheetView workbookViewId="0">
      <pane xSplit="1" ySplit="12" topLeftCell="B13" activePane="bottomRight" state="frozen"/>
      <selection pane="topRight"/>
      <selection pane="bottomLeft"/>
      <selection pane="bottomRight" activeCell="B13" sqref="B13"/>
    </sheetView>
  </sheetViews>
  <sheetFormatPr defaultRowHeight="11.4" customHeight="1" x14ac:dyDescent="0.35"/>
  <cols>
    <col min="1" max="1" width="29.90625" customWidth="1"/>
    <col min="2" max="26" width="10" customWidth="1"/>
  </cols>
  <sheetData>
    <row r="1" spans="1:37" ht="14.5" x14ac:dyDescent="0.35">
      <c r="A1" s="2" t="s">
        <v>31</v>
      </c>
    </row>
    <row r="2" spans="1:37" ht="14.5" x14ac:dyDescent="0.35">
      <c r="A2" s="2" t="s">
        <v>32</v>
      </c>
      <c r="B2" s="1" t="s">
        <v>0</v>
      </c>
    </row>
    <row r="3" spans="1:37" ht="14.5" x14ac:dyDescent="0.35">
      <c r="A3" s="2" t="s">
        <v>33</v>
      </c>
      <c r="B3" s="2" t="s">
        <v>6</v>
      </c>
    </row>
    <row r="4" spans="1:37" ht="14.5" x14ac:dyDescent="0.35"/>
    <row r="5" spans="1:37" ht="14.5" x14ac:dyDescent="0.35">
      <c r="A5" s="1" t="s">
        <v>11</v>
      </c>
      <c r="C5" s="2" t="s">
        <v>16</v>
      </c>
    </row>
    <row r="6" spans="1:37" ht="14.5" x14ac:dyDescent="0.35">
      <c r="A6" s="1" t="s">
        <v>12</v>
      </c>
      <c r="C6" s="2" t="s">
        <v>25</v>
      </c>
    </row>
    <row r="7" spans="1:37" ht="14.5" x14ac:dyDescent="0.35">
      <c r="A7" s="1" t="s">
        <v>13</v>
      </c>
      <c r="C7" s="2" t="s">
        <v>18</v>
      </c>
    </row>
    <row r="8" spans="1:37" ht="14.5" x14ac:dyDescent="0.35">
      <c r="A8" s="1" t="s">
        <v>14</v>
      </c>
      <c r="C8" s="2" t="s">
        <v>19</v>
      </c>
    </row>
    <row r="9" spans="1:37" ht="14.5" x14ac:dyDescent="0.35"/>
    <row r="10" spans="1:37" ht="14.5" x14ac:dyDescent="0.35">
      <c r="A10" s="5" t="s">
        <v>34</v>
      </c>
      <c r="B10" s="4" t="s">
        <v>35</v>
      </c>
      <c r="C10" s="4" t="s">
        <v>36</v>
      </c>
      <c r="D10" s="4" t="s">
        <v>37</v>
      </c>
      <c r="E10" s="4" t="s">
        <v>38</v>
      </c>
      <c r="F10" s="4" t="s">
        <v>39</v>
      </c>
      <c r="G10" s="4" t="s">
        <v>40</v>
      </c>
      <c r="H10" s="4" t="s">
        <v>41</v>
      </c>
      <c r="I10" s="4" t="s">
        <v>42</v>
      </c>
      <c r="J10" s="4" t="s">
        <v>43</v>
      </c>
      <c r="K10" s="4" t="s">
        <v>44</v>
      </c>
      <c r="L10" s="4" t="s">
        <v>45</v>
      </c>
      <c r="M10" s="4" t="s">
        <v>46</v>
      </c>
      <c r="N10" s="4" t="s">
        <v>47</v>
      </c>
      <c r="O10" s="4" t="s">
        <v>48</v>
      </c>
      <c r="P10" s="4" t="s">
        <v>49</v>
      </c>
      <c r="Q10" s="4" t="s">
        <v>50</v>
      </c>
      <c r="R10" s="4" t="s">
        <v>51</v>
      </c>
      <c r="S10" s="4" t="s">
        <v>52</v>
      </c>
      <c r="T10" s="4" t="s">
        <v>53</v>
      </c>
      <c r="U10" s="4" t="s">
        <v>54</v>
      </c>
      <c r="V10" s="4" t="s">
        <v>55</v>
      </c>
      <c r="W10" s="4" t="s">
        <v>56</v>
      </c>
      <c r="X10" s="4" t="s">
        <v>57</v>
      </c>
      <c r="Y10" s="4" t="s">
        <v>58</v>
      </c>
      <c r="Z10" s="4" t="s">
        <v>59</v>
      </c>
    </row>
    <row r="11" spans="1:37" ht="14.5" x14ac:dyDescent="0.35">
      <c r="A11" s="5" t="s">
        <v>60</v>
      </c>
      <c r="B11" s="3" t="s">
        <v>61</v>
      </c>
      <c r="C11" s="3" t="s">
        <v>61</v>
      </c>
      <c r="D11" s="3" t="s">
        <v>61</v>
      </c>
      <c r="E11" s="3" t="s">
        <v>61</v>
      </c>
      <c r="F11" s="3" t="s">
        <v>61</v>
      </c>
      <c r="G11" s="3" t="s">
        <v>61</v>
      </c>
      <c r="H11" s="3" t="s">
        <v>61</v>
      </c>
      <c r="I11" s="3" t="s">
        <v>61</v>
      </c>
      <c r="J11" s="3" t="s">
        <v>61</v>
      </c>
      <c r="K11" s="3" t="s">
        <v>61</v>
      </c>
      <c r="L11" s="3" t="s">
        <v>61</v>
      </c>
      <c r="M11" s="3" t="s">
        <v>61</v>
      </c>
      <c r="N11" s="3" t="s">
        <v>61</v>
      </c>
      <c r="O11" s="3" t="s">
        <v>61</v>
      </c>
      <c r="P11" s="3" t="s">
        <v>61</v>
      </c>
      <c r="Q11" s="3" t="s">
        <v>61</v>
      </c>
      <c r="R11" s="3" t="s">
        <v>61</v>
      </c>
      <c r="S11" s="3" t="s">
        <v>61</v>
      </c>
      <c r="T11" s="3" t="s">
        <v>61</v>
      </c>
      <c r="U11" s="3" t="s">
        <v>61</v>
      </c>
      <c r="V11" s="3" t="s">
        <v>61</v>
      </c>
      <c r="W11" s="3" t="s">
        <v>61</v>
      </c>
      <c r="X11" s="3" t="s">
        <v>61</v>
      </c>
      <c r="Y11" s="3" t="s">
        <v>61</v>
      </c>
      <c r="Z11" s="3" t="s">
        <v>61</v>
      </c>
    </row>
    <row r="12" spans="1:37" ht="14.5" x14ac:dyDescent="0.35">
      <c r="A12" s="6" t="s">
        <v>62</v>
      </c>
      <c r="B12" s="8" t="s">
        <v>63</v>
      </c>
      <c r="C12" s="8" t="s">
        <v>63</v>
      </c>
      <c r="D12" s="8" t="s">
        <v>63</v>
      </c>
      <c r="E12" s="8" t="s">
        <v>63</v>
      </c>
      <c r="F12" s="8" t="s">
        <v>63</v>
      </c>
      <c r="G12" s="8" t="s">
        <v>63</v>
      </c>
      <c r="H12" s="8" t="s">
        <v>63</v>
      </c>
      <c r="I12" s="8" t="s">
        <v>63</v>
      </c>
      <c r="J12" s="8" t="s">
        <v>63</v>
      </c>
      <c r="K12" s="8" t="s">
        <v>63</v>
      </c>
      <c r="L12" s="8" t="s">
        <v>63</v>
      </c>
      <c r="M12" s="8" t="s">
        <v>63</v>
      </c>
      <c r="N12" s="8" t="s">
        <v>63</v>
      </c>
      <c r="O12" s="8" t="s">
        <v>63</v>
      </c>
      <c r="P12" s="8" t="s">
        <v>63</v>
      </c>
      <c r="Q12" s="8" t="s">
        <v>63</v>
      </c>
      <c r="R12" s="8" t="s">
        <v>63</v>
      </c>
      <c r="S12" s="8" t="s">
        <v>63</v>
      </c>
      <c r="T12" s="8" t="s">
        <v>63</v>
      </c>
      <c r="U12" s="8" t="s">
        <v>63</v>
      </c>
      <c r="V12" s="8" t="s">
        <v>63</v>
      </c>
      <c r="W12" s="8" t="s">
        <v>63</v>
      </c>
      <c r="X12" s="8" t="s">
        <v>63</v>
      </c>
      <c r="Y12" s="8" t="s">
        <v>63</v>
      </c>
      <c r="Z12" s="8" t="s">
        <v>63</v>
      </c>
      <c r="AB12" t="s">
        <v>83</v>
      </c>
      <c r="AC12" t="s">
        <v>84</v>
      </c>
      <c r="AD12" t="s">
        <v>88</v>
      </c>
      <c r="AE12" t="s">
        <v>85</v>
      </c>
      <c r="AF12" t="s">
        <v>87</v>
      </c>
      <c r="AG12" t="s">
        <v>89</v>
      </c>
      <c r="AH12" t="s">
        <v>90</v>
      </c>
      <c r="AI12" t="s">
        <v>82</v>
      </c>
      <c r="AJ12" t="s">
        <v>91</v>
      </c>
      <c r="AK12" t="s">
        <v>86</v>
      </c>
    </row>
    <row r="13" spans="1:37" ht="14.5" x14ac:dyDescent="0.35">
      <c r="A13" s="7" t="s">
        <v>64</v>
      </c>
      <c r="B13" s="9">
        <v>279337120</v>
      </c>
      <c r="C13" s="9">
        <v>286632031</v>
      </c>
      <c r="D13" s="9">
        <v>326849350</v>
      </c>
      <c r="E13" s="9">
        <v>321106964</v>
      </c>
      <c r="F13" s="9">
        <v>249723799</v>
      </c>
      <c r="G13" s="9">
        <v>397398995</v>
      </c>
      <c r="H13" s="9">
        <v>495669690</v>
      </c>
      <c r="I13" s="9">
        <v>426899626</v>
      </c>
      <c r="J13" s="9">
        <v>503257873</v>
      </c>
      <c r="K13" s="9">
        <v>622093564</v>
      </c>
      <c r="L13" s="9">
        <v>647834533</v>
      </c>
      <c r="M13" s="9">
        <v>633500522</v>
      </c>
      <c r="N13" s="9">
        <v>639279299</v>
      </c>
      <c r="O13" s="9">
        <v>605085559</v>
      </c>
      <c r="P13" s="9">
        <v>647556635</v>
      </c>
      <c r="Q13" s="9">
        <v>713681434</v>
      </c>
      <c r="R13" s="9">
        <v>684976986</v>
      </c>
      <c r="S13" s="9">
        <v>812376637</v>
      </c>
      <c r="T13" s="9">
        <v>980282403</v>
      </c>
      <c r="U13" s="9">
        <v>1193247935</v>
      </c>
      <c r="V13" s="9">
        <v>950537006</v>
      </c>
      <c r="W13" s="9">
        <v>972474086</v>
      </c>
      <c r="X13" s="9">
        <v>961317895</v>
      </c>
      <c r="Y13" s="9">
        <v>1019969429</v>
      </c>
      <c r="Z13" s="9" t="s">
        <v>65</v>
      </c>
      <c r="AB13" s="9">
        <v>279337120</v>
      </c>
      <c r="AC13" s="10">
        <v>4996978185</v>
      </c>
      <c r="AD13" s="9">
        <v>83403669</v>
      </c>
      <c r="AE13" s="10">
        <v>224757877</v>
      </c>
      <c r="AF13" s="9">
        <v>909825939</v>
      </c>
      <c r="AG13" s="10">
        <v>2173929151</v>
      </c>
      <c r="AH13" s="9">
        <v>624433898</v>
      </c>
      <c r="AI13" s="10">
        <v>452688130</v>
      </c>
      <c r="AJ13" s="9">
        <v>35854610</v>
      </c>
      <c r="AK13" s="10">
        <v>274068709</v>
      </c>
    </row>
    <row r="14" spans="1:37" ht="14.5" x14ac:dyDescent="0.35">
      <c r="A14" s="7" t="s">
        <v>66</v>
      </c>
      <c r="B14" s="10">
        <v>4996978185</v>
      </c>
      <c r="C14" s="10">
        <v>4504141275</v>
      </c>
      <c r="D14" s="10">
        <v>5074973237</v>
      </c>
      <c r="E14" s="10">
        <v>4984935154</v>
      </c>
      <c r="F14" s="10">
        <v>5502630686</v>
      </c>
      <c r="G14" s="10">
        <v>7647431311</v>
      </c>
      <c r="H14" s="10">
        <v>8512996176</v>
      </c>
      <c r="I14" s="10">
        <v>7156750353</v>
      </c>
      <c r="J14" s="10">
        <v>9346108841</v>
      </c>
      <c r="K14" s="10">
        <v>10869761856</v>
      </c>
      <c r="L14" s="10">
        <v>9742076382</v>
      </c>
      <c r="M14" s="10">
        <v>9235927694</v>
      </c>
      <c r="N14" s="10">
        <v>9229181498</v>
      </c>
      <c r="O14" s="10">
        <v>9477378838</v>
      </c>
      <c r="P14" s="10">
        <v>9614248928</v>
      </c>
      <c r="Q14" s="10">
        <v>11281611493</v>
      </c>
      <c r="R14" s="10">
        <v>11545997503</v>
      </c>
      <c r="S14" s="10">
        <v>12010302456</v>
      </c>
      <c r="T14" s="10">
        <v>11353473780</v>
      </c>
      <c r="U14" s="10">
        <v>12321553156</v>
      </c>
      <c r="V14" s="10">
        <v>13215888160</v>
      </c>
      <c r="W14" s="10">
        <v>14346667013</v>
      </c>
      <c r="X14" s="10">
        <v>15009943579</v>
      </c>
      <c r="Y14" s="10">
        <v>14446490462</v>
      </c>
      <c r="Z14" s="10" t="s">
        <v>65</v>
      </c>
      <c r="AB14" s="9">
        <v>286632031</v>
      </c>
      <c r="AC14" s="10">
        <v>4504141275</v>
      </c>
      <c r="AD14" s="9">
        <v>52995610</v>
      </c>
      <c r="AE14" s="10">
        <v>205408933</v>
      </c>
      <c r="AF14" s="9">
        <v>742151709</v>
      </c>
      <c r="AG14" s="10">
        <v>2030206618</v>
      </c>
      <c r="AH14" s="9">
        <v>564062306</v>
      </c>
      <c r="AI14" s="10">
        <v>445117617</v>
      </c>
      <c r="AJ14" s="9">
        <v>35611943</v>
      </c>
      <c r="AK14" s="10">
        <v>218588804</v>
      </c>
    </row>
    <row r="15" spans="1:37" ht="14.5" x14ac:dyDescent="0.35">
      <c r="A15" s="7" t="s">
        <v>67</v>
      </c>
      <c r="B15" s="9">
        <v>83403669</v>
      </c>
      <c r="C15" s="9">
        <v>52995610</v>
      </c>
      <c r="D15" s="9">
        <v>51355155</v>
      </c>
      <c r="E15" s="9">
        <v>43956487</v>
      </c>
      <c r="F15" s="9">
        <v>66029665</v>
      </c>
      <c r="G15" s="9">
        <v>71316778</v>
      </c>
      <c r="H15" s="9">
        <v>56388827</v>
      </c>
      <c r="I15" s="9">
        <v>47701025</v>
      </c>
      <c r="J15" s="9">
        <v>40843091</v>
      </c>
      <c r="K15" s="9">
        <v>49496252</v>
      </c>
      <c r="L15" s="9">
        <v>32406702</v>
      </c>
      <c r="M15" s="9">
        <v>43506037</v>
      </c>
      <c r="N15" s="9">
        <v>80123591</v>
      </c>
      <c r="O15" s="9">
        <v>81907626</v>
      </c>
      <c r="P15" s="9">
        <v>60429199</v>
      </c>
      <c r="Q15" s="9">
        <v>69400936</v>
      </c>
      <c r="R15" s="9">
        <v>93290230</v>
      </c>
      <c r="S15" s="9">
        <v>112961466</v>
      </c>
      <c r="T15" s="9">
        <v>135395786</v>
      </c>
      <c r="U15" s="9">
        <v>163654686</v>
      </c>
      <c r="V15" s="9">
        <v>170470654</v>
      </c>
      <c r="W15" s="9">
        <v>152270101</v>
      </c>
      <c r="X15" s="9">
        <v>221285517</v>
      </c>
      <c r="Y15" s="9">
        <v>232541810</v>
      </c>
      <c r="Z15" s="9" t="s">
        <v>65</v>
      </c>
      <c r="AB15" s="9">
        <v>326849350</v>
      </c>
      <c r="AC15" s="10">
        <v>5074973237</v>
      </c>
      <c r="AD15" s="9">
        <v>51355155</v>
      </c>
      <c r="AE15" s="10">
        <v>218668685</v>
      </c>
      <c r="AF15" s="9">
        <v>806954483</v>
      </c>
      <c r="AG15" s="10">
        <v>2161567023</v>
      </c>
      <c r="AH15" s="9">
        <v>673717659</v>
      </c>
      <c r="AI15" s="10">
        <v>524165921</v>
      </c>
      <c r="AJ15" s="9">
        <v>32721576</v>
      </c>
      <c r="AK15" s="10">
        <v>223344061</v>
      </c>
    </row>
    <row r="16" spans="1:37" ht="14.5" x14ac:dyDescent="0.35">
      <c r="A16" s="7" t="s">
        <v>68</v>
      </c>
      <c r="B16" s="10">
        <v>224757877</v>
      </c>
      <c r="C16" s="10">
        <v>205408933</v>
      </c>
      <c r="D16" s="10">
        <v>218668685</v>
      </c>
      <c r="E16" s="10">
        <v>217205669</v>
      </c>
      <c r="F16" s="10">
        <v>229922603</v>
      </c>
      <c r="G16" s="10">
        <v>513170877</v>
      </c>
      <c r="H16" s="10">
        <v>431297961</v>
      </c>
      <c r="I16" s="10">
        <v>375311915</v>
      </c>
      <c r="J16" s="10">
        <v>418072735</v>
      </c>
      <c r="K16" s="10">
        <v>476149354</v>
      </c>
      <c r="L16" s="10">
        <v>561312521</v>
      </c>
      <c r="M16" s="10">
        <v>619682404</v>
      </c>
      <c r="N16" s="10">
        <v>628201715</v>
      </c>
      <c r="O16" s="10">
        <v>627792649</v>
      </c>
      <c r="P16" s="10">
        <v>656657070</v>
      </c>
      <c r="Q16" s="10">
        <v>724719945</v>
      </c>
      <c r="R16" s="10">
        <v>708150031</v>
      </c>
      <c r="S16" s="10">
        <v>699022140</v>
      </c>
      <c r="T16" s="10">
        <v>520580525</v>
      </c>
      <c r="U16" s="10">
        <v>577429083</v>
      </c>
      <c r="V16" s="10">
        <v>664978825</v>
      </c>
      <c r="W16" s="10">
        <v>701692797</v>
      </c>
      <c r="X16" s="10">
        <v>814934668</v>
      </c>
      <c r="Y16" s="10">
        <v>709123168</v>
      </c>
      <c r="Z16" s="10" t="s">
        <v>65</v>
      </c>
      <c r="AB16" s="9">
        <v>321106964</v>
      </c>
      <c r="AC16" s="10">
        <v>4984935154</v>
      </c>
      <c r="AD16" s="9">
        <v>43956487</v>
      </c>
      <c r="AE16" s="10">
        <v>217205669</v>
      </c>
      <c r="AF16" s="9">
        <v>862017235</v>
      </c>
      <c r="AG16" s="10">
        <v>2338629226</v>
      </c>
      <c r="AH16" s="9">
        <v>655897468</v>
      </c>
      <c r="AI16" s="10">
        <v>488132036</v>
      </c>
      <c r="AJ16" s="9">
        <v>38305676</v>
      </c>
      <c r="AK16" s="10">
        <v>236121244</v>
      </c>
    </row>
    <row r="17" spans="1:37" ht="14.5" x14ac:dyDescent="0.35">
      <c r="A17" s="7" t="s">
        <v>69</v>
      </c>
      <c r="B17" s="9">
        <v>909825939</v>
      </c>
      <c r="C17" s="9">
        <v>742151709</v>
      </c>
      <c r="D17" s="9">
        <v>806954483</v>
      </c>
      <c r="E17" s="9">
        <v>862017235</v>
      </c>
      <c r="F17" s="9">
        <v>628405409</v>
      </c>
      <c r="G17" s="9">
        <v>842192017</v>
      </c>
      <c r="H17" s="9">
        <v>935060877</v>
      </c>
      <c r="I17" s="9">
        <v>756178600</v>
      </c>
      <c r="J17" s="9">
        <v>810116479</v>
      </c>
      <c r="K17" s="9">
        <v>937799071</v>
      </c>
      <c r="L17" s="9">
        <v>1058052833</v>
      </c>
      <c r="M17" s="9">
        <v>1024228243</v>
      </c>
      <c r="N17" s="9">
        <v>931082716</v>
      </c>
      <c r="O17" s="9">
        <v>1029077985</v>
      </c>
      <c r="P17" s="9">
        <v>1059034919</v>
      </c>
      <c r="Q17" s="9">
        <v>1186195766</v>
      </c>
      <c r="R17" s="9">
        <v>1145424206</v>
      </c>
      <c r="S17" s="9">
        <v>1157281228</v>
      </c>
      <c r="T17" s="9">
        <v>1054503277</v>
      </c>
      <c r="U17" s="9">
        <v>1109287072</v>
      </c>
      <c r="V17" s="9">
        <v>1264307798</v>
      </c>
      <c r="W17" s="9">
        <v>1277263793</v>
      </c>
      <c r="X17" s="9">
        <v>1442613479</v>
      </c>
      <c r="Y17" s="9">
        <v>1478960140</v>
      </c>
      <c r="Z17" s="9" t="s">
        <v>65</v>
      </c>
      <c r="AB17" s="9">
        <v>249723799</v>
      </c>
      <c r="AC17" s="10">
        <v>5502630686</v>
      </c>
      <c r="AD17" s="9">
        <v>66029665</v>
      </c>
      <c r="AE17" s="10">
        <v>229922603</v>
      </c>
      <c r="AF17" s="9">
        <v>628405409</v>
      </c>
      <c r="AG17" s="10">
        <v>1426400127</v>
      </c>
      <c r="AH17" s="9">
        <v>488022380</v>
      </c>
      <c r="AI17" s="10">
        <v>539788704</v>
      </c>
      <c r="AJ17" s="9">
        <v>36540709</v>
      </c>
      <c r="AK17" s="10">
        <v>220082422</v>
      </c>
    </row>
    <row r="18" spans="1:37" ht="14.5" x14ac:dyDescent="0.35">
      <c r="A18" s="7" t="s">
        <v>70</v>
      </c>
      <c r="B18" s="10">
        <v>2173929151</v>
      </c>
      <c r="C18" s="10">
        <v>2030206618</v>
      </c>
      <c r="D18" s="10">
        <v>2161567023</v>
      </c>
      <c r="E18" s="10">
        <v>2338629226</v>
      </c>
      <c r="F18" s="10">
        <v>1426400127</v>
      </c>
      <c r="G18" s="10">
        <v>3943301791</v>
      </c>
      <c r="H18" s="10">
        <v>4167903151</v>
      </c>
      <c r="I18" s="10">
        <v>3192117685</v>
      </c>
      <c r="J18" s="10">
        <v>3841982534</v>
      </c>
      <c r="K18" s="10">
        <v>4574182580</v>
      </c>
      <c r="L18" s="10">
        <v>3840868969</v>
      </c>
      <c r="M18" s="10">
        <v>3781082559</v>
      </c>
      <c r="N18" s="10">
        <v>4020968509</v>
      </c>
      <c r="O18" s="10">
        <v>3977685154</v>
      </c>
      <c r="P18" s="10">
        <v>3903713224</v>
      </c>
      <c r="Q18" s="10">
        <v>3991964299</v>
      </c>
      <c r="R18" s="10">
        <v>4121858894</v>
      </c>
      <c r="S18" s="10">
        <v>4103053202</v>
      </c>
      <c r="T18" s="10">
        <v>3704031648</v>
      </c>
      <c r="U18" s="10">
        <v>3986015422</v>
      </c>
      <c r="V18" s="10">
        <v>4555465663</v>
      </c>
      <c r="W18" s="10">
        <v>4751203906</v>
      </c>
      <c r="X18" s="10">
        <v>4649116569</v>
      </c>
      <c r="Y18" s="10">
        <v>4575571443</v>
      </c>
      <c r="Z18" s="10" t="s">
        <v>65</v>
      </c>
      <c r="AB18" s="9">
        <v>397398995</v>
      </c>
      <c r="AC18" s="10">
        <v>7647431311</v>
      </c>
      <c r="AD18" s="9">
        <v>71316778</v>
      </c>
      <c r="AE18" s="10">
        <v>513170877</v>
      </c>
      <c r="AF18" s="9">
        <v>842192017</v>
      </c>
      <c r="AG18" s="10">
        <v>3943301791</v>
      </c>
      <c r="AH18" s="9">
        <v>4504308187</v>
      </c>
      <c r="AI18" s="10">
        <v>734584485</v>
      </c>
      <c r="AJ18" s="9">
        <v>75951007</v>
      </c>
      <c r="AK18" s="10">
        <v>525577549</v>
      </c>
    </row>
    <row r="19" spans="1:37" ht="14.5" x14ac:dyDescent="0.35">
      <c r="A19" s="7" t="s">
        <v>71</v>
      </c>
      <c r="B19" s="9">
        <v>624433898</v>
      </c>
      <c r="C19" s="9">
        <v>564062306</v>
      </c>
      <c r="D19" s="9">
        <v>673717659</v>
      </c>
      <c r="E19" s="9">
        <v>655897468</v>
      </c>
      <c r="F19" s="9">
        <v>488022380</v>
      </c>
      <c r="G19" s="9">
        <v>4504308187</v>
      </c>
      <c r="H19" s="9">
        <v>3800938242</v>
      </c>
      <c r="I19" s="9">
        <v>2351927206</v>
      </c>
      <c r="J19" s="9">
        <v>5620652688</v>
      </c>
      <c r="K19" s="9">
        <v>7233304972</v>
      </c>
      <c r="L19" s="9">
        <v>5406747802</v>
      </c>
      <c r="M19" s="9">
        <v>5818406545</v>
      </c>
      <c r="N19" s="9">
        <v>6767908969</v>
      </c>
      <c r="O19" s="9">
        <v>6745010436</v>
      </c>
      <c r="P19" s="9">
        <v>6447350267</v>
      </c>
      <c r="Q19" s="9">
        <v>9362685613</v>
      </c>
      <c r="R19" s="9">
        <v>12406532970</v>
      </c>
      <c r="S19" s="9">
        <v>13244545674</v>
      </c>
      <c r="T19" s="9">
        <v>14157336327</v>
      </c>
      <c r="U19" s="9">
        <v>17954236146</v>
      </c>
      <c r="V19" s="9">
        <v>20845410182</v>
      </c>
      <c r="W19" s="9">
        <v>22124570153</v>
      </c>
      <c r="X19" s="9">
        <v>24468521225</v>
      </c>
      <c r="Y19" s="9">
        <v>26897802880</v>
      </c>
      <c r="Z19" s="9" t="s">
        <v>65</v>
      </c>
      <c r="AB19" s="9">
        <v>495669690</v>
      </c>
      <c r="AC19" s="10">
        <v>8512996176</v>
      </c>
      <c r="AD19" s="9">
        <v>56388827</v>
      </c>
      <c r="AE19" s="10">
        <v>431297961</v>
      </c>
      <c r="AF19" s="9">
        <v>935060877</v>
      </c>
      <c r="AG19" s="10">
        <v>4167903151</v>
      </c>
      <c r="AH19" s="9">
        <v>3800938242</v>
      </c>
      <c r="AI19" s="10">
        <v>760504255</v>
      </c>
      <c r="AJ19" s="9">
        <v>75748805</v>
      </c>
      <c r="AK19" s="10">
        <v>756810427</v>
      </c>
    </row>
    <row r="20" spans="1:37" ht="14.5" x14ac:dyDescent="0.35">
      <c r="A20" s="7" t="s">
        <v>72</v>
      </c>
      <c r="B20" s="10">
        <v>452688130</v>
      </c>
      <c r="C20" s="10">
        <v>445117617</v>
      </c>
      <c r="D20" s="10">
        <v>524165921</v>
      </c>
      <c r="E20" s="10">
        <v>488132036</v>
      </c>
      <c r="F20" s="10">
        <v>539788704</v>
      </c>
      <c r="G20" s="10">
        <v>734584485</v>
      </c>
      <c r="H20" s="10">
        <v>760504255</v>
      </c>
      <c r="I20" s="10">
        <v>636807159</v>
      </c>
      <c r="J20" s="10">
        <v>773897730</v>
      </c>
      <c r="K20" s="10">
        <v>855516038</v>
      </c>
      <c r="L20" s="10">
        <v>942752232</v>
      </c>
      <c r="M20" s="10">
        <v>792283150</v>
      </c>
      <c r="N20" s="10">
        <v>853385748</v>
      </c>
      <c r="O20" s="10">
        <v>973805054</v>
      </c>
      <c r="P20" s="10">
        <v>904362717</v>
      </c>
      <c r="Q20" s="10">
        <v>1008117659</v>
      </c>
      <c r="R20" s="10">
        <v>1251425148</v>
      </c>
      <c r="S20" s="10">
        <v>1252911616</v>
      </c>
      <c r="T20" s="10">
        <v>1411110474</v>
      </c>
      <c r="U20" s="10">
        <v>1682639787</v>
      </c>
      <c r="V20" s="10">
        <v>2099980876</v>
      </c>
      <c r="W20" s="10">
        <v>2482193898</v>
      </c>
      <c r="X20" s="10">
        <v>2541554879</v>
      </c>
      <c r="Y20" s="10">
        <v>2748662361</v>
      </c>
      <c r="Z20" s="10" t="s">
        <v>65</v>
      </c>
      <c r="AB20" s="9">
        <v>426899626</v>
      </c>
      <c r="AC20" s="10">
        <v>7156750353</v>
      </c>
      <c r="AD20" s="9">
        <v>47701025</v>
      </c>
      <c r="AE20" s="10">
        <v>375311915</v>
      </c>
      <c r="AF20" s="9">
        <v>756178600</v>
      </c>
      <c r="AG20" s="10">
        <v>3192117685</v>
      </c>
      <c r="AH20" s="9">
        <v>2351927206</v>
      </c>
      <c r="AI20" s="10">
        <v>636807159</v>
      </c>
      <c r="AJ20" s="9">
        <v>67671010</v>
      </c>
      <c r="AK20" s="10">
        <v>617860531</v>
      </c>
    </row>
    <row r="21" spans="1:37" ht="14.5" x14ac:dyDescent="0.35">
      <c r="A21" s="7" t="s">
        <v>73</v>
      </c>
      <c r="B21" s="9">
        <v>35854610</v>
      </c>
      <c r="C21" s="9">
        <v>35611943</v>
      </c>
      <c r="D21" s="9">
        <v>32721576</v>
      </c>
      <c r="E21" s="9">
        <v>38305676</v>
      </c>
      <c r="F21" s="9">
        <v>36540709</v>
      </c>
      <c r="G21" s="9">
        <v>75951007</v>
      </c>
      <c r="H21" s="9">
        <v>75748805</v>
      </c>
      <c r="I21" s="9">
        <v>67671010</v>
      </c>
      <c r="J21" s="9">
        <v>62973098</v>
      </c>
      <c r="K21" s="9">
        <v>81266113</v>
      </c>
      <c r="L21" s="9">
        <v>91033194</v>
      </c>
      <c r="M21" s="9">
        <v>86856324</v>
      </c>
      <c r="N21" s="9">
        <v>87683249</v>
      </c>
      <c r="O21" s="9">
        <v>84761485</v>
      </c>
      <c r="P21" s="9">
        <v>75349568</v>
      </c>
      <c r="Q21" s="9">
        <v>66869616</v>
      </c>
      <c r="R21" s="9">
        <v>82632638</v>
      </c>
      <c r="S21" s="9">
        <v>63288607</v>
      </c>
      <c r="T21" s="9">
        <v>66185976</v>
      </c>
      <c r="U21" s="9">
        <v>66282555</v>
      </c>
      <c r="V21" s="9">
        <v>89565799</v>
      </c>
      <c r="W21" s="9">
        <v>95292576</v>
      </c>
      <c r="X21" s="9">
        <v>96384612</v>
      </c>
      <c r="Y21" s="9">
        <v>81760398</v>
      </c>
      <c r="Z21" s="9" t="s">
        <v>65</v>
      </c>
      <c r="AB21" s="9">
        <v>503257873</v>
      </c>
      <c r="AC21" s="10">
        <v>9346108841</v>
      </c>
      <c r="AD21" s="9">
        <v>40843091</v>
      </c>
      <c r="AE21" s="10">
        <v>418072735</v>
      </c>
      <c r="AF21" s="9">
        <v>810116479</v>
      </c>
      <c r="AG21" s="10">
        <v>3841982534</v>
      </c>
      <c r="AH21" s="9">
        <v>5620652688</v>
      </c>
      <c r="AI21" s="10">
        <v>773897730</v>
      </c>
      <c r="AJ21" s="9">
        <v>62973098</v>
      </c>
      <c r="AK21" s="10">
        <v>728546300</v>
      </c>
    </row>
    <row r="22" spans="1:37" ht="14.5" x14ac:dyDescent="0.35">
      <c r="A22" s="7" t="s">
        <v>74</v>
      </c>
      <c r="B22" s="10">
        <v>274068709</v>
      </c>
      <c r="C22" s="10">
        <v>218588804</v>
      </c>
      <c r="D22" s="10">
        <v>223344061</v>
      </c>
      <c r="E22" s="10">
        <v>236121244</v>
      </c>
      <c r="F22" s="10">
        <v>220082422</v>
      </c>
      <c r="G22" s="10">
        <v>525577549</v>
      </c>
      <c r="H22" s="10">
        <v>756810427</v>
      </c>
      <c r="I22" s="10">
        <v>617860531</v>
      </c>
      <c r="J22" s="10">
        <v>728546300</v>
      </c>
      <c r="K22" s="10">
        <v>628328553</v>
      </c>
      <c r="L22" s="10">
        <v>713984903</v>
      </c>
      <c r="M22" s="10">
        <v>633360762</v>
      </c>
      <c r="N22" s="10">
        <v>522654881</v>
      </c>
      <c r="O22" s="10">
        <v>502672657</v>
      </c>
      <c r="P22" s="10">
        <v>426929809</v>
      </c>
      <c r="Q22" s="10">
        <v>434393975</v>
      </c>
      <c r="R22" s="10">
        <v>431678646</v>
      </c>
      <c r="S22" s="10">
        <v>442340074</v>
      </c>
      <c r="T22" s="10">
        <v>484276936</v>
      </c>
      <c r="U22" s="10">
        <v>506291790</v>
      </c>
      <c r="V22" s="10">
        <v>630502587</v>
      </c>
      <c r="W22" s="10">
        <v>592868776</v>
      </c>
      <c r="X22" s="10">
        <v>716666857</v>
      </c>
      <c r="Y22" s="10">
        <v>634323904</v>
      </c>
      <c r="Z22" s="10" t="s">
        <v>65</v>
      </c>
      <c r="AB22" s="9">
        <v>622093564</v>
      </c>
      <c r="AC22" s="10">
        <v>10869761856</v>
      </c>
      <c r="AD22" s="9">
        <v>49496252</v>
      </c>
      <c r="AE22" s="10">
        <v>476149354</v>
      </c>
      <c r="AF22" s="9">
        <v>937799071</v>
      </c>
      <c r="AG22" s="10">
        <v>4574182580</v>
      </c>
      <c r="AH22" s="9">
        <v>7233304972</v>
      </c>
      <c r="AI22" s="10">
        <v>855516038</v>
      </c>
      <c r="AJ22" s="9">
        <v>81266113</v>
      </c>
      <c r="AK22" s="10">
        <v>628328553</v>
      </c>
    </row>
    <row r="23" spans="1:37" ht="11.4" customHeight="1" x14ac:dyDescent="0.35">
      <c r="AB23" s="9">
        <v>647834533</v>
      </c>
      <c r="AC23" s="10">
        <v>9742076382</v>
      </c>
      <c r="AD23" s="9">
        <v>32406702</v>
      </c>
      <c r="AE23" s="10">
        <v>561312521</v>
      </c>
      <c r="AF23" s="9">
        <v>1058052833</v>
      </c>
      <c r="AG23" s="10">
        <v>3840868969</v>
      </c>
      <c r="AH23" s="9">
        <v>5406747802</v>
      </c>
      <c r="AI23" s="10">
        <v>942752232</v>
      </c>
      <c r="AJ23" s="9">
        <v>91033194</v>
      </c>
      <c r="AK23" s="10">
        <v>713984903</v>
      </c>
    </row>
    <row r="24" spans="1:37" ht="14.5" x14ac:dyDescent="0.35">
      <c r="A24" s="1" t="s">
        <v>75</v>
      </c>
      <c r="AB24" s="9">
        <v>633500522</v>
      </c>
      <c r="AC24" s="10">
        <v>9235927694</v>
      </c>
      <c r="AD24" s="9">
        <v>43506037</v>
      </c>
      <c r="AE24" s="10">
        <v>619682404</v>
      </c>
      <c r="AF24" s="9">
        <v>1024228243</v>
      </c>
      <c r="AG24" s="10">
        <v>3781082559</v>
      </c>
      <c r="AH24" s="9">
        <v>5818406545</v>
      </c>
      <c r="AI24" s="10">
        <v>792283150</v>
      </c>
      <c r="AJ24" s="9">
        <v>86856324</v>
      </c>
      <c r="AK24" s="10">
        <v>633360762</v>
      </c>
    </row>
    <row r="25" spans="1:37" ht="14.5" x14ac:dyDescent="0.35">
      <c r="A25" s="1" t="s">
        <v>65</v>
      </c>
      <c r="B25" s="2" t="s">
        <v>76</v>
      </c>
      <c r="AB25" s="9">
        <v>639279299</v>
      </c>
      <c r="AC25" s="10">
        <v>9229181498</v>
      </c>
      <c r="AD25" s="9">
        <v>80123591</v>
      </c>
      <c r="AE25" s="10">
        <v>628201715</v>
      </c>
      <c r="AF25" s="9">
        <v>931082716</v>
      </c>
      <c r="AG25" s="10">
        <v>4020968509</v>
      </c>
      <c r="AH25" s="9">
        <v>6767908969</v>
      </c>
      <c r="AI25" s="10">
        <v>853385748</v>
      </c>
      <c r="AJ25" s="9">
        <v>87683249</v>
      </c>
      <c r="AK25" s="10">
        <v>522654881</v>
      </c>
    </row>
    <row r="26" spans="1:37" ht="11.4" customHeight="1" x14ac:dyDescent="0.35">
      <c r="AB26" s="9">
        <v>605085559</v>
      </c>
      <c r="AC26" s="10">
        <v>9477378838</v>
      </c>
      <c r="AD26" s="9">
        <v>81907626</v>
      </c>
      <c r="AE26" s="10">
        <v>627792649</v>
      </c>
      <c r="AF26" s="9">
        <v>1029077985</v>
      </c>
      <c r="AG26" s="10">
        <v>3977685154</v>
      </c>
      <c r="AH26" s="9">
        <v>6745010436</v>
      </c>
      <c r="AI26" s="10">
        <v>973805054</v>
      </c>
      <c r="AJ26" s="9">
        <v>84761485</v>
      </c>
      <c r="AK26" s="10">
        <v>502672657</v>
      </c>
    </row>
    <row r="27" spans="1:37" ht="11.4" customHeight="1" x14ac:dyDescent="0.35">
      <c r="AB27" s="9">
        <v>647556635</v>
      </c>
      <c r="AC27" s="10">
        <v>9614248928</v>
      </c>
      <c r="AD27" s="9">
        <v>60429199</v>
      </c>
      <c r="AE27" s="10">
        <v>656657070</v>
      </c>
      <c r="AF27" s="9">
        <v>1059034919</v>
      </c>
      <c r="AG27" s="10">
        <v>3903713224</v>
      </c>
      <c r="AH27" s="9">
        <v>6447350267</v>
      </c>
      <c r="AI27" s="10">
        <v>904362717</v>
      </c>
      <c r="AJ27" s="9">
        <v>75349568</v>
      </c>
      <c r="AK27" s="10">
        <v>426929809</v>
      </c>
    </row>
    <row r="28" spans="1:37" ht="11.4" customHeight="1" x14ac:dyDescent="0.35">
      <c r="AB28" s="9">
        <v>713681434</v>
      </c>
      <c r="AC28" s="10">
        <v>11281611493</v>
      </c>
      <c r="AD28" s="9">
        <v>69400936</v>
      </c>
      <c r="AE28" s="10">
        <v>724719945</v>
      </c>
      <c r="AF28" s="9">
        <v>1186195766</v>
      </c>
      <c r="AG28" s="10">
        <v>3991964299</v>
      </c>
      <c r="AH28" s="9">
        <v>9362685613</v>
      </c>
      <c r="AI28" s="10">
        <v>1008117659</v>
      </c>
      <c r="AJ28" s="9">
        <v>66869616</v>
      </c>
      <c r="AK28" s="10">
        <v>434393975</v>
      </c>
    </row>
    <row r="29" spans="1:37" ht="11.4" customHeight="1" x14ac:dyDescent="0.35">
      <c r="AB29" s="9">
        <v>684976986</v>
      </c>
      <c r="AC29" s="10">
        <v>11545997503</v>
      </c>
      <c r="AD29" s="9">
        <v>93290230</v>
      </c>
      <c r="AE29" s="10">
        <v>708150031</v>
      </c>
      <c r="AF29" s="9">
        <v>1145424206</v>
      </c>
      <c r="AG29" s="10">
        <v>4121858894</v>
      </c>
      <c r="AH29" s="9">
        <v>12406532970</v>
      </c>
      <c r="AI29" s="10">
        <v>1251425148</v>
      </c>
      <c r="AJ29" s="9">
        <v>82632638</v>
      </c>
      <c r="AK29" s="10">
        <v>431678646</v>
      </c>
    </row>
    <row r="30" spans="1:37" ht="11.4" customHeight="1" x14ac:dyDescent="0.35">
      <c r="AB30" s="9">
        <v>812376637</v>
      </c>
      <c r="AC30" s="10">
        <v>12010302456</v>
      </c>
      <c r="AD30" s="9">
        <v>112961466</v>
      </c>
      <c r="AE30" s="10">
        <v>699022140</v>
      </c>
      <c r="AF30" s="9">
        <v>1157281228</v>
      </c>
      <c r="AG30" s="10">
        <v>4103053202</v>
      </c>
      <c r="AH30" s="9">
        <v>13244545674</v>
      </c>
      <c r="AI30" s="10">
        <v>1252911616</v>
      </c>
      <c r="AJ30" s="9">
        <v>63288607</v>
      </c>
      <c r="AK30" s="10">
        <v>442340074</v>
      </c>
    </row>
    <row r="31" spans="1:37" ht="11.4" customHeight="1" x14ac:dyDescent="0.35">
      <c r="AB31" s="9">
        <v>980282403</v>
      </c>
      <c r="AC31" s="10">
        <v>11353473780</v>
      </c>
      <c r="AD31" s="9">
        <v>135395786</v>
      </c>
      <c r="AE31" s="10">
        <v>520580525</v>
      </c>
      <c r="AF31" s="9">
        <v>1054503277</v>
      </c>
      <c r="AG31" s="10">
        <v>3704031648</v>
      </c>
      <c r="AH31" s="9">
        <v>14157336327</v>
      </c>
      <c r="AI31" s="10">
        <v>1411110474</v>
      </c>
      <c r="AJ31" s="9">
        <v>66185976</v>
      </c>
      <c r="AK31" s="10">
        <v>484276936</v>
      </c>
    </row>
    <row r="32" spans="1:37" ht="11.4" customHeight="1" x14ac:dyDescent="0.35">
      <c r="AB32" s="9">
        <v>1193247935</v>
      </c>
      <c r="AC32" s="10">
        <v>12321553156</v>
      </c>
      <c r="AD32" s="9">
        <v>163654686</v>
      </c>
      <c r="AE32" s="10">
        <v>577429083</v>
      </c>
      <c r="AF32" s="9">
        <v>1109287072</v>
      </c>
      <c r="AG32" s="10">
        <v>3986015422</v>
      </c>
      <c r="AH32" s="9">
        <v>17954236146</v>
      </c>
      <c r="AI32" s="10">
        <v>1682639787</v>
      </c>
      <c r="AJ32" s="9">
        <v>66282555</v>
      </c>
      <c r="AK32" s="10">
        <v>506291790</v>
      </c>
    </row>
    <row r="33" spans="28:37" ht="11.4" customHeight="1" x14ac:dyDescent="0.35">
      <c r="AB33" s="9">
        <v>950537006</v>
      </c>
      <c r="AC33" s="10">
        <v>13215888160</v>
      </c>
      <c r="AD33" s="9">
        <v>170470654</v>
      </c>
      <c r="AE33" s="10">
        <v>664978825</v>
      </c>
      <c r="AF33" s="9">
        <v>1264307798</v>
      </c>
      <c r="AG33" s="10">
        <v>4555465663</v>
      </c>
      <c r="AH33" s="9">
        <v>20845410182</v>
      </c>
      <c r="AI33" s="10">
        <v>2099980876</v>
      </c>
      <c r="AJ33" s="9">
        <v>89565799</v>
      </c>
      <c r="AK33" s="10">
        <v>630502587</v>
      </c>
    </row>
    <row r="34" spans="28:37" ht="11.4" customHeight="1" x14ac:dyDescent="0.35">
      <c r="AB34" s="9">
        <v>972474086</v>
      </c>
      <c r="AC34" s="10">
        <v>14346667013</v>
      </c>
      <c r="AD34" s="9">
        <v>152270101</v>
      </c>
      <c r="AE34" s="10">
        <v>701692797</v>
      </c>
      <c r="AF34" s="9">
        <v>1277263793</v>
      </c>
      <c r="AG34" s="10">
        <v>4751203906</v>
      </c>
      <c r="AH34" s="9">
        <v>22124570153</v>
      </c>
      <c r="AI34" s="10">
        <v>2482193898</v>
      </c>
      <c r="AJ34" s="9">
        <v>95292576</v>
      </c>
      <c r="AK34" s="10">
        <v>592868776</v>
      </c>
    </row>
    <row r="35" spans="28:37" ht="11.4" customHeight="1" x14ac:dyDescent="0.35">
      <c r="AB35" s="9">
        <v>961317895</v>
      </c>
      <c r="AC35" s="10">
        <v>15009943579</v>
      </c>
      <c r="AD35" s="9">
        <v>221285517</v>
      </c>
      <c r="AE35" s="10">
        <v>814934668</v>
      </c>
      <c r="AF35" s="9">
        <v>1442613479</v>
      </c>
      <c r="AG35" s="10">
        <v>4649116569</v>
      </c>
      <c r="AH35" s="9">
        <v>24468521225</v>
      </c>
      <c r="AI35" s="10">
        <v>2541554879</v>
      </c>
      <c r="AJ35" s="9">
        <v>96384612</v>
      </c>
      <c r="AK35" s="10">
        <v>716666857</v>
      </c>
    </row>
    <row r="36" spans="28:37" ht="11.4" customHeight="1" x14ac:dyDescent="0.35">
      <c r="AB36" s="9">
        <v>1019969429</v>
      </c>
      <c r="AC36" s="10">
        <v>14446490462</v>
      </c>
      <c r="AD36" s="9">
        <v>232541810</v>
      </c>
      <c r="AE36" s="10">
        <v>709123168</v>
      </c>
      <c r="AF36" s="9">
        <v>1478960140</v>
      </c>
      <c r="AG36" s="10">
        <v>4575571443</v>
      </c>
      <c r="AH36" s="9">
        <v>26897802880</v>
      </c>
      <c r="AI36" s="10">
        <v>2748662361</v>
      </c>
      <c r="AJ36" s="9">
        <v>81760398</v>
      </c>
      <c r="AK36" s="10">
        <v>634323904</v>
      </c>
    </row>
  </sheetData>
  <pageMargins left="0.7" right="0.7" top="0.75" bottom="0.75" header="0.3" footer="0.3"/>
  <headerFooter>
    <oddHeader>&amp;L&amp;"Aptos"&amp;10&amp;K7FAA39 | DNB PUBLIC |&amp;1#_x000D_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K36"/>
  <sheetViews>
    <sheetView workbookViewId="0">
      <pane xSplit="1" ySplit="12" topLeftCell="B13" activePane="bottomRight" state="frozen"/>
      <selection pane="topRight"/>
      <selection pane="bottomLeft"/>
      <selection pane="bottomRight" activeCell="B13" sqref="B13"/>
    </sheetView>
  </sheetViews>
  <sheetFormatPr defaultRowHeight="11.4" customHeight="1" x14ac:dyDescent="0.35"/>
  <cols>
    <col min="1" max="1" width="29.90625" customWidth="1"/>
    <col min="2" max="26" width="10" customWidth="1"/>
  </cols>
  <sheetData>
    <row r="1" spans="1:37" ht="14.5" x14ac:dyDescent="0.35">
      <c r="A1" s="2" t="s">
        <v>77</v>
      </c>
    </row>
    <row r="2" spans="1:37" ht="14.5" x14ac:dyDescent="0.35">
      <c r="A2" s="2" t="s">
        <v>32</v>
      </c>
      <c r="B2" s="1" t="s">
        <v>0</v>
      </c>
    </row>
    <row r="3" spans="1:37" ht="14.5" x14ac:dyDescent="0.35">
      <c r="A3" s="2" t="s">
        <v>33</v>
      </c>
      <c r="B3" s="2" t="s">
        <v>6</v>
      </c>
    </row>
    <row r="4" spans="1:37" ht="14.5" x14ac:dyDescent="0.35"/>
    <row r="5" spans="1:37" ht="14.5" x14ac:dyDescent="0.35">
      <c r="A5" s="1" t="s">
        <v>11</v>
      </c>
      <c r="C5" s="2" t="s">
        <v>27</v>
      </c>
    </row>
    <row r="6" spans="1:37" ht="14.5" x14ac:dyDescent="0.35">
      <c r="A6" s="1" t="s">
        <v>12</v>
      </c>
      <c r="C6" s="2" t="s">
        <v>17</v>
      </c>
    </row>
    <row r="7" spans="1:37" ht="14.5" x14ac:dyDescent="0.35">
      <c r="A7" s="1" t="s">
        <v>13</v>
      </c>
      <c r="C7" s="2" t="s">
        <v>18</v>
      </c>
    </row>
    <row r="8" spans="1:37" ht="14.5" x14ac:dyDescent="0.35">
      <c r="A8" s="1" t="s">
        <v>14</v>
      </c>
      <c r="C8" s="2" t="s">
        <v>19</v>
      </c>
    </row>
    <row r="9" spans="1:37" ht="14.5" x14ac:dyDescent="0.35"/>
    <row r="10" spans="1:37" ht="14.5" x14ac:dyDescent="0.35">
      <c r="A10" s="5" t="s">
        <v>34</v>
      </c>
      <c r="B10" s="4" t="s">
        <v>35</v>
      </c>
      <c r="C10" s="4" t="s">
        <v>36</v>
      </c>
      <c r="D10" s="4" t="s">
        <v>37</v>
      </c>
      <c r="E10" s="4" t="s">
        <v>38</v>
      </c>
      <c r="F10" s="4" t="s">
        <v>39</v>
      </c>
      <c r="G10" s="4" t="s">
        <v>40</v>
      </c>
      <c r="H10" s="4" t="s">
        <v>41</v>
      </c>
      <c r="I10" s="4" t="s">
        <v>42</v>
      </c>
      <c r="J10" s="4" t="s">
        <v>43</v>
      </c>
      <c r="K10" s="4" t="s">
        <v>44</v>
      </c>
      <c r="L10" s="4" t="s">
        <v>45</v>
      </c>
      <c r="M10" s="4" t="s">
        <v>46</v>
      </c>
      <c r="N10" s="4" t="s">
        <v>47</v>
      </c>
      <c r="O10" s="4" t="s">
        <v>48</v>
      </c>
      <c r="P10" s="4" t="s">
        <v>49</v>
      </c>
      <c r="Q10" s="4" t="s">
        <v>50</v>
      </c>
      <c r="R10" s="4" t="s">
        <v>51</v>
      </c>
      <c r="S10" s="4" t="s">
        <v>52</v>
      </c>
      <c r="T10" s="4" t="s">
        <v>53</v>
      </c>
      <c r="U10" s="4" t="s">
        <v>54</v>
      </c>
      <c r="V10" s="4" t="s">
        <v>55</v>
      </c>
      <c r="W10" s="4" t="s">
        <v>56</v>
      </c>
      <c r="X10" s="4" t="s">
        <v>57</v>
      </c>
      <c r="Y10" s="4" t="s">
        <v>58</v>
      </c>
      <c r="Z10" s="4" t="s">
        <v>59</v>
      </c>
    </row>
    <row r="11" spans="1:37" ht="14.5" x14ac:dyDescent="0.35">
      <c r="A11" s="5" t="s">
        <v>60</v>
      </c>
      <c r="B11" s="3" t="s">
        <v>61</v>
      </c>
      <c r="C11" s="3" t="s">
        <v>61</v>
      </c>
      <c r="D11" s="3" t="s">
        <v>61</v>
      </c>
      <c r="E11" s="3" t="s">
        <v>61</v>
      </c>
      <c r="F11" s="3" t="s">
        <v>61</v>
      </c>
      <c r="G11" s="3" t="s">
        <v>61</v>
      </c>
      <c r="H11" s="3" t="s">
        <v>61</v>
      </c>
      <c r="I11" s="3" t="s">
        <v>61</v>
      </c>
      <c r="J11" s="3" t="s">
        <v>61</v>
      </c>
      <c r="K11" s="3" t="s">
        <v>61</v>
      </c>
      <c r="L11" s="3" t="s">
        <v>61</v>
      </c>
      <c r="M11" s="3" t="s">
        <v>61</v>
      </c>
      <c r="N11" s="3" t="s">
        <v>61</v>
      </c>
      <c r="O11" s="3" t="s">
        <v>61</v>
      </c>
      <c r="P11" s="3" t="s">
        <v>61</v>
      </c>
      <c r="Q11" s="3" t="s">
        <v>61</v>
      </c>
      <c r="R11" s="3" t="s">
        <v>61</v>
      </c>
      <c r="S11" s="3" t="s">
        <v>61</v>
      </c>
      <c r="T11" s="3" t="s">
        <v>61</v>
      </c>
      <c r="U11" s="3" t="s">
        <v>61</v>
      </c>
      <c r="V11" s="3" t="s">
        <v>61</v>
      </c>
      <c r="W11" s="3" t="s">
        <v>61</v>
      </c>
      <c r="X11" s="3" t="s">
        <v>61</v>
      </c>
      <c r="Y11" s="3" t="s">
        <v>61</v>
      </c>
      <c r="Z11" s="3" t="s">
        <v>61</v>
      </c>
    </row>
    <row r="12" spans="1:37" ht="14.5" x14ac:dyDescent="0.35">
      <c r="A12" s="6" t="s">
        <v>62</v>
      </c>
      <c r="B12" s="8" t="s">
        <v>63</v>
      </c>
      <c r="C12" s="8" t="s">
        <v>63</v>
      </c>
      <c r="D12" s="8" t="s">
        <v>63</v>
      </c>
      <c r="E12" s="8" t="s">
        <v>63</v>
      </c>
      <c r="F12" s="8" t="s">
        <v>63</v>
      </c>
      <c r="G12" s="8" t="s">
        <v>63</v>
      </c>
      <c r="H12" s="8" t="s">
        <v>63</v>
      </c>
      <c r="I12" s="8" t="s">
        <v>63</v>
      </c>
      <c r="J12" s="8" t="s">
        <v>63</v>
      </c>
      <c r="K12" s="8" t="s">
        <v>63</v>
      </c>
      <c r="L12" s="8" t="s">
        <v>63</v>
      </c>
      <c r="M12" s="8" t="s">
        <v>63</v>
      </c>
      <c r="N12" s="8" t="s">
        <v>63</v>
      </c>
      <c r="O12" s="8" t="s">
        <v>63</v>
      </c>
      <c r="P12" s="8" t="s">
        <v>63</v>
      </c>
      <c r="Q12" s="8" t="s">
        <v>63</v>
      </c>
      <c r="R12" s="8" t="s">
        <v>63</v>
      </c>
      <c r="S12" s="8" t="s">
        <v>63</v>
      </c>
      <c r="T12" s="8" t="s">
        <v>63</v>
      </c>
      <c r="U12" s="8" t="s">
        <v>63</v>
      </c>
      <c r="V12" s="8" t="s">
        <v>63</v>
      </c>
      <c r="W12" s="8" t="s">
        <v>63</v>
      </c>
      <c r="X12" s="8" t="s">
        <v>63</v>
      </c>
      <c r="Y12" s="8" t="s">
        <v>63</v>
      </c>
      <c r="Z12" s="8" t="s">
        <v>63</v>
      </c>
      <c r="AB12" t="s">
        <v>83</v>
      </c>
      <c r="AC12" t="s">
        <v>84</v>
      </c>
      <c r="AD12" t="s">
        <v>88</v>
      </c>
      <c r="AE12" t="s">
        <v>85</v>
      </c>
      <c r="AF12" t="s">
        <v>87</v>
      </c>
      <c r="AG12" t="s">
        <v>89</v>
      </c>
      <c r="AH12" t="s">
        <v>90</v>
      </c>
      <c r="AI12" t="s">
        <v>82</v>
      </c>
      <c r="AJ12" t="s">
        <v>91</v>
      </c>
      <c r="AK12" t="s">
        <v>86</v>
      </c>
    </row>
    <row r="13" spans="1:37" ht="14.5" x14ac:dyDescent="0.35">
      <c r="A13" s="7" t="s">
        <v>64</v>
      </c>
      <c r="B13" s="9">
        <v>166529801202</v>
      </c>
      <c r="C13" s="9">
        <v>168197297483</v>
      </c>
      <c r="D13" s="9">
        <v>187403080026</v>
      </c>
      <c r="E13" s="9">
        <v>205410050535</v>
      </c>
      <c r="F13" s="9">
        <v>222072860666</v>
      </c>
      <c r="G13" s="9">
        <v>239248113356</v>
      </c>
      <c r="H13" s="9">
        <v>246594997043</v>
      </c>
      <c r="I13" s="9">
        <v>201104096709</v>
      </c>
      <c r="J13" s="9">
        <v>224398801147</v>
      </c>
      <c r="K13" s="9">
        <v>245826817040</v>
      </c>
      <c r="L13" s="9">
        <v>242821098041</v>
      </c>
      <c r="M13" s="9">
        <v>247479907350</v>
      </c>
      <c r="N13" s="9">
        <v>250596427055</v>
      </c>
      <c r="O13" s="9">
        <v>256514232850</v>
      </c>
      <c r="P13" s="9">
        <v>259147688364</v>
      </c>
      <c r="Q13" s="9">
        <v>275311710199</v>
      </c>
      <c r="R13" s="9">
        <v>289299888921</v>
      </c>
      <c r="S13" s="9">
        <v>291086638382</v>
      </c>
      <c r="T13" s="9">
        <v>242603954857</v>
      </c>
      <c r="U13" s="9">
        <v>312615702276</v>
      </c>
      <c r="V13" s="9">
        <v>413825731551</v>
      </c>
      <c r="W13" s="9">
        <v>356144820366</v>
      </c>
      <c r="X13" s="9">
        <v>345257720028</v>
      </c>
      <c r="Y13" s="9">
        <v>348498224824</v>
      </c>
      <c r="Z13" s="9" t="s">
        <v>65</v>
      </c>
      <c r="AB13" s="9">
        <v>166529801202</v>
      </c>
      <c r="AC13" s="10">
        <v>354803585160</v>
      </c>
      <c r="AD13" s="9">
        <v>60714345994</v>
      </c>
      <c r="AE13" s="10">
        <v>94846237409</v>
      </c>
      <c r="AF13" s="9">
        <v>215411118547</v>
      </c>
      <c r="AG13" s="10">
        <v>144893638027</v>
      </c>
      <c r="AH13" s="9">
        <v>199382519372</v>
      </c>
      <c r="AI13" s="10">
        <v>51087208382</v>
      </c>
      <c r="AJ13" s="9">
        <v>21869994223</v>
      </c>
      <c r="AK13" s="10">
        <v>25717496068</v>
      </c>
    </row>
    <row r="14" spans="1:37" ht="14.5" x14ac:dyDescent="0.35">
      <c r="A14" s="7" t="s">
        <v>66</v>
      </c>
      <c r="B14" s="10">
        <v>354803585160</v>
      </c>
      <c r="C14" s="10">
        <v>369768994293</v>
      </c>
      <c r="D14" s="10">
        <v>445379004841</v>
      </c>
      <c r="E14" s="10">
        <v>494552938947</v>
      </c>
      <c r="F14" s="10">
        <v>552062474547</v>
      </c>
      <c r="G14" s="10">
        <v>623855739721</v>
      </c>
      <c r="H14" s="10">
        <v>622664152718</v>
      </c>
      <c r="I14" s="10">
        <v>500698893390</v>
      </c>
      <c r="J14" s="10">
        <v>570915281907</v>
      </c>
      <c r="K14" s="10">
        <v>627744815710</v>
      </c>
      <c r="L14" s="10">
        <v>617393501901</v>
      </c>
      <c r="M14" s="10">
        <v>617546110326</v>
      </c>
      <c r="N14" s="10">
        <v>648594105575</v>
      </c>
      <c r="O14" s="10">
        <v>692808216229</v>
      </c>
      <c r="P14" s="10">
        <v>705768508049</v>
      </c>
      <c r="Q14" s="10">
        <v>749891870833</v>
      </c>
      <c r="R14" s="10">
        <v>778747350513</v>
      </c>
      <c r="S14" s="10">
        <v>777592698406</v>
      </c>
      <c r="T14" s="10">
        <v>642059570202</v>
      </c>
      <c r="U14" s="10">
        <v>743475762048</v>
      </c>
      <c r="V14" s="10">
        <v>879216978827</v>
      </c>
      <c r="W14" s="10">
        <v>859911467090</v>
      </c>
      <c r="X14" s="10">
        <v>839825516332</v>
      </c>
      <c r="Y14" s="10">
        <v>874213320312</v>
      </c>
      <c r="Z14" s="10" t="s">
        <v>65</v>
      </c>
      <c r="AB14" s="9">
        <v>168197297483</v>
      </c>
      <c r="AC14" s="10">
        <v>369768994293</v>
      </c>
      <c r="AD14" s="9">
        <v>50346306056</v>
      </c>
      <c r="AE14" s="10">
        <v>99145704835</v>
      </c>
      <c r="AF14" s="9">
        <v>217525219748</v>
      </c>
      <c r="AG14" s="10">
        <v>144632522755</v>
      </c>
      <c r="AH14" s="9">
        <v>201872496396</v>
      </c>
      <c r="AI14" s="10">
        <v>52785493285</v>
      </c>
      <c r="AJ14" s="9">
        <v>22297898272</v>
      </c>
      <c r="AK14" s="10">
        <v>24894220598</v>
      </c>
    </row>
    <row r="15" spans="1:37" ht="14.5" x14ac:dyDescent="0.35">
      <c r="A15" s="7" t="s">
        <v>67</v>
      </c>
      <c r="B15" s="9">
        <v>60714345994</v>
      </c>
      <c r="C15" s="9">
        <v>50346306056</v>
      </c>
      <c r="D15" s="9">
        <v>52609957457</v>
      </c>
      <c r="E15" s="9">
        <v>56069564324</v>
      </c>
      <c r="F15" s="9">
        <v>54627255676</v>
      </c>
      <c r="G15" s="9">
        <v>56276092571</v>
      </c>
      <c r="H15" s="9">
        <v>53694433672</v>
      </c>
      <c r="I15" s="9">
        <v>50850778426</v>
      </c>
      <c r="J15" s="9">
        <v>51122594435</v>
      </c>
      <c r="K15" s="9">
        <v>53154466779</v>
      </c>
      <c r="L15" s="9">
        <v>54647364187</v>
      </c>
      <c r="M15" s="9">
        <v>50321840254</v>
      </c>
      <c r="N15" s="9">
        <v>50131748004</v>
      </c>
      <c r="O15" s="9">
        <v>58970223808</v>
      </c>
      <c r="P15" s="9">
        <v>59303130543</v>
      </c>
      <c r="Q15" s="9">
        <v>62200991402</v>
      </c>
      <c r="R15" s="9">
        <v>69994164228</v>
      </c>
      <c r="S15" s="9">
        <v>71831831642</v>
      </c>
      <c r="T15" s="9">
        <v>65198409720</v>
      </c>
      <c r="U15" s="9">
        <v>61448466813</v>
      </c>
      <c r="V15" s="9">
        <v>80309031822</v>
      </c>
      <c r="W15" s="9">
        <v>81092347546</v>
      </c>
      <c r="X15" s="9">
        <v>88290136527</v>
      </c>
      <c r="Y15" s="9">
        <v>86549490061</v>
      </c>
      <c r="Z15" s="9" t="s">
        <v>65</v>
      </c>
      <c r="AB15" s="9">
        <v>187403080026</v>
      </c>
      <c r="AC15" s="10">
        <v>445379004841</v>
      </c>
      <c r="AD15" s="9">
        <v>52609957457</v>
      </c>
      <c r="AE15" s="10">
        <v>106985171948</v>
      </c>
      <c r="AF15" s="9">
        <v>233429580751</v>
      </c>
      <c r="AG15" s="10">
        <v>165327452820</v>
      </c>
      <c r="AH15" s="9">
        <v>225881064993</v>
      </c>
      <c r="AI15" s="10">
        <v>64540989304</v>
      </c>
      <c r="AJ15" s="9">
        <v>22841258937</v>
      </c>
      <c r="AK15" s="10">
        <v>27404002618</v>
      </c>
    </row>
    <row r="16" spans="1:37" ht="14.5" x14ac:dyDescent="0.35">
      <c r="A16" s="7" t="s">
        <v>68</v>
      </c>
      <c r="B16" s="10">
        <v>94846237409</v>
      </c>
      <c r="C16" s="10">
        <v>99145704835</v>
      </c>
      <c r="D16" s="10">
        <v>106985171948</v>
      </c>
      <c r="E16" s="10">
        <v>111264258452</v>
      </c>
      <c r="F16" s="10">
        <v>120138003446</v>
      </c>
      <c r="G16" s="10">
        <v>130792155464</v>
      </c>
      <c r="H16" s="10">
        <v>133155092740</v>
      </c>
      <c r="I16" s="10">
        <v>113808833772</v>
      </c>
      <c r="J16" s="10">
        <v>131803591987</v>
      </c>
      <c r="K16" s="10">
        <v>146701794417</v>
      </c>
      <c r="L16" s="10">
        <v>146089174261</v>
      </c>
      <c r="M16" s="10">
        <v>150396937406</v>
      </c>
      <c r="N16" s="10">
        <v>155794095003</v>
      </c>
      <c r="O16" s="10">
        <v>165643708521</v>
      </c>
      <c r="P16" s="10">
        <v>175042717801</v>
      </c>
      <c r="Q16" s="10">
        <v>187581692327</v>
      </c>
      <c r="R16" s="10">
        <v>194956866934</v>
      </c>
      <c r="S16" s="10">
        <v>198647882735</v>
      </c>
      <c r="T16" s="10">
        <v>166741331559</v>
      </c>
      <c r="U16" s="10">
        <v>199565574042</v>
      </c>
      <c r="V16" s="10">
        <v>250075483589</v>
      </c>
      <c r="W16" s="10">
        <v>246526196939</v>
      </c>
      <c r="X16" s="10">
        <v>245900504998</v>
      </c>
      <c r="Y16" s="10">
        <v>243848433807</v>
      </c>
      <c r="Z16" s="10" t="s">
        <v>65</v>
      </c>
      <c r="AB16" s="9">
        <v>205410050535</v>
      </c>
      <c r="AC16" s="10">
        <v>494552938947</v>
      </c>
      <c r="AD16" s="9">
        <v>56069564324</v>
      </c>
      <c r="AE16" s="10">
        <v>111264258452</v>
      </c>
      <c r="AF16" s="9">
        <v>233971475291</v>
      </c>
      <c r="AG16" s="10">
        <v>177753596755</v>
      </c>
      <c r="AH16" s="9">
        <v>259498816811</v>
      </c>
      <c r="AI16" s="10">
        <v>69922360334</v>
      </c>
      <c r="AJ16" s="9">
        <v>24923678318</v>
      </c>
      <c r="AK16" s="10">
        <v>29784986170</v>
      </c>
    </row>
    <row r="17" spans="1:37" ht="14.5" x14ac:dyDescent="0.35">
      <c r="A17" s="7" t="s">
        <v>69</v>
      </c>
      <c r="B17" s="9">
        <v>215411118547</v>
      </c>
      <c r="C17" s="9">
        <v>217525219748</v>
      </c>
      <c r="D17" s="9">
        <v>233429580751</v>
      </c>
      <c r="E17" s="9">
        <v>233971475291</v>
      </c>
      <c r="F17" s="9">
        <v>255754618343</v>
      </c>
      <c r="G17" s="9">
        <v>267607825105</v>
      </c>
      <c r="H17" s="9">
        <v>267601416498</v>
      </c>
      <c r="I17" s="9">
        <v>217433224765</v>
      </c>
      <c r="J17" s="9">
        <v>240623466606</v>
      </c>
      <c r="K17" s="9">
        <v>261023497896</v>
      </c>
      <c r="L17" s="9">
        <v>260545003724</v>
      </c>
      <c r="M17" s="9">
        <v>259346840298</v>
      </c>
      <c r="N17" s="9">
        <v>263271123402</v>
      </c>
      <c r="O17" s="9">
        <v>268685895672</v>
      </c>
      <c r="P17" s="9">
        <v>269293194859</v>
      </c>
      <c r="Q17" s="9">
        <v>278628258369</v>
      </c>
      <c r="R17" s="9">
        <v>291050845063</v>
      </c>
      <c r="S17" s="9">
        <v>296848936360</v>
      </c>
      <c r="T17" s="9">
        <v>231229933627</v>
      </c>
      <c r="U17" s="9">
        <v>270418464437</v>
      </c>
      <c r="V17" s="9">
        <v>329953931751</v>
      </c>
      <c r="W17" s="9">
        <v>333655184167</v>
      </c>
      <c r="X17" s="9">
        <v>319946040920</v>
      </c>
      <c r="Y17" s="9">
        <v>325658633651</v>
      </c>
      <c r="Z17" s="9" t="s">
        <v>65</v>
      </c>
      <c r="AB17" s="9">
        <v>222072860666</v>
      </c>
      <c r="AC17" s="10">
        <v>552062474547</v>
      </c>
      <c r="AD17" s="9">
        <v>54627255676</v>
      </c>
      <c r="AE17" s="10">
        <v>120138003446</v>
      </c>
      <c r="AF17" s="9">
        <v>255754618343</v>
      </c>
      <c r="AG17" s="10">
        <v>195972336017</v>
      </c>
      <c r="AH17" s="9">
        <v>290633440879</v>
      </c>
      <c r="AI17" s="10">
        <v>75791886427</v>
      </c>
      <c r="AJ17" s="9">
        <v>27754733181</v>
      </c>
      <c r="AK17" s="10">
        <v>35034807368</v>
      </c>
    </row>
    <row r="18" spans="1:37" ht="14.5" x14ac:dyDescent="0.35">
      <c r="A18" s="7" t="s">
        <v>70</v>
      </c>
      <c r="B18" s="10">
        <v>144893638027</v>
      </c>
      <c r="C18" s="10">
        <v>144632522755</v>
      </c>
      <c r="D18" s="10">
        <v>165327452820</v>
      </c>
      <c r="E18" s="10">
        <v>177753596755</v>
      </c>
      <c r="F18" s="10">
        <v>195972336017</v>
      </c>
      <c r="G18" s="10">
        <v>222173175269</v>
      </c>
      <c r="H18" s="10">
        <v>217210198756</v>
      </c>
      <c r="I18" s="10">
        <v>168064446002</v>
      </c>
      <c r="J18" s="10">
        <v>193449841163</v>
      </c>
      <c r="K18" s="10">
        <v>210665939279</v>
      </c>
      <c r="L18" s="10">
        <v>209891766508</v>
      </c>
      <c r="M18" s="10">
        <v>208921136904</v>
      </c>
      <c r="N18" s="10">
        <v>218823664613</v>
      </c>
      <c r="O18" s="10">
        <v>225975281928</v>
      </c>
      <c r="P18" s="10">
        <v>233412888872</v>
      </c>
      <c r="Q18" s="10">
        <v>250287114700</v>
      </c>
      <c r="R18" s="10">
        <v>263080516849</v>
      </c>
      <c r="S18" s="10">
        <v>270680064266</v>
      </c>
      <c r="T18" s="10">
        <v>226836783106</v>
      </c>
      <c r="U18" s="10">
        <v>274601814844</v>
      </c>
      <c r="V18" s="10">
        <v>330452360219</v>
      </c>
      <c r="W18" s="10">
        <v>324124143271</v>
      </c>
      <c r="X18" s="10">
        <v>316810286254</v>
      </c>
      <c r="Y18" s="10">
        <v>330138644368</v>
      </c>
      <c r="Z18" s="10" t="s">
        <v>65</v>
      </c>
      <c r="AB18" s="9">
        <v>239248113356</v>
      </c>
      <c r="AC18" s="10">
        <v>623855739721</v>
      </c>
      <c r="AD18" s="9">
        <v>56276092571</v>
      </c>
      <c r="AE18" s="10">
        <v>130792155464</v>
      </c>
      <c r="AF18" s="9">
        <v>267607825105</v>
      </c>
      <c r="AG18" s="10">
        <v>222173175269</v>
      </c>
      <c r="AH18" s="9">
        <v>313654825941</v>
      </c>
      <c r="AI18" s="10">
        <v>86645228493</v>
      </c>
      <c r="AJ18" s="9">
        <v>29525105539</v>
      </c>
      <c r="AK18" s="10">
        <v>37331500191</v>
      </c>
    </row>
    <row r="19" spans="1:37" ht="14.5" x14ac:dyDescent="0.35">
      <c r="A19" s="7" t="s">
        <v>71</v>
      </c>
      <c r="B19" s="9">
        <v>199382519372</v>
      </c>
      <c r="C19" s="9">
        <v>201872496396</v>
      </c>
      <c r="D19" s="9">
        <v>225881064993</v>
      </c>
      <c r="E19" s="9">
        <v>259498816811</v>
      </c>
      <c r="F19" s="9">
        <v>290633440879</v>
      </c>
      <c r="G19" s="9">
        <v>313654825941</v>
      </c>
      <c r="H19" s="9">
        <v>342350030124</v>
      </c>
      <c r="I19" s="9">
        <v>276226662665</v>
      </c>
      <c r="J19" s="9">
        <v>334431671818</v>
      </c>
      <c r="K19" s="9">
        <v>369008314302</v>
      </c>
      <c r="L19" s="9">
        <v>385897975736</v>
      </c>
      <c r="M19" s="9">
        <v>382346107513</v>
      </c>
      <c r="N19" s="9">
        <v>384230202917</v>
      </c>
      <c r="O19" s="9">
        <v>389644452367</v>
      </c>
      <c r="P19" s="9">
        <v>392493848427</v>
      </c>
      <c r="Q19" s="9">
        <v>434339147015</v>
      </c>
      <c r="R19" s="9">
        <v>457056028196</v>
      </c>
      <c r="S19" s="9">
        <v>465080129568</v>
      </c>
      <c r="T19" s="9">
        <v>392233117812</v>
      </c>
      <c r="U19" s="9">
        <v>493620595902</v>
      </c>
      <c r="V19" s="9">
        <v>654399995591</v>
      </c>
      <c r="W19" s="9">
        <v>603566624339</v>
      </c>
      <c r="X19" s="9">
        <v>587637597410</v>
      </c>
      <c r="Y19" s="9">
        <v>604851863993</v>
      </c>
      <c r="Z19" s="9" t="s">
        <v>65</v>
      </c>
      <c r="AB19" s="9">
        <v>246594997043</v>
      </c>
      <c r="AC19" s="10">
        <v>622664152718</v>
      </c>
      <c r="AD19" s="9">
        <v>53694433672</v>
      </c>
      <c r="AE19" s="10">
        <v>133155092740</v>
      </c>
      <c r="AF19" s="9">
        <v>267601416498</v>
      </c>
      <c r="AG19" s="10">
        <v>217210198756</v>
      </c>
      <c r="AH19" s="9">
        <v>342350030124</v>
      </c>
      <c r="AI19" s="10">
        <v>89023575963</v>
      </c>
      <c r="AJ19" s="9">
        <v>28904038135</v>
      </c>
      <c r="AK19" s="10">
        <v>36667677993</v>
      </c>
    </row>
    <row r="20" spans="1:37" ht="14.5" x14ac:dyDescent="0.35">
      <c r="A20" s="7" t="s">
        <v>72</v>
      </c>
      <c r="B20" s="10">
        <v>51087208382</v>
      </c>
      <c r="C20" s="10">
        <v>52785493285</v>
      </c>
      <c r="D20" s="10">
        <v>64540989304</v>
      </c>
      <c r="E20" s="10">
        <v>69922360334</v>
      </c>
      <c r="F20" s="10">
        <v>75791886427</v>
      </c>
      <c r="G20" s="10">
        <v>86645228493</v>
      </c>
      <c r="H20" s="10">
        <v>89023575963</v>
      </c>
      <c r="I20" s="10">
        <v>70376088768</v>
      </c>
      <c r="J20" s="10">
        <v>82004481667</v>
      </c>
      <c r="K20" s="10">
        <v>89797308300</v>
      </c>
      <c r="L20" s="10">
        <v>89720947755</v>
      </c>
      <c r="M20" s="10">
        <v>91877747537</v>
      </c>
      <c r="N20" s="10">
        <v>93774343753</v>
      </c>
      <c r="O20" s="10">
        <v>96519423966</v>
      </c>
      <c r="P20" s="10">
        <v>97073189899</v>
      </c>
      <c r="Q20" s="10">
        <v>105903583050</v>
      </c>
      <c r="R20" s="10">
        <v>111673102716</v>
      </c>
      <c r="S20" s="10">
        <v>112919619945</v>
      </c>
      <c r="T20" s="10">
        <v>102192987114</v>
      </c>
      <c r="U20" s="10">
        <v>118539195780</v>
      </c>
      <c r="V20" s="10">
        <v>140260295499</v>
      </c>
      <c r="W20" s="10">
        <v>143795168914</v>
      </c>
      <c r="X20" s="10">
        <v>134812289316</v>
      </c>
      <c r="Y20" s="10">
        <v>135948929482</v>
      </c>
      <c r="Z20" s="10" t="s">
        <v>65</v>
      </c>
      <c r="AB20" s="9">
        <v>201104096709</v>
      </c>
      <c r="AC20" s="10">
        <v>500698893390</v>
      </c>
      <c r="AD20" s="9">
        <v>50850778426</v>
      </c>
      <c r="AE20" s="10">
        <v>113808833772</v>
      </c>
      <c r="AF20" s="9">
        <v>217433224765</v>
      </c>
      <c r="AG20" s="10">
        <v>168064446002</v>
      </c>
      <c r="AH20" s="9">
        <v>276226662665</v>
      </c>
      <c r="AI20" s="10">
        <v>70376088768</v>
      </c>
      <c r="AJ20" s="9">
        <v>23892397849</v>
      </c>
      <c r="AK20" s="10">
        <v>25052840900</v>
      </c>
    </row>
    <row r="21" spans="1:37" ht="14.5" x14ac:dyDescent="0.35">
      <c r="A21" s="7" t="s">
        <v>73</v>
      </c>
      <c r="B21" s="9">
        <v>21869994223</v>
      </c>
      <c r="C21" s="9">
        <v>22297898272</v>
      </c>
      <c r="D21" s="9">
        <v>22841258937</v>
      </c>
      <c r="E21" s="9">
        <v>24923678318</v>
      </c>
      <c r="F21" s="9">
        <v>27754733181</v>
      </c>
      <c r="G21" s="9">
        <v>29525105539</v>
      </c>
      <c r="H21" s="9">
        <v>28904038135</v>
      </c>
      <c r="I21" s="9">
        <v>23892397849</v>
      </c>
      <c r="J21" s="9">
        <v>28104163843</v>
      </c>
      <c r="K21" s="9">
        <v>31872738055</v>
      </c>
      <c r="L21" s="9">
        <v>32108269689</v>
      </c>
      <c r="M21" s="9">
        <v>33267665009</v>
      </c>
      <c r="N21" s="9">
        <v>34044795076</v>
      </c>
      <c r="O21" s="9">
        <v>36071085203</v>
      </c>
      <c r="P21" s="9">
        <v>37589611378</v>
      </c>
      <c r="Q21" s="9">
        <v>40790904709</v>
      </c>
      <c r="R21" s="9">
        <v>44055183357</v>
      </c>
      <c r="S21" s="9">
        <v>45996230559</v>
      </c>
      <c r="T21" s="9">
        <v>38663569750</v>
      </c>
      <c r="U21" s="9">
        <v>45509729829</v>
      </c>
      <c r="V21" s="9">
        <v>55290955906</v>
      </c>
      <c r="W21" s="9">
        <v>54244619987</v>
      </c>
      <c r="X21" s="9">
        <v>56003485807</v>
      </c>
      <c r="Y21" s="9">
        <v>56949272888</v>
      </c>
      <c r="Z21" s="9" t="s">
        <v>65</v>
      </c>
      <c r="AB21" s="9">
        <v>224398801147</v>
      </c>
      <c r="AC21" s="10">
        <v>570915281907</v>
      </c>
      <c r="AD21" s="9">
        <v>51122594435</v>
      </c>
      <c r="AE21" s="10">
        <v>131803591987</v>
      </c>
      <c r="AF21" s="9">
        <v>240623466606</v>
      </c>
      <c r="AG21" s="10">
        <v>193449841163</v>
      </c>
      <c r="AH21" s="9">
        <v>334431671818</v>
      </c>
      <c r="AI21" s="10">
        <v>82004481667</v>
      </c>
      <c r="AJ21" s="9">
        <v>28104163843</v>
      </c>
      <c r="AK21" s="10">
        <v>28484347874</v>
      </c>
    </row>
    <row r="22" spans="1:37" ht="14.5" x14ac:dyDescent="0.35">
      <c r="A22" s="7" t="s">
        <v>74</v>
      </c>
      <c r="B22" s="10">
        <v>25717496068</v>
      </c>
      <c r="C22" s="10">
        <v>24894220598</v>
      </c>
      <c r="D22" s="10">
        <v>27404002618</v>
      </c>
      <c r="E22" s="10">
        <v>29784986170</v>
      </c>
      <c r="F22" s="10">
        <v>35034807368</v>
      </c>
      <c r="G22" s="10">
        <v>37331500191</v>
      </c>
      <c r="H22" s="10">
        <v>36667677993</v>
      </c>
      <c r="I22" s="10">
        <v>25052840900</v>
      </c>
      <c r="J22" s="10">
        <v>28484347874</v>
      </c>
      <c r="K22" s="10">
        <v>31662679534</v>
      </c>
      <c r="L22" s="10">
        <v>30485733602</v>
      </c>
      <c r="M22" s="10">
        <v>30969291249</v>
      </c>
      <c r="N22" s="10">
        <v>32080811333</v>
      </c>
      <c r="O22" s="10">
        <v>31791596876</v>
      </c>
      <c r="P22" s="10">
        <v>30674912530</v>
      </c>
      <c r="Q22" s="10">
        <v>35854426098</v>
      </c>
      <c r="R22" s="10">
        <v>37883699651</v>
      </c>
      <c r="S22" s="10">
        <v>38601710799</v>
      </c>
      <c r="T22" s="10">
        <v>31604547354</v>
      </c>
      <c r="U22" s="10">
        <v>39031220615</v>
      </c>
      <c r="V22" s="10">
        <v>46093403347</v>
      </c>
      <c r="W22" s="10">
        <v>43234514935</v>
      </c>
      <c r="X22" s="10">
        <v>41904372862</v>
      </c>
      <c r="Y22" s="10">
        <v>41985807103</v>
      </c>
      <c r="Z22" s="10" t="s">
        <v>65</v>
      </c>
      <c r="AB22" s="9">
        <v>245826817040</v>
      </c>
      <c r="AC22" s="10">
        <v>627744815710</v>
      </c>
      <c r="AD22" s="9">
        <v>53154466779</v>
      </c>
      <c r="AE22" s="10">
        <v>146701794417</v>
      </c>
      <c r="AF22" s="9">
        <v>261023497896</v>
      </c>
      <c r="AG22" s="10">
        <v>210665939279</v>
      </c>
      <c r="AH22" s="9">
        <v>369008314302</v>
      </c>
      <c r="AI22" s="10">
        <v>89797308300</v>
      </c>
      <c r="AJ22" s="9">
        <v>31872738055</v>
      </c>
      <c r="AK22" s="10">
        <v>31662679534</v>
      </c>
    </row>
    <row r="23" spans="1:37" ht="11.4" customHeight="1" x14ac:dyDescent="0.35">
      <c r="AB23" s="9">
        <v>242821098041</v>
      </c>
      <c r="AC23" s="10">
        <v>617393501901</v>
      </c>
      <c r="AD23" s="9">
        <v>54647364187</v>
      </c>
      <c r="AE23" s="10">
        <v>146089174261</v>
      </c>
      <c r="AF23" s="9">
        <v>260545003724</v>
      </c>
      <c r="AG23" s="10">
        <v>209891766508</v>
      </c>
      <c r="AH23" s="9">
        <v>385897975736</v>
      </c>
      <c r="AI23" s="10">
        <v>89720947755</v>
      </c>
      <c r="AJ23" s="9">
        <v>32108269689</v>
      </c>
      <c r="AK23" s="10">
        <v>30485733602</v>
      </c>
    </row>
    <row r="24" spans="1:37" ht="14.5" x14ac:dyDescent="0.35">
      <c r="A24" s="1" t="s">
        <v>75</v>
      </c>
      <c r="AB24" s="9">
        <v>247479907350</v>
      </c>
      <c r="AC24" s="10">
        <v>617546110326</v>
      </c>
      <c r="AD24" s="9">
        <v>50321840254</v>
      </c>
      <c r="AE24" s="10">
        <v>150396937406</v>
      </c>
      <c r="AF24" s="9">
        <v>259346840298</v>
      </c>
      <c r="AG24" s="10">
        <v>208921136904</v>
      </c>
      <c r="AH24" s="9">
        <v>382346107513</v>
      </c>
      <c r="AI24" s="10">
        <v>91877747537</v>
      </c>
      <c r="AJ24" s="9">
        <v>33267665009</v>
      </c>
      <c r="AK24" s="10">
        <v>30969291249</v>
      </c>
    </row>
    <row r="25" spans="1:37" ht="14.5" x14ac:dyDescent="0.35">
      <c r="A25" s="1" t="s">
        <v>65</v>
      </c>
      <c r="B25" s="2" t="s">
        <v>76</v>
      </c>
      <c r="AB25" s="9">
        <v>250596427055</v>
      </c>
      <c r="AC25" s="10">
        <v>648594105575</v>
      </c>
      <c r="AD25" s="9">
        <v>50131748004</v>
      </c>
      <c r="AE25" s="10">
        <v>155794095003</v>
      </c>
      <c r="AF25" s="9">
        <v>263271123402</v>
      </c>
      <c r="AG25" s="10">
        <v>218823664613</v>
      </c>
      <c r="AH25" s="9">
        <v>384230202917</v>
      </c>
      <c r="AI25" s="10">
        <v>93774343753</v>
      </c>
      <c r="AJ25" s="9">
        <v>34044795076</v>
      </c>
      <c r="AK25" s="10">
        <v>32080811333</v>
      </c>
    </row>
    <row r="26" spans="1:37" ht="11.4" customHeight="1" x14ac:dyDescent="0.35">
      <c r="AB26" s="9">
        <v>256514232850</v>
      </c>
      <c r="AC26" s="10">
        <v>692808216229</v>
      </c>
      <c r="AD26" s="9">
        <v>58970223808</v>
      </c>
      <c r="AE26" s="10">
        <v>165643708521</v>
      </c>
      <c r="AF26" s="9">
        <v>268685895672</v>
      </c>
      <c r="AG26" s="10">
        <v>225975281928</v>
      </c>
      <c r="AH26" s="9">
        <v>389644452367</v>
      </c>
      <c r="AI26" s="10">
        <v>96519423966</v>
      </c>
      <c r="AJ26" s="9">
        <v>36071085203</v>
      </c>
      <c r="AK26" s="10">
        <v>31791596876</v>
      </c>
    </row>
    <row r="27" spans="1:37" ht="11.4" customHeight="1" x14ac:dyDescent="0.35">
      <c r="AB27" s="9">
        <v>259147688364</v>
      </c>
      <c r="AC27" s="10">
        <v>705768508049</v>
      </c>
      <c r="AD27" s="9">
        <v>59303130543</v>
      </c>
      <c r="AE27" s="10">
        <v>175042717801</v>
      </c>
      <c r="AF27" s="9">
        <v>269293194859</v>
      </c>
      <c r="AG27" s="10">
        <v>233412888872</v>
      </c>
      <c r="AH27" s="9">
        <v>392493848427</v>
      </c>
      <c r="AI27" s="10">
        <v>97073189899</v>
      </c>
      <c r="AJ27" s="9">
        <v>37589611378</v>
      </c>
      <c r="AK27" s="10">
        <v>30674912530</v>
      </c>
    </row>
    <row r="28" spans="1:37" ht="11.4" customHeight="1" x14ac:dyDescent="0.35">
      <c r="AB28" s="9">
        <v>275311710199</v>
      </c>
      <c r="AC28" s="10">
        <v>749891870833</v>
      </c>
      <c r="AD28" s="9">
        <v>62200991402</v>
      </c>
      <c r="AE28" s="10">
        <v>187581692327</v>
      </c>
      <c r="AF28" s="9">
        <v>278628258369</v>
      </c>
      <c r="AG28" s="10">
        <v>250287114700</v>
      </c>
      <c r="AH28" s="9">
        <v>434339147015</v>
      </c>
      <c r="AI28" s="10">
        <v>105903583050</v>
      </c>
      <c r="AJ28" s="9">
        <v>40790904709</v>
      </c>
      <c r="AK28" s="10">
        <v>35854426098</v>
      </c>
    </row>
    <row r="29" spans="1:37" ht="11.4" customHeight="1" x14ac:dyDescent="0.35">
      <c r="AB29" s="9">
        <v>289299888921</v>
      </c>
      <c r="AC29" s="10">
        <v>778747350513</v>
      </c>
      <c r="AD29" s="9">
        <v>69994164228</v>
      </c>
      <c r="AE29" s="10">
        <v>194956866934</v>
      </c>
      <c r="AF29" s="9">
        <v>291050845063</v>
      </c>
      <c r="AG29" s="10">
        <v>263080516849</v>
      </c>
      <c r="AH29" s="9">
        <v>457056028196</v>
      </c>
      <c r="AI29" s="10">
        <v>111673102716</v>
      </c>
      <c r="AJ29" s="9">
        <v>44055183357</v>
      </c>
      <c r="AK29" s="10">
        <v>37883699651</v>
      </c>
    </row>
    <row r="30" spans="1:37" ht="11.4" customHeight="1" x14ac:dyDescent="0.35">
      <c r="AB30" s="9">
        <v>291086638382</v>
      </c>
      <c r="AC30" s="10">
        <v>777592698406</v>
      </c>
      <c r="AD30" s="9">
        <v>71831831642</v>
      </c>
      <c r="AE30" s="10">
        <v>198647882735</v>
      </c>
      <c r="AF30" s="9">
        <v>296848936360</v>
      </c>
      <c r="AG30" s="10">
        <v>270680064266</v>
      </c>
      <c r="AH30" s="9">
        <v>465080129568</v>
      </c>
      <c r="AI30" s="10">
        <v>112919619945</v>
      </c>
      <c r="AJ30" s="9">
        <v>45996230559</v>
      </c>
      <c r="AK30" s="10">
        <v>38601710799</v>
      </c>
    </row>
    <row r="31" spans="1:37" ht="11.4" customHeight="1" x14ac:dyDescent="0.35">
      <c r="AB31" s="9">
        <v>242603954857</v>
      </c>
      <c r="AC31" s="10">
        <v>642059570202</v>
      </c>
      <c r="AD31" s="9">
        <v>65198409720</v>
      </c>
      <c r="AE31" s="10">
        <v>166741331559</v>
      </c>
      <c r="AF31" s="9">
        <v>231229933627</v>
      </c>
      <c r="AG31" s="10">
        <v>226836783106</v>
      </c>
      <c r="AH31" s="9">
        <v>392233117812</v>
      </c>
      <c r="AI31" s="10">
        <v>102192987114</v>
      </c>
      <c r="AJ31" s="9">
        <v>38663569750</v>
      </c>
      <c r="AK31" s="10">
        <v>31604547354</v>
      </c>
    </row>
    <row r="32" spans="1:37" ht="11.4" customHeight="1" x14ac:dyDescent="0.35">
      <c r="AB32" s="9">
        <v>312615702276</v>
      </c>
      <c r="AC32" s="10">
        <v>743475762048</v>
      </c>
      <c r="AD32" s="9">
        <v>61448466813</v>
      </c>
      <c r="AE32" s="10">
        <v>199565574042</v>
      </c>
      <c r="AF32" s="9">
        <v>270418464437</v>
      </c>
      <c r="AG32" s="10">
        <v>274601814844</v>
      </c>
      <c r="AH32" s="9">
        <v>493620595902</v>
      </c>
      <c r="AI32" s="10">
        <v>118539195780</v>
      </c>
      <c r="AJ32" s="9">
        <v>45509729829</v>
      </c>
      <c r="AK32" s="10">
        <v>39031220615</v>
      </c>
    </row>
    <row r="33" spans="28:37" ht="11.4" customHeight="1" x14ac:dyDescent="0.35">
      <c r="AB33" s="9">
        <v>413825731551</v>
      </c>
      <c r="AC33" s="10">
        <v>879216978827</v>
      </c>
      <c r="AD33" s="9">
        <v>80309031822</v>
      </c>
      <c r="AE33" s="10">
        <v>250075483589</v>
      </c>
      <c r="AF33" s="9">
        <v>329953931751</v>
      </c>
      <c r="AG33" s="10">
        <v>330452360219</v>
      </c>
      <c r="AH33" s="9">
        <v>654399995591</v>
      </c>
      <c r="AI33" s="10">
        <v>140260295499</v>
      </c>
      <c r="AJ33" s="9">
        <v>55290955906</v>
      </c>
      <c r="AK33" s="10">
        <v>46093403347</v>
      </c>
    </row>
    <row r="34" spans="28:37" ht="11.4" customHeight="1" x14ac:dyDescent="0.35">
      <c r="AB34" s="9">
        <v>356144820366</v>
      </c>
      <c r="AC34" s="10">
        <v>859911467090</v>
      </c>
      <c r="AD34" s="9">
        <v>81092347546</v>
      </c>
      <c r="AE34" s="10">
        <v>246526196939</v>
      </c>
      <c r="AF34" s="9">
        <v>333655184167</v>
      </c>
      <c r="AG34" s="10">
        <v>324124143271</v>
      </c>
      <c r="AH34" s="9">
        <v>603566624339</v>
      </c>
      <c r="AI34" s="10">
        <v>143795168914</v>
      </c>
      <c r="AJ34" s="9">
        <v>54244619987</v>
      </c>
      <c r="AK34" s="10">
        <v>43234514935</v>
      </c>
    </row>
    <row r="35" spans="28:37" ht="11.4" customHeight="1" x14ac:dyDescent="0.35">
      <c r="AB35" s="9">
        <v>345257720028</v>
      </c>
      <c r="AC35" s="10">
        <v>839825516332</v>
      </c>
      <c r="AD35" s="9">
        <v>88290136527</v>
      </c>
      <c r="AE35" s="10">
        <v>245900504998</v>
      </c>
      <c r="AF35" s="9">
        <v>319946040920</v>
      </c>
      <c r="AG35" s="10">
        <v>316810286254</v>
      </c>
      <c r="AH35" s="9">
        <v>587637597410</v>
      </c>
      <c r="AI35" s="10">
        <v>134812289316</v>
      </c>
      <c r="AJ35" s="9">
        <v>56003485807</v>
      </c>
      <c r="AK35" s="10">
        <v>41904372862</v>
      </c>
    </row>
    <row r="36" spans="28:37" ht="11.4" customHeight="1" x14ac:dyDescent="0.35">
      <c r="AB36" s="9">
        <v>348498224824</v>
      </c>
      <c r="AC36" s="10">
        <v>874213320312</v>
      </c>
      <c r="AD36" s="9">
        <v>86549490061</v>
      </c>
      <c r="AE36" s="10">
        <v>243848433807</v>
      </c>
      <c r="AF36" s="9">
        <v>325658633651</v>
      </c>
      <c r="AG36" s="10">
        <v>330138644368</v>
      </c>
      <c r="AH36" s="9">
        <v>604851863993</v>
      </c>
      <c r="AI36" s="10">
        <v>135948929482</v>
      </c>
      <c r="AJ36" s="9">
        <v>56949272888</v>
      </c>
      <c r="AK36" s="10">
        <v>41985807103</v>
      </c>
    </row>
  </sheetData>
  <pageMargins left="0.7" right="0.7" top="0.75" bottom="0.75" header="0.3" footer="0.3"/>
  <headerFooter>
    <oddHeader>&amp;L&amp;"Aptos"&amp;10&amp;K7FAA39 | DNB PUBLIC |&amp;1#_x000D_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K36"/>
  <sheetViews>
    <sheetView workbookViewId="0">
      <pane xSplit="1" ySplit="12" topLeftCell="B13" activePane="bottomRight" state="frozen"/>
      <selection pane="topRight"/>
      <selection pane="bottomLeft"/>
      <selection pane="bottomRight" activeCell="B13" sqref="B13"/>
    </sheetView>
  </sheetViews>
  <sheetFormatPr defaultRowHeight="11.4" customHeight="1" x14ac:dyDescent="0.35"/>
  <cols>
    <col min="1" max="1" width="29.90625" customWidth="1"/>
    <col min="2" max="26" width="10" customWidth="1"/>
  </cols>
  <sheetData>
    <row r="1" spans="1:37" ht="14.5" x14ac:dyDescent="0.35">
      <c r="A1" s="2" t="s">
        <v>77</v>
      </c>
    </row>
    <row r="2" spans="1:37" ht="14.5" x14ac:dyDescent="0.35">
      <c r="A2" s="2" t="s">
        <v>32</v>
      </c>
      <c r="B2" s="1" t="s">
        <v>0</v>
      </c>
    </row>
    <row r="3" spans="1:37" ht="14.5" x14ac:dyDescent="0.35">
      <c r="A3" s="2" t="s">
        <v>33</v>
      </c>
      <c r="B3" s="2" t="s">
        <v>6</v>
      </c>
    </row>
    <row r="4" spans="1:37" ht="14.5" x14ac:dyDescent="0.35"/>
    <row r="5" spans="1:37" ht="14.5" x14ac:dyDescent="0.35">
      <c r="A5" s="1" t="s">
        <v>11</v>
      </c>
      <c r="C5" s="2" t="s">
        <v>27</v>
      </c>
    </row>
    <row r="6" spans="1:37" ht="14.5" x14ac:dyDescent="0.35">
      <c r="A6" s="1" t="s">
        <v>12</v>
      </c>
      <c r="C6" s="2" t="s">
        <v>21</v>
      </c>
    </row>
    <row r="7" spans="1:37" ht="14.5" x14ac:dyDescent="0.35">
      <c r="A7" s="1" t="s">
        <v>13</v>
      </c>
      <c r="C7" s="2" t="s">
        <v>18</v>
      </c>
    </row>
    <row r="8" spans="1:37" ht="14.5" x14ac:dyDescent="0.35">
      <c r="A8" s="1" t="s">
        <v>14</v>
      </c>
      <c r="C8" s="2" t="s">
        <v>19</v>
      </c>
    </row>
    <row r="9" spans="1:37" ht="14.5" x14ac:dyDescent="0.35"/>
    <row r="10" spans="1:37" ht="14.5" x14ac:dyDescent="0.35">
      <c r="A10" s="5" t="s">
        <v>34</v>
      </c>
      <c r="B10" s="4" t="s">
        <v>35</v>
      </c>
      <c r="C10" s="4" t="s">
        <v>36</v>
      </c>
      <c r="D10" s="4" t="s">
        <v>37</v>
      </c>
      <c r="E10" s="4" t="s">
        <v>38</v>
      </c>
      <c r="F10" s="4" t="s">
        <v>39</v>
      </c>
      <c r="G10" s="4" t="s">
        <v>40</v>
      </c>
      <c r="H10" s="4" t="s">
        <v>41</v>
      </c>
      <c r="I10" s="4" t="s">
        <v>42</v>
      </c>
      <c r="J10" s="4" t="s">
        <v>43</v>
      </c>
      <c r="K10" s="4" t="s">
        <v>44</v>
      </c>
      <c r="L10" s="4" t="s">
        <v>45</v>
      </c>
      <c r="M10" s="4" t="s">
        <v>46</v>
      </c>
      <c r="N10" s="4" t="s">
        <v>47</v>
      </c>
      <c r="O10" s="4" t="s">
        <v>48</v>
      </c>
      <c r="P10" s="4" t="s">
        <v>49</v>
      </c>
      <c r="Q10" s="4" t="s">
        <v>50</v>
      </c>
      <c r="R10" s="4" t="s">
        <v>51</v>
      </c>
      <c r="S10" s="4" t="s">
        <v>52</v>
      </c>
      <c r="T10" s="4" t="s">
        <v>53</v>
      </c>
      <c r="U10" s="4" t="s">
        <v>54</v>
      </c>
      <c r="V10" s="4" t="s">
        <v>55</v>
      </c>
      <c r="W10" s="4" t="s">
        <v>56</v>
      </c>
      <c r="X10" s="4" t="s">
        <v>57</v>
      </c>
      <c r="Y10" s="4" t="s">
        <v>58</v>
      </c>
      <c r="Z10" s="4" t="s">
        <v>59</v>
      </c>
    </row>
    <row r="11" spans="1:37" ht="14.5" x14ac:dyDescent="0.35">
      <c r="A11" s="5" t="s">
        <v>60</v>
      </c>
      <c r="B11" s="3" t="s">
        <v>61</v>
      </c>
      <c r="C11" s="3" t="s">
        <v>61</v>
      </c>
      <c r="D11" s="3" t="s">
        <v>61</v>
      </c>
      <c r="E11" s="3" t="s">
        <v>61</v>
      </c>
      <c r="F11" s="3" t="s">
        <v>61</v>
      </c>
      <c r="G11" s="3" t="s">
        <v>61</v>
      </c>
      <c r="H11" s="3" t="s">
        <v>61</v>
      </c>
      <c r="I11" s="3" t="s">
        <v>61</v>
      </c>
      <c r="J11" s="3" t="s">
        <v>61</v>
      </c>
      <c r="K11" s="3" t="s">
        <v>61</v>
      </c>
      <c r="L11" s="3" t="s">
        <v>61</v>
      </c>
      <c r="M11" s="3" t="s">
        <v>61</v>
      </c>
      <c r="N11" s="3" t="s">
        <v>61</v>
      </c>
      <c r="O11" s="3" t="s">
        <v>61</v>
      </c>
      <c r="P11" s="3" t="s">
        <v>61</v>
      </c>
      <c r="Q11" s="3" t="s">
        <v>61</v>
      </c>
      <c r="R11" s="3" t="s">
        <v>61</v>
      </c>
      <c r="S11" s="3" t="s">
        <v>61</v>
      </c>
      <c r="T11" s="3" t="s">
        <v>61</v>
      </c>
      <c r="U11" s="3" t="s">
        <v>61</v>
      </c>
      <c r="V11" s="3" t="s">
        <v>61</v>
      </c>
      <c r="W11" s="3" t="s">
        <v>61</v>
      </c>
      <c r="X11" s="3" t="s">
        <v>61</v>
      </c>
      <c r="Y11" s="3" t="s">
        <v>61</v>
      </c>
      <c r="Z11" s="3" t="s">
        <v>61</v>
      </c>
    </row>
    <row r="12" spans="1:37" ht="14.5" x14ac:dyDescent="0.35">
      <c r="A12" s="6" t="s">
        <v>62</v>
      </c>
      <c r="B12" s="8" t="s">
        <v>63</v>
      </c>
      <c r="C12" s="8" t="s">
        <v>63</v>
      </c>
      <c r="D12" s="8" t="s">
        <v>63</v>
      </c>
      <c r="E12" s="8" t="s">
        <v>63</v>
      </c>
      <c r="F12" s="8" t="s">
        <v>63</v>
      </c>
      <c r="G12" s="8" t="s">
        <v>63</v>
      </c>
      <c r="H12" s="8" t="s">
        <v>63</v>
      </c>
      <c r="I12" s="8" t="s">
        <v>63</v>
      </c>
      <c r="J12" s="8" t="s">
        <v>63</v>
      </c>
      <c r="K12" s="8" t="s">
        <v>63</v>
      </c>
      <c r="L12" s="8" t="s">
        <v>63</v>
      </c>
      <c r="M12" s="8" t="s">
        <v>63</v>
      </c>
      <c r="N12" s="8" t="s">
        <v>63</v>
      </c>
      <c r="O12" s="8" t="s">
        <v>63</v>
      </c>
      <c r="P12" s="8" t="s">
        <v>63</v>
      </c>
      <c r="Q12" s="8" t="s">
        <v>63</v>
      </c>
      <c r="R12" s="8" t="s">
        <v>63</v>
      </c>
      <c r="S12" s="8" t="s">
        <v>63</v>
      </c>
      <c r="T12" s="8" t="s">
        <v>63</v>
      </c>
      <c r="U12" s="8" t="s">
        <v>63</v>
      </c>
      <c r="V12" s="8" t="s">
        <v>63</v>
      </c>
      <c r="W12" s="8" t="s">
        <v>63</v>
      </c>
      <c r="X12" s="8" t="s">
        <v>63</v>
      </c>
      <c r="Y12" s="8" t="s">
        <v>63</v>
      </c>
      <c r="Z12" s="8" t="s">
        <v>63</v>
      </c>
      <c r="AB12" t="s">
        <v>83</v>
      </c>
      <c r="AC12" t="s">
        <v>84</v>
      </c>
      <c r="AD12" t="s">
        <v>88</v>
      </c>
      <c r="AE12" t="s">
        <v>85</v>
      </c>
      <c r="AF12" t="s">
        <v>87</v>
      </c>
      <c r="AG12" t="s">
        <v>89</v>
      </c>
      <c r="AH12" t="s">
        <v>90</v>
      </c>
      <c r="AI12" t="s">
        <v>82</v>
      </c>
      <c r="AJ12" t="s">
        <v>91</v>
      </c>
      <c r="AK12" t="s">
        <v>86</v>
      </c>
    </row>
    <row r="13" spans="1:37" ht="14.5" x14ac:dyDescent="0.35">
      <c r="A13" s="7" t="s">
        <v>64</v>
      </c>
      <c r="B13" s="9">
        <v>1349646769</v>
      </c>
      <c r="C13" s="9">
        <v>1475202789</v>
      </c>
      <c r="D13" s="9">
        <v>1753961132</v>
      </c>
      <c r="E13" s="9">
        <v>1822557750</v>
      </c>
      <c r="F13" s="9">
        <v>1815041666</v>
      </c>
      <c r="G13" s="9">
        <v>1353428918</v>
      </c>
      <c r="H13" s="9">
        <v>1298073139</v>
      </c>
      <c r="I13" s="9">
        <v>1017991469</v>
      </c>
      <c r="J13" s="9">
        <v>1430671054</v>
      </c>
      <c r="K13" s="9">
        <v>1460491761</v>
      </c>
      <c r="L13" s="9">
        <v>1169877579</v>
      </c>
      <c r="M13" s="9">
        <v>602667860</v>
      </c>
      <c r="N13" s="9">
        <v>529968557</v>
      </c>
      <c r="O13" s="9">
        <v>614087250</v>
      </c>
      <c r="P13" s="9">
        <v>538983546</v>
      </c>
      <c r="Q13" s="9">
        <v>596436628</v>
      </c>
      <c r="R13" s="9">
        <v>551314382</v>
      </c>
      <c r="S13" s="9">
        <v>1281189345</v>
      </c>
      <c r="T13" s="9">
        <v>1370377819</v>
      </c>
      <c r="U13" s="9">
        <v>1490141643</v>
      </c>
      <c r="V13" s="9">
        <v>2136503873</v>
      </c>
      <c r="W13" s="9">
        <v>2736369665</v>
      </c>
      <c r="X13" s="9">
        <v>2018404300</v>
      </c>
      <c r="Y13" s="9">
        <v>1907429175</v>
      </c>
      <c r="Z13" s="9" t="s">
        <v>65</v>
      </c>
      <c r="AB13" s="9">
        <v>1349646769</v>
      </c>
      <c r="AC13" s="10">
        <v>8969794152</v>
      </c>
      <c r="AD13" s="9">
        <v>6428790525</v>
      </c>
      <c r="AE13" s="10">
        <v>726142798</v>
      </c>
      <c r="AF13" s="9">
        <v>3871962902</v>
      </c>
      <c r="AG13" s="10">
        <v>1777419151</v>
      </c>
      <c r="AH13" s="9">
        <v>7371042141</v>
      </c>
      <c r="AI13" s="10">
        <v>1352970368</v>
      </c>
      <c r="AJ13" s="9">
        <v>288948769</v>
      </c>
      <c r="AK13" s="10">
        <v>849200931</v>
      </c>
    </row>
    <row r="14" spans="1:37" ht="14.5" x14ac:dyDescent="0.35">
      <c r="A14" s="7" t="s">
        <v>66</v>
      </c>
      <c r="B14" s="10">
        <v>8969794152</v>
      </c>
      <c r="C14" s="10">
        <v>8609506794</v>
      </c>
      <c r="D14" s="10">
        <v>10130248517</v>
      </c>
      <c r="E14" s="10">
        <v>10677154704</v>
      </c>
      <c r="F14" s="10">
        <v>11854335466</v>
      </c>
      <c r="G14" s="10">
        <v>9118338136</v>
      </c>
      <c r="H14" s="10">
        <v>10028074832</v>
      </c>
      <c r="I14" s="10">
        <v>7101621662</v>
      </c>
      <c r="J14" s="10">
        <v>11039308306</v>
      </c>
      <c r="K14" s="10">
        <v>10215063390</v>
      </c>
      <c r="L14" s="10">
        <v>8269043022</v>
      </c>
      <c r="M14" s="10">
        <v>7941392046</v>
      </c>
      <c r="N14" s="10">
        <v>8321605393</v>
      </c>
      <c r="O14" s="10">
        <v>9617628661</v>
      </c>
      <c r="P14" s="10">
        <v>10192948389</v>
      </c>
      <c r="Q14" s="10">
        <v>11784749406</v>
      </c>
      <c r="R14" s="10">
        <v>12222425027</v>
      </c>
      <c r="S14" s="10">
        <v>11683475409</v>
      </c>
      <c r="T14" s="10">
        <v>9114643871</v>
      </c>
      <c r="U14" s="10">
        <v>11382233779</v>
      </c>
      <c r="V14" s="10">
        <v>15952919483</v>
      </c>
      <c r="W14" s="10">
        <v>17334784700</v>
      </c>
      <c r="X14" s="10">
        <v>14690619168</v>
      </c>
      <c r="Y14" s="10">
        <v>14811890230</v>
      </c>
      <c r="Z14" s="10" t="s">
        <v>65</v>
      </c>
      <c r="AB14" s="9">
        <v>1475202789</v>
      </c>
      <c r="AC14" s="10">
        <v>8609506794</v>
      </c>
      <c r="AD14" s="9">
        <v>1293263593</v>
      </c>
      <c r="AE14" s="10">
        <v>775344442</v>
      </c>
      <c r="AF14" s="9">
        <v>3426888396</v>
      </c>
      <c r="AG14" s="10">
        <v>1502152568</v>
      </c>
      <c r="AH14" s="9">
        <v>7864821353</v>
      </c>
      <c r="AI14" s="10">
        <v>1314284036</v>
      </c>
      <c r="AJ14" s="9">
        <v>302565555</v>
      </c>
      <c r="AK14" s="10">
        <v>606864113</v>
      </c>
    </row>
    <row r="15" spans="1:37" ht="14.5" x14ac:dyDescent="0.35">
      <c r="A15" s="7" t="s">
        <v>67</v>
      </c>
      <c r="B15" s="9">
        <v>6428790525</v>
      </c>
      <c r="C15" s="9">
        <v>1293263593</v>
      </c>
      <c r="D15" s="9">
        <v>1399707387</v>
      </c>
      <c r="E15" s="9">
        <v>1148913650</v>
      </c>
      <c r="F15" s="9">
        <v>1006659006</v>
      </c>
      <c r="G15" s="9">
        <v>462952597</v>
      </c>
      <c r="H15" s="9">
        <v>571303968</v>
      </c>
      <c r="I15" s="9">
        <v>310210360</v>
      </c>
      <c r="J15" s="9">
        <v>171285266</v>
      </c>
      <c r="K15" s="9">
        <v>117347376</v>
      </c>
      <c r="L15" s="9">
        <v>137348478</v>
      </c>
      <c r="M15" s="9">
        <v>91505154</v>
      </c>
      <c r="N15" s="9">
        <v>83765785</v>
      </c>
      <c r="O15" s="9">
        <v>70508280</v>
      </c>
      <c r="P15" s="9">
        <v>66563742</v>
      </c>
      <c r="Q15" s="9">
        <v>67053348</v>
      </c>
      <c r="R15" s="9">
        <v>77060233</v>
      </c>
      <c r="S15" s="9">
        <v>66749023</v>
      </c>
      <c r="T15" s="9">
        <v>87717238</v>
      </c>
      <c r="U15" s="9">
        <v>229681149</v>
      </c>
      <c r="V15" s="9">
        <v>178043020</v>
      </c>
      <c r="W15" s="9">
        <v>96854406</v>
      </c>
      <c r="X15" s="9">
        <v>86305738</v>
      </c>
      <c r="Y15" s="9">
        <v>104085451</v>
      </c>
      <c r="Z15" s="9" t="s">
        <v>65</v>
      </c>
      <c r="AB15" s="9">
        <v>1753961132</v>
      </c>
      <c r="AC15" s="10">
        <v>10130248517</v>
      </c>
      <c r="AD15" s="9">
        <v>1399707387</v>
      </c>
      <c r="AE15" s="10">
        <v>926625460</v>
      </c>
      <c r="AF15" s="9">
        <v>4169567937</v>
      </c>
      <c r="AG15" s="10">
        <v>1810619913</v>
      </c>
      <c r="AH15" s="9">
        <v>9345659209</v>
      </c>
      <c r="AI15" s="10">
        <v>1504953676</v>
      </c>
      <c r="AJ15" s="9">
        <v>254504671</v>
      </c>
      <c r="AK15" s="10">
        <v>915828379</v>
      </c>
    </row>
    <row r="16" spans="1:37" ht="14.5" x14ac:dyDescent="0.35">
      <c r="A16" s="7" t="s">
        <v>68</v>
      </c>
      <c r="B16" s="10">
        <v>726142798</v>
      </c>
      <c r="C16" s="10">
        <v>775344442</v>
      </c>
      <c r="D16" s="10">
        <v>926625460</v>
      </c>
      <c r="E16" s="10">
        <v>1079888607</v>
      </c>
      <c r="F16" s="10">
        <v>909602362</v>
      </c>
      <c r="G16" s="10">
        <v>403441571</v>
      </c>
      <c r="H16" s="10">
        <v>474895013</v>
      </c>
      <c r="I16" s="10">
        <v>665391998</v>
      </c>
      <c r="J16" s="10">
        <v>1404770737</v>
      </c>
      <c r="K16" s="10">
        <v>1016241200</v>
      </c>
      <c r="L16" s="10">
        <v>417361009</v>
      </c>
      <c r="M16" s="10">
        <v>260183468</v>
      </c>
      <c r="N16" s="10">
        <v>240871291</v>
      </c>
      <c r="O16" s="10">
        <v>258875008</v>
      </c>
      <c r="P16" s="10">
        <v>390205907</v>
      </c>
      <c r="Q16" s="10">
        <v>361561717</v>
      </c>
      <c r="R16" s="10">
        <v>390587992</v>
      </c>
      <c r="S16" s="10">
        <v>426382304</v>
      </c>
      <c r="T16" s="10">
        <v>446923470</v>
      </c>
      <c r="U16" s="10">
        <v>512242464</v>
      </c>
      <c r="V16" s="10">
        <v>640229627</v>
      </c>
      <c r="W16" s="10">
        <v>697597661</v>
      </c>
      <c r="X16" s="10">
        <v>641670254</v>
      </c>
      <c r="Y16" s="10">
        <v>711234615</v>
      </c>
      <c r="Z16" s="10" t="s">
        <v>65</v>
      </c>
      <c r="AB16" s="9">
        <v>1822557750</v>
      </c>
      <c r="AC16" s="10">
        <v>10677154704</v>
      </c>
      <c r="AD16" s="9">
        <v>1148913650</v>
      </c>
      <c r="AE16" s="10">
        <v>1079888607</v>
      </c>
      <c r="AF16" s="9">
        <v>3952172828</v>
      </c>
      <c r="AG16" s="10">
        <v>2471678718</v>
      </c>
      <c r="AH16" s="9">
        <v>9829753438</v>
      </c>
      <c r="AI16" s="10">
        <v>1575723005</v>
      </c>
      <c r="AJ16" s="9">
        <v>242607452</v>
      </c>
      <c r="AK16" s="10">
        <v>974756852</v>
      </c>
    </row>
    <row r="17" spans="1:37" ht="14.5" x14ac:dyDescent="0.35">
      <c r="A17" s="7" t="s">
        <v>69</v>
      </c>
      <c r="B17" s="9">
        <v>3871962902</v>
      </c>
      <c r="C17" s="9">
        <v>3426888396</v>
      </c>
      <c r="D17" s="9">
        <v>4169567937</v>
      </c>
      <c r="E17" s="9">
        <v>3952172828</v>
      </c>
      <c r="F17" s="9">
        <v>4367986057</v>
      </c>
      <c r="G17" s="9">
        <v>2989657064</v>
      </c>
      <c r="H17" s="9">
        <v>2739975361</v>
      </c>
      <c r="I17" s="9">
        <v>2450608281</v>
      </c>
      <c r="J17" s="9">
        <v>4397619319</v>
      </c>
      <c r="K17" s="9">
        <v>4825207207</v>
      </c>
      <c r="L17" s="9">
        <v>4637128760</v>
      </c>
      <c r="M17" s="9">
        <v>4583189473</v>
      </c>
      <c r="N17" s="9">
        <v>4575188513</v>
      </c>
      <c r="O17" s="9">
        <v>5157875968</v>
      </c>
      <c r="P17" s="9">
        <v>5283864245</v>
      </c>
      <c r="Q17" s="9">
        <v>5014196215</v>
      </c>
      <c r="R17" s="9">
        <v>5562424477</v>
      </c>
      <c r="S17" s="9">
        <v>5726893056</v>
      </c>
      <c r="T17" s="9">
        <v>4572344218</v>
      </c>
      <c r="U17" s="9">
        <v>5803017577</v>
      </c>
      <c r="V17" s="9">
        <v>8615726954</v>
      </c>
      <c r="W17" s="9">
        <v>7350205887</v>
      </c>
      <c r="X17" s="9">
        <v>4255459506</v>
      </c>
      <c r="Y17" s="9">
        <v>4909933946</v>
      </c>
      <c r="Z17" s="9" t="s">
        <v>65</v>
      </c>
      <c r="AB17" s="9">
        <v>1815041666</v>
      </c>
      <c r="AC17" s="10">
        <v>11854335466</v>
      </c>
      <c r="AD17" s="9">
        <v>1006659006</v>
      </c>
      <c r="AE17" s="10">
        <v>909602362</v>
      </c>
      <c r="AF17" s="9">
        <v>4367986057</v>
      </c>
      <c r="AG17" s="10">
        <v>2656663392</v>
      </c>
      <c r="AH17" s="9">
        <v>8344736176</v>
      </c>
      <c r="AI17" s="10">
        <v>1809024531</v>
      </c>
      <c r="AJ17" s="9">
        <v>248505067</v>
      </c>
      <c r="AK17" s="10">
        <v>750389703</v>
      </c>
    </row>
    <row r="18" spans="1:37" ht="14.5" x14ac:dyDescent="0.35">
      <c r="A18" s="7" t="s">
        <v>70</v>
      </c>
      <c r="B18" s="10">
        <v>1777419151</v>
      </c>
      <c r="C18" s="10">
        <v>1502152568</v>
      </c>
      <c r="D18" s="10">
        <v>1810619913</v>
      </c>
      <c r="E18" s="10">
        <v>2471678718</v>
      </c>
      <c r="F18" s="10">
        <v>2656663392</v>
      </c>
      <c r="G18" s="10">
        <v>1486666560</v>
      </c>
      <c r="H18" s="10">
        <v>1190585808</v>
      </c>
      <c r="I18" s="10">
        <v>970115632</v>
      </c>
      <c r="J18" s="10">
        <v>1324175774</v>
      </c>
      <c r="K18" s="10">
        <v>1412481317</v>
      </c>
      <c r="L18" s="10">
        <v>1524631941</v>
      </c>
      <c r="M18" s="10">
        <v>1451948419</v>
      </c>
      <c r="N18" s="10">
        <v>1221010611</v>
      </c>
      <c r="O18" s="10">
        <v>1299885958</v>
      </c>
      <c r="P18" s="10">
        <v>953414711</v>
      </c>
      <c r="Q18" s="10">
        <v>802702025</v>
      </c>
      <c r="R18" s="10">
        <v>855289556</v>
      </c>
      <c r="S18" s="10">
        <v>816746436</v>
      </c>
      <c r="T18" s="10">
        <v>651080723</v>
      </c>
      <c r="U18" s="10">
        <v>680585567</v>
      </c>
      <c r="V18" s="10">
        <v>901051883</v>
      </c>
      <c r="W18" s="10">
        <v>897852946</v>
      </c>
      <c r="X18" s="10">
        <v>806396974</v>
      </c>
      <c r="Y18" s="10">
        <v>836361115</v>
      </c>
      <c r="Z18" s="10" t="s">
        <v>65</v>
      </c>
      <c r="AB18" s="9">
        <v>1353428918</v>
      </c>
      <c r="AC18" s="10">
        <v>9118338136</v>
      </c>
      <c r="AD18" s="9">
        <v>462952597</v>
      </c>
      <c r="AE18" s="10">
        <v>403441571</v>
      </c>
      <c r="AF18" s="9">
        <v>2989657064</v>
      </c>
      <c r="AG18" s="10">
        <v>1486666560</v>
      </c>
      <c r="AH18" s="9">
        <v>6800669731</v>
      </c>
      <c r="AI18" s="10">
        <v>1439230344</v>
      </c>
      <c r="AJ18" s="9">
        <v>115814276</v>
      </c>
      <c r="AK18" s="10">
        <v>135525218</v>
      </c>
    </row>
    <row r="19" spans="1:37" ht="14.5" x14ac:dyDescent="0.35">
      <c r="A19" s="7" t="s">
        <v>71</v>
      </c>
      <c r="B19" s="9">
        <v>7371042141</v>
      </c>
      <c r="C19" s="9">
        <v>7864821353</v>
      </c>
      <c r="D19" s="9">
        <v>9345659209</v>
      </c>
      <c r="E19" s="9">
        <v>9829753438</v>
      </c>
      <c r="F19" s="9">
        <v>8344736176</v>
      </c>
      <c r="G19" s="9">
        <v>6800669731</v>
      </c>
      <c r="H19" s="9">
        <v>6347953512</v>
      </c>
      <c r="I19" s="9">
        <v>5695200765</v>
      </c>
      <c r="J19" s="9">
        <v>8909127161</v>
      </c>
      <c r="K19" s="9">
        <v>8604604035</v>
      </c>
      <c r="L19" s="9">
        <v>7485244611</v>
      </c>
      <c r="M19" s="9">
        <v>5586699271</v>
      </c>
      <c r="N19" s="9">
        <v>5640259711</v>
      </c>
      <c r="O19" s="9">
        <v>6417299532</v>
      </c>
      <c r="P19" s="9">
        <v>7102220651</v>
      </c>
      <c r="Q19" s="9">
        <v>11895712795</v>
      </c>
      <c r="R19" s="9">
        <v>12990231901</v>
      </c>
      <c r="S19" s="9">
        <v>13853179568</v>
      </c>
      <c r="T19" s="9">
        <v>12801360640</v>
      </c>
      <c r="U19" s="9">
        <v>14907739465</v>
      </c>
      <c r="V19" s="9">
        <v>21089618097</v>
      </c>
      <c r="W19" s="9">
        <v>19995827563</v>
      </c>
      <c r="X19" s="9">
        <v>15171683702</v>
      </c>
      <c r="Y19" s="9">
        <v>13083221581</v>
      </c>
      <c r="Z19" s="9" t="s">
        <v>65</v>
      </c>
      <c r="AB19" s="9">
        <v>1298073139</v>
      </c>
      <c r="AC19" s="10">
        <v>10028074832</v>
      </c>
      <c r="AD19" s="9">
        <v>571303968</v>
      </c>
      <c r="AE19" s="10">
        <v>474895013</v>
      </c>
      <c r="AF19" s="9">
        <v>2739975361</v>
      </c>
      <c r="AG19" s="10">
        <v>1190585808</v>
      </c>
      <c r="AH19" s="9">
        <v>6347953512</v>
      </c>
      <c r="AI19" s="10">
        <v>1195752529</v>
      </c>
      <c r="AJ19" s="9">
        <v>102404286</v>
      </c>
      <c r="AK19" s="10">
        <v>124143390</v>
      </c>
    </row>
    <row r="20" spans="1:37" ht="14.5" x14ac:dyDescent="0.35">
      <c r="A20" s="7" t="s">
        <v>72</v>
      </c>
      <c r="B20" s="10">
        <v>1352970368</v>
      </c>
      <c r="C20" s="10">
        <v>1314284036</v>
      </c>
      <c r="D20" s="10">
        <v>1504953676</v>
      </c>
      <c r="E20" s="10">
        <v>1575723005</v>
      </c>
      <c r="F20" s="10">
        <v>1809024531</v>
      </c>
      <c r="G20" s="10">
        <v>1439230344</v>
      </c>
      <c r="H20" s="10">
        <v>1195752529</v>
      </c>
      <c r="I20" s="10">
        <v>949160956</v>
      </c>
      <c r="J20" s="10">
        <v>1357254710</v>
      </c>
      <c r="K20" s="10">
        <v>1153045756</v>
      </c>
      <c r="L20" s="10">
        <v>1060802488</v>
      </c>
      <c r="M20" s="10">
        <v>1030942848</v>
      </c>
      <c r="N20" s="10">
        <v>1045560827</v>
      </c>
      <c r="O20" s="10">
        <v>1164472860</v>
      </c>
      <c r="P20" s="10">
        <v>1049242697</v>
      </c>
      <c r="Q20" s="10">
        <v>1052007172</v>
      </c>
      <c r="R20" s="10">
        <v>1068670431</v>
      </c>
      <c r="S20" s="10">
        <v>1059310358</v>
      </c>
      <c r="T20" s="10">
        <v>907032272</v>
      </c>
      <c r="U20" s="10">
        <v>1060922965</v>
      </c>
      <c r="V20" s="10">
        <v>1314787062</v>
      </c>
      <c r="W20" s="10">
        <v>1432256015</v>
      </c>
      <c r="X20" s="10">
        <v>1157089749</v>
      </c>
      <c r="Y20" s="10">
        <v>1275082289</v>
      </c>
      <c r="Z20" s="10" t="s">
        <v>65</v>
      </c>
      <c r="AB20" s="9">
        <v>1017991469</v>
      </c>
      <c r="AC20" s="10">
        <v>7101621662</v>
      </c>
      <c r="AD20" s="9">
        <v>310210360</v>
      </c>
      <c r="AE20" s="10">
        <v>665391998</v>
      </c>
      <c r="AF20" s="9">
        <v>2450608281</v>
      </c>
      <c r="AG20" s="10">
        <v>970115632</v>
      </c>
      <c r="AH20" s="9">
        <v>5695200765</v>
      </c>
      <c r="AI20" s="10">
        <v>949160956</v>
      </c>
      <c r="AJ20" s="9">
        <v>99567504</v>
      </c>
      <c r="AK20" s="10">
        <v>90221045</v>
      </c>
    </row>
    <row r="21" spans="1:37" ht="14.5" x14ac:dyDescent="0.35">
      <c r="A21" s="7" t="s">
        <v>73</v>
      </c>
      <c r="B21" s="9">
        <v>288948769</v>
      </c>
      <c r="C21" s="9">
        <v>302565555</v>
      </c>
      <c r="D21" s="9">
        <v>254504671</v>
      </c>
      <c r="E21" s="9">
        <v>242607452</v>
      </c>
      <c r="F21" s="9">
        <v>248505067</v>
      </c>
      <c r="G21" s="9">
        <v>115814276</v>
      </c>
      <c r="H21" s="9">
        <v>102404286</v>
      </c>
      <c r="I21" s="9">
        <v>99567504</v>
      </c>
      <c r="J21" s="9">
        <v>91079619</v>
      </c>
      <c r="K21" s="9">
        <v>110813114</v>
      </c>
      <c r="L21" s="9">
        <v>191096604</v>
      </c>
      <c r="M21" s="9">
        <v>160454546</v>
      </c>
      <c r="N21" s="9">
        <v>88837461</v>
      </c>
      <c r="O21" s="9">
        <v>75074895</v>
      </c>
      <c r="P21" s="9">
        <v>116746742</v>
      </c>
      <c r="Q21" s="9">
        <v>69600186</v>
      </c>
      <c r="R21" s="9">
        <v>69870524</v>
      </c>
      <c r="S21" s="9">
        <v>319718786</v>
      </c>
      <c r="T21" s="9">
        <v>345194908</v>
      </c>
      <c r="U21" s="9">
        <v>476790869</v>
      </c>
      <c r="V21" s="9">
        <v>1082194597</v>
      </c>
      <c r="W21" s="9">
        <v>812961795</v>
      </c>
      <c r="X21" s="9">
        <v>876276155</v>
      </c>
      <c r="Y21" s="9">
        <v>718725956</v>
      </c>
      <c r="Z21" s="9" t="s">
        <v>65</v>
      </c>
      <c r="AB21" s="9">
        <v>1430671054</v>
      </c>
      <c r="AC21" s="10">
        <v>11039308306</v>
      </c>
      <c r="AD21" s="9">
        <v>171285266</v>
      </c>
      <c r="AE21" s="10">
        <v>1404770737</v>
      </c>
      <c r="AF21" s="9">
        <v>4397619319</v>
      </c>
      <c r="AG21" s="10">
        <v>1324175774</v>
      </c>
      <c r="AH21" s="9">
        <v>8909127161</v>
      </c>
      <c r="AI21" s="10">
        <v>1357254710</v>
      </c>
      <c r="AJ21" s="9">
        <v>91079619</v>
      </c>
      <c r="AK21" s="10">
        <v>85307021</v>
      </c>
    </row>
    <row r="22" spans="1:37" ht="14.5" x14ac:dyDescent="0.35">
      <c r="A22" s="7" t="s">
        <v>74</v>
      </c>
      <c r="B22" s="10">
        <v>849200931</v>
      </c>
      <c r="C22" s="10">
        <v>606864113</v>
      </c>
      <c r="D22" s="10">
        <v>915828379</v>
      </c>
      <c r="E22" s="10">
        <v>974756852</v>
      </c>
      <c r="F22" s="10">
        <v>750389703</v>
      </c>
      <c r="G22" s="10">
        <v>135525218</v>
      </c>
      <c r="H22" s="10">
        <v>124143390</v>
      </c>
      <c r="I22" s="10">
        <v>90221045</v>
      </c>
      <c r="J22" s="10">
        <v>85307021</v>
      </c>
      <c r="K22" s="10">
        <v>90524160</v>
      </c>
      <c r="L22" s="10">
        <v>94184662</v>
      </c>
      <c r="M22" s="10">
        <v>102679322</v>
      </c>
      <c r="N22" s="10">
        <v>134514086</v>
      </c>
      <c r="O22" s="10">
        <v>146134713</v>
      </c>
      <c r="P22" s="10">
        <v>155044460</v>
      </c>
      <c r="Q22" s="10">
        <v>150414826</v>
      </c>
      <c r="R22" s="10">
        <v>130594934</v>
      </c>
      <c r="S22" s="10">
        <v>102345028</v>
      </c>
      <c r="T22" s="10">
        <v>69796620</v>
      </c>
      <c r="U22" s="10">
        <v>61355522</v>
      </c>
      <c r="V22" s="10">
        <v>102590014</v>
      </c>
      <c r="W22" s="10">
        <v>90778962</v>
      </c>
      <c r="X22" s="10">
        <v>98156736</v>
      </c>
      <c r="Y22" s="10">
        <v>107116902</v>
      </c>
      <c r="Z22" s="10" t="s">
        <v>65</v>
      </c>
      <c r="AB22" s="9">
        <v>1460491761</v>
      </c>
      <c r="AC22" s="10">
        <v>10215063390</v>
      </c>
      <c r="AD22" s="9">
        <v>117347376</v>
      </c>
      <c r="AE22" s="10">
        <v>1016241200</v>
      </c>
      <c r="AF22" s="9">
        <v>4825207207</v>
      </c>
      <c r="AG22" s="10">
        <v>1412481317</v>
      </c>
      <c r="AH22" s="9">
        <v>8604604035</v>
      </c>
      <c r="AI22" s="10">
        <v>1153045756</v>
      </c>
      <c r="AJ22" s="9">
        <v>110813114</v>
      </c>
      <c r="AK22" s="10">
        <v>90524160</v>
      </c>
    </row>
    <row r="23" spans="1:37" ht="11.4" customHeight="1" x14ac:dyDescent="0.35">
      <c r="AB23" s="9">
        <v>1169877579</v>
      </c>
      <c r="AC23" s="10">
        <v>8269043022</v>
      </c>
      <c r="AD23" s="9">
        <v>137348478</v>
      </c>
      <c r="AE23" s="10">
        <v>417361009</v>
      </c>
      <c r="AF23" s="9">
        <v>4637128760</v>
      </c>
      <c r="AG23" s="10">
        <v>1524631941</v>
      </c>
      <c r="AH23" s="9">
        <v>7485244611</v>
      </c>
      <c r="AI23" s="10">
        <v>1060802488</v>
      </c>
      <c r="AJ23" s="9">
        <v>191096604</v>
      </c>
      <c r="AK23" s="10">
        <v>94184662</v>
      </c>
    </row>
    <row r="24" spans="1:37" ht="14.5" x14ac:dyDescent="0.35">
      <c r="A24" s="1" t="s">
        <v>75</v>
      </c>
      <c r="AB24" s="9">
        <v>602667860</v>
      </c>
      <c r="AC24" s="10">
        <v>7941392046</v>
      </c>
      <c r="AD24" s="9">
        <v>91505154</v>
      </c>
      <c r="AE24" s="10">
        <v>260183468</v>
      </c>
      <c r="AF24" s="9">
        <v>4583189473</v>
      </c>
      <c r="AG24" s="10">
        <v>1451948419</v>
      </c>
      <c r="AH24" s="9">
        <v>5586699271</v>
      </c>
      <c r="AI24" s="10">
        <v>1030942848</v>
      </c>
      <c r="AJ24" s="9">
        <v>160454546</v>
      </c>
      <c r="AK24" s="10">
        <v>102679322</v>
      </c>
    </row>
    <row r="25" spans="1:37" ht="14.5" x14ac:dyDescent="0.35">
      <c r="A25" s="1" t="s">
        <v>65</v>
      </c>
      <c r="B25" s="2" t="s">
        <v>76</v>
      </c>
      <c r="AB25" s="9">
        <v>529968557</v>
      </c>
      <c r="AC25" s="10">
        <v>8321605393</v>
      </c>
      <c r="AD25" s="9">
        <v>83765785</v>
      </c>
      <c r="AE25" s="10">
        <v>240871291</v>
      </c>
      <c r="AF25" s="9">
        <v>4575188513</v>
      </c>
      <c r="AG25" s="10">
        <v>1221010611</v>
      </c>
      <c r="AH25" s="9">
        <v>5640259711</v>
      </c>
      <c r="AI25" s="10">
        <v>1045560827</v>
      </c>
      <c r="AJ25" s="9">
        <v>88837461</v>
      </c>
      <c r="AK25" s="10">
        <v>134514086</v>
      </c>
    </row>
    <row r="26" spans="1:37" ht="11.4" customHeight="1" x14ac:dyDescent="0.35">
      <c r="AB26" s="9">
        <v>614087250</v>
      </c>
      <c r="AC26" s="10">
        <v>9617628661</v>
      </c>
      <c r="AD26" s="9">
        <v>70508280</v>
      </c>
      <c r="AE26" s="10">
        <v>258875008</v>
      </c>
      <c r="AF26" s="9">
        <v>5157875968</v>
      </c>
      <c r="AG26" s="10">
        <v>1299885958</v>
      </c>
      <c r="AH26" s="9">
        <v>6417299532</v>
      </c>
      <c r="AI26" s="10">
        <v>1164472860</v>
      </c>
      <c r="AJ26" s="9">
        <v>75074895</v>
      </c>
      <c r="AK26" s="10">
        <v>146134713</v>
      </c>
    </row>
    <row r="27" spans="1:37" ht="11.4" customHeight="1" x14ac:dyDescent="0.35">
      <c r="AB27" s="9">
        <v>538983546</v>
      </c>
      <c r="AC27" s="10">
        <v>10192948389</v>
      </c>
      <c r="AD27" s="9">
        <v>66563742</v>
      </c>
      <c r="AE27" s="10">
        <v>390205907</v>
      </c>
      <c r="AF27" s="9">
        <v>5283864245</v>
      </c>
      <c r="AG27" s="10">
        <v>953414711</v>
      </c>
      <c r="AH27" s="9">
        <v>7102220651</v>
      </c>
      <c r="AI27" s="10">
        <v>1049242697</v>
      </c>
      <c r="AJ27" s="9">
        <v>116746742</v>
      </c>
      <c r="AK27" s="10">
        <v>155044460</v>
      </c>
    </row>
    <row r="28" spans="1:37" ht="11.4" customHeight="1" x14ac:dyDescent="0.35">
      <c r="AB28" s="9">
        <v>596436628</v>
      </c>
      <c r="AC28" s="10">
        <v>11784749406</v>
      </c>
      <c r="AD28" s="9">
        <v>67053348</v>
      </c>
      <c r="AE28" s="10">
        <v>361561717</v>
      </c>
      <c r="AF28" s="9">
        <v>5014196215</v>
      </c>
      <c r="AG28" s="10">
        <v>802702025</v>
      </c>
      <c r="AH28" s="9">
        <v>11895712795</v>
      </c>
      <c r="AI28" s="10">
        <v>1052007172</v>
      </c>
      <c r="AJ28" s="9">
        <v>69600186</v>
      </c>
      <c r="AK28" s="10">
        <v>150414826</v>
      </c>
    </row>
    <row r="29" spans="1:37" ht="11.4" customHeight="1" x14ac:dyDescent="0.35">
      <c r="AB29" s="9">
        <v>551314382</v>
      </c>
      <c r="AC29" s="10">
        <v>12222425027</v>
      </c>
      <c r="AD29" s="9">
        <v>77060233</v>
      </c>
      <c r="AE29" s="10">
        <v>390587992</v>
      </c>
      <c r="AF29" s="9">
        <v>5562424477</v>
      </c>
      <c r="AG29" s="10">
        <v>855289556</v>
      </c>
      <c r="AH29" s="9">
        <v>12990231901</v>
      </c>
      <c r="AI29" s="10">
        <v>1068670431</v>
      </c>
      <c r="AJ29" s="9">
        <v>69870524</v>
      </c>
      <c r="AK29" s="10">
        <v>130594934</v>
      </c>
    </row>
    <row r="30" spans="1:37" ht="11.4" customHeight="1" x14ac:dyDescent="0.35">
      <c r="AB30" s="9">
        <v>1281189345</v>
      </c>
      <c r="AC30" s="10">
        <v>11683475409</v>
      </c>
      <c r="AD30" s="9">
        <v>66749023</v>
      </c>
      <c r="AE30" s="10">
        <v>426382304</v>
      </c>
      <c r="AF30" s="9">
        <v>5726893056</v>
      </c>
      <c r="AG30" s="10">
        <v>816746436</v>
      </c>
      <c r="AH30" s="9">
        <v>13853179568</v>
      </c>
      <c r="AI30" s="10">
        <v>1059310358</v>
      </c>
      <c r="AJ30" s="9">
        <v>319718786</v>
      </c>
      <c r="AK30" s="10">
        <v>102345028</v>
      </c>
    </row>
    <row r="31" spans="1:37" ht="11.4" customHeight="1" x14ac:dyDescent="0.35">
      <c r="AB31" s="9">
        <v>1370377819</v>
      </c>
      <c r="AC31" s="10">
        <v>9114643871</v>
      </c>
      <c r="AD31" s="9">
        <v>87717238</v>
      </c>
      <c r="AE31" s="10">
        <v>446923470</v>
      </c>
      <c r="AF31" s="9">
        <v>4572344218</v>
      </c>
      <c r="AG31" s="10">
        <v>651080723</v>
      </c>
      <c r="AH31" s="9">
        <v>12801360640</v>
      </c>
      <c r="AI31" s="10">
        <v>907032272</v>
      </c>
      <c r="AJ31" s="9">
        <v>345194908</v>
      </c>
      <c r="AK31" s="10">
        <v>69796620</v>
      </c>
    </row>
    <row r="32" spans="1:37" ht="11.4" customHeight="1" x14ac:dyDescent="0.35">
      <c r="AB32" s="9">
        <v>1490141643</v>
      </c>
      <c r="AC32" s="10">
        <v>11382233779</v>
      </c>
      <c r="AD32" s="9">
        <v>229681149</v>
      </c>
      <c r="AE32" s="10">
        <v>512242464</v>
      </c>
      <c r="AF32" s="9">
        <v>5803017577</v>
      </c>
      <c r="AG32" s="10">
        <v>680585567</v>
      </c>
      <c r="AH32" s="9">
        <v>14907739465</v>
      </c>
      <c r="AI32" s="10">
        <v>1060922965</v>
      </c>
      <c r="AJ32" s="9">
        <v>476790869</v>
      </c>
      <c r="AK32" s="10">
        <v>61355522</v>
      </c>
    </row>
    <row r="33" spans="28:37" ht="11.4" customHeight="1" x14ac:dyDescent="0.35">
      <c r="AB33" s="9">
        <v>2136503873</v>
      </c>
      <c r="AC33" s="10">
        <v>15952919483</v>
      </c>
      <c r="AD33" s="9">
        <v>178043020</v>
      </c>
      <c r="AE33" s="10">
        <v>640229627</v>
      </c>
      <c r="AF33" s="9">
        <v>8615726954</v>
      </c>
      <c r="AG33" s="10">
        <v>901051883</v>
      </c>
      <c r="AH33" s="9">
        <v>21089618097</v>
      </c>
      <c r="AI33" s="10">
        <v>1314787062</v>
      </c>
      <c r="AJ33" s="9">
        <v>1082194597</v>
      </c>
      <c r="AK33" s="10">
        <v>102590014</v>
      </c>
    </row>
    <row r="34" spans="28:37" ht="11.4" customHeight="1" x14ac:dyDescent="0.35">
      <c r="AB34" s="9">
        <v>2736369665</v>
      </c>
      <c r="AC34" s="10">
        <v>17334784700</v>
      </c>
      <c r="AD34" s="9">
        <v>96854406</v>
      </c>
      <c r="AE34" s="10">
        <v>697597661</v>
      </c>
      <c r="AF34" s="9">
        <v>7350205887</v>
      </c>
      <c r="AG34" s="10">
        <v>897852946</v>
      </c>
      <c r="AH34" s="9">
        <v>19995827563</v>
      </c>
      <c r="AI34" s="10">
        <v>1432256015</v>
      </c>
      <c r="AJ34" s="9">
        <v>812961795</v>
      </c>
      <c r="AK34" s="10">
        <v>90778962</v>
      </c>
    </row>
    <row r="35" spans="28:37" ht="11.4" customHeight="1" x14ac:dyDescent="0.35">
      <c r="AB35" s="9">
        <v>2018404300</v>
      </c>
      <c r="AC35" s="10">
        <v>14690619168</v>
      </c>
      <c r="AD35" s="9">
        <v>86305738</v>
      </c>
      <c r="AE35" s="10">
        <v>641670254</v>
      </c>
      <c r="AF35" s="9">
        <v>4255459506</v>
      </c>
      <c r="AG35" s="10">
        <v>806396974</v>
      </c>
      <c r="AH35" s="9">
        <v>15171683702</v>
      </c>
      <c r="AI35" s="10">
        <v>1157089749</v>
      </c>
      <c r="AJ35" s="9">
        <v>876276155</v>
      </c>
      <c r="AK35" s="10">
        <v>98156736</v>
      </c>
    </row>
    <row r="36" spans="28:37" ht="11.4" customHeight="1" x14ac:dyDescent="0.35">
      <c r="AB36" s="9">
        <v>1907429175</v>
      </c>
      <c r="AC36" s="10">
        <v>14811890230</v>
      </c>
      <c r="AD36" s="9">
        <v>104085451</v>
      </c>
      <c r="AE36" s="10">
        <v>711234615</v>
      </c>
      <c r="AF36" s="9">
        <v>4909933946</v>
      </c>
      <c r="AG36" s="10">
        <v>836361115</v>
      </c>
      <c r="AH36" s="9">
        <v>13083221581</v>
      </c>
      <c r="AI36" s="10">
        <v>1275082289</v>
      </c>
      <c r="AJ36" s="9">
        <v>718725956</v>
      </c>
      <c r="AK36" s="10">
        <v>107116902</v>
      </c>
    </row>
  </sheetData>
  <pageMargins left="0.7" right="0.7" top="0.75" bottom="0.75" header="0.3" footer="0.3"/>
  <headerFooter>
    <oddHeader>&amp;L&amp;"Aptos"&amp;10&amp;K7FAA39 | DNB PUBLIC |&amp;1#_x000D_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K36"/>
  <sheetViews>
    <sheetView workbookViewId="0">
      <pane xSplit="1" ySplit="12" topLeftCell="B13" activePane="bottomRight" state="frozen"/>
      <selection pane="topRight"/>
      <selection pane="bottomLeft"/>
      <selection pane="bottomRight" activeCell="B13" sqref="B13"/>
    </sheetView>
  </sheetViews>
  <sheetFormatPr defaultRowHeight="11.4" customHeight="1" x14ac:dyDescent="0.35"/>
  <cols>
    <col min="1" max="1" width="29.90625" customWidth="1"/>
    <col min="2" max="26" width="10" customWidth="1"/>
  </cols>
  <sheetData>
    <row r="1" spans="1:37" ht="14.5" x14ac:dyDescent="0.35">
      <c r="A1" s="2" t="s">
        <v>77</v>
      </c>
    </row>
    <row r="2" spans="1:37" ht="14.5" x14ac:dyDescent="0.35">
      <c r="A2" s="2" t="s">
        <v>32</v>
      </c>
      <c r="B2" s="1" t="s">
        <v>0</v>
      </c>
    </row>
    <row r="3" spans="1:37" ht="14.5" x14ac:dyDescent="0.35">
      <c r="A3" s="2" t="s">
        <v>33</v>
      </c>
      <c r="B3" s="2" t="s">
        <v>6</v>
      </c>
    </row>
    <row r="4" spans="1:37" ht="14.5" x14ac:dyDescent="0.35"/>
    <row r="5" spans="1:37" ht="14.5" x14ac:dyDescent="0.35">
      <c r="A5" s="1" t="s">
        <v>11</v>
      </c>
      <c r="C5" s="2" t="s">
        <v>27</v>
      </c>
    </row>
    <row r="6" spans="1:37" ht="14.5" x14ac:dyDescent="0.35">
      <c r="A6" s="1" t="s">
        <v>12</v>
      </c>
      <c r="C6" s="2" t="s">
        <v>23</v>
      </c>
    </row>
    <row r="7" spans="1:37" ht="14.5" x14ac:dyDescent="0.35">
      <c r="A7" s="1" t="s">
        <v>13</v>
      </c>
      <c r="C7" s="2" t="s">
        <v>18</v>
      </c>
    </row>
    <row r="8" spans="1:37" ht="14.5" x14ac:dyDescent="0.35">
      <c r="A8" s="1" t="s">
        <v>14</v>
      </c>
      <c r="C8" s="2" t="s">
        <v>19</v>
      </c>
    </row>
    <row r="9" spans="1:37" ht="14.5" x14ac:dyDescent="0.35"/>
    <row r="10" spans="1:37" ht="14.5" x14ac:dyDescent="0.35">
      <c r="A10" s="5" t="s">
        <v>34</v>
      </c>
      <c r="B10" s="4" t="s">
        <v>35</v>
      </c>
      <c r="C10" s="4" t="s">
        <v>36</v>
      </c>
      <c r="D10" s="4" t="s">
        <v>37</v>
      </c>
      <c r="E10" s="4" t="s">
        <v>38</v>
      </c>
      <c r="F10" s="4" t="s">
        <v>39</v>
      </c>
      <c r="G10" s="4" t="s">
        <v>40</v>
      </c>
      <c r="H10" s="4" t="s">
        <v>41</v>
      </c>
      <c r="I10" s="4" t="s">
        <v>42</v>
      </c>
      <c r="J10" s="4" t="s">
        <v>43</v>
      </c>
      <c r="K10" s="4" t="s">
        <v>44</v>
      </c>
      <c r="L10" s="4" t="s">
        <v>45</v>
      </c>
      <c r="M10" s="4" t="s">
        <v>46</v>
      </c>
      <c r="N10" s="4" t="s">
        <v>47</v>
      </c>
      <c r="O10" s="4" t="s">
        <v>48</v>
      </c>
      <c r="P10" s="4" t="s">
        <v>49</v>
      </c>
      <c r="Q10" s="4" t="s">
        <v>50</v>
      </c>
      <c r="R10" s="4" t="s">
        <v>51</v>
      </c>
      <c r="S10" s="4" t="s">
        <v>52</v>
      </c>
      <c r="T10" s="4" t="s">
        <v>53</v>
      </c>
      <c r="U10" s="4" t="s">
        <v>54</v>
      </c>
      <c r="V10" s="4" t="s">
        <v>55</v>
      </c>
      <c r="W10" s="4" t="s">
        <v>56</v>
      </c>
      <c r="X10" s="4" t="s">
        <v>57</v>
      </c>
      <c r="Y10" s="4" t="s">
        <v>58</v>
      </c>
      <c r="Z10" s="4" t="s">
        <v>59</v>
      </c>
    </row>
    <row r="11" spans="1:37" ht="14.5" x14ac:dyDescent="0.35">
      <c r="A11" s="5" t="s">
        <v>60</v>
      </c>
      <c r="B11" s="3" t="s">
        <v>61</v>
      </c>
      <c r="C11" s="3" t="s">
        <v>61</v>
      </c>
      <c r="D11" s="3" t="s">
        <v>61</v>
      </c>
      <c r="E11" s="3" t="s">
        <v>61</v>
      </c>
      <c r="F11" s="3" t="s">
        <v>61</v>
      </c>
      <c r="G11" s="3" t="s">
        <v>61</v>
      </c>
      <c r="H11" s="3" t="s">
        <v>61</v>
      </c>
      <c r="I11" s="3" t="s">
        <v>61</v>
      </c>
      <c r="J11" s="3" t="s">
        <v>61</v>
      </c>
      <c r="K11" s="3" t="s">
        <v>61</v>
      </c>
      <c r="L11" s="3" t="s">
        <v>61</v>
      </c>
      <c r="M11" s="3" t="s">
        <v>61</v>
      </c>
      <c r="N11" s="3" t="s">
        <v>61</v>
      </c>
      <c r="O11" s="3" t="s">
        <v>61</v>
      </c>
      <c r="P11" s="3" t="s">
        <v>61</v>
      </c>
      <c r="Q11" s="3" t="s">
        <v>61</v>
      </c>
      <c r="R11" s="3" t="s">
        <v>61</v>
      </c>
      <c r="S11" s="3" t="s">
        <v>61</v>
      </c>
      <c r="T11" s="3" t="s">
        <v>61</v>
      </c>
      <c r="U11" s="3" t="s">
        <v>61</v>
      </c>
      <c r="V11" s="3" t="s">
        <v>61</v>
      </c>
      <c r="W11" s="3" t="s">
        <v>61</v>
      </c>
      <c r="X11" s="3" t="s">
        <v>61</v>
      </c>
      <c r="Y11" s="3" t="s">
        <v>61</v>
      </c>
      <c r="Z11" s="3" t="s">
        <v>61</v>
      </c>
    </row>
    <row r="12" spans="1:37" ht="14.5" x14ac:dyDescent="0.35">
      <c r="A12" s="6" t="s">
        <v>62</v>
      </c>
      <c r="B12" s="8" t="s">
        <v>63</v>
      </c>
      <c r="C12" s="8" t="s">
        <v>63</v>
      </c>
      <c r="D12" s="8" t="s">
        <v>63</v>
      </c>
      <c r="E12" s="8" t="s">
        <v>63</v>
      </c>
      <c r="F12" s="8" t="s">
        <v>63</v>
      </c>
      <c r="G12" s="8" t="s">
        <v>63</v>
      </c>
      <c r="H12" s="8" t="s">
        <v>63</v>
      </c>
      <c r="I12" s="8" t="s">
        <v>63</v>
      </c>
      <c r="J12" s="8" t="s">
        <v>63</v>
      </c>
      <c r="K12" s="8" t="s">
        <v>63</v>
      </c>
      <c r="L12" s="8" t="s">
        <v>63</v>
      </c>
      <c r="M12" s="8" t="s">
        <v>63</v>
      </c>
      <c r="N12" s="8" t="s">
        <v>63</v>
      </c>
      <c r="O12" s="8" t="s">
        <v>63</v>
      </c>
      <c r="P12" s="8" t="s">
        <v>63</v>
      </c>
      <c r="Q12" s="8" t="s">
        <v>63</v>
      </c>
      <c r="R12" s="8" t="s">
        <v>63</v>
      </c>
      <c r="S12" s="8" t="s">
        <v>63</v>
      </c>
      <c r="T12" s="8" t="s">
        <v>63</v>
      </c>
      <c r="U12" s="8" t="s">
        <v>63</v>
      </c>
      <c r="V12" s="8" t="s">
        <v>63</v>
      </c>
      <c r="W12" s="8" t="s">
        <v>63</v>
      </c>
      <c r="X12" s="8" t="s">
        <v>63</v>
      </c>
      <c r="Y12" s="8" t="s">
        <v>63</v>
      </c>
      <c r="Z12" s="8" t="s">
        <v>63</v>
      </c>
      <c r="AB12" t="s">
        <v>83</v>
      </c>
      <c r="AC12" t="s">
        <v>84</v>
      </c>
      <c r="AD12" t="s">
        <v>88</v>
      </c>
      <c r="AE12" t="s">
        <v>85</v>
      </c>
      <c r="AF12" t="s">
        <v>87</v>
      </c>
      <c r="AG12" t="s">
        <v>89</v>
      </c>
      <c r="AH12" t="s">
        <v>90</v>
      </c>
      <c r="AI12" t="s">
        <v>82</v>
      </c>
      <c r="AJ12" t="s">
        <v>91</v>
      </c>
      <c r="AK12" t="s">
        <v>86</v>
      </c>
    </row>
    <row r="13" spans="1:37" ht="14.5" x14ac:dyDescent="0.35">
      <c r="A13" s="7" t="s">
        <v>64</v>
      </c>
      <c r="B13" s="9">
        <v>3566748925</v>
      </c>
      <c r="C13" s="9">
        <v>3763267702</v>
      </c>
      <c r="D13" s="9">
        <v>3901363053</v>
      </c>
      <c r="E13" s="9">
        <v>3767692271</v>
      </c>
      <c r="F13" s="9">
        <v>3367378483</v>
      </c>
      <c r="G13" s="9">
        <v>2168802076</v>
      </c>
      <c r="H13" s="9">
        <v>2154519026</v>
      </c>
      <c r="I13" s="9">
        <v>1798935869</v>
      </c>
      <c r="J13" s="9">
        <v>1776445643</v>
      </c>
      <c r="K13" s="9">
        <v>2282215760</v>
      </c>
      <c r="L13" s="9">
        <v>2315711787</v>
      </c>
      <c r="M13" s="9">
        <v>2128746120</v>
      </c>
      <c r="N13" s="9">
        <v>1923301526</v>
      </c>
      <c r="O13" s="9">
        <v>2326036813</v>
      </c>
      <c r="P13" s="9">
        <v>2083267282</v>
      </c>
      <c r="Q13" s="9">
        <v>2083629976</v>
      </c>
      <c r="R13" s="9">
        <v>1876954417</v>
      </c>
      <c r="S13" s="9">
        <v>1982565319</v>
      </c>
      <c r="T13" s="9">
        <v>1691532355</v>
      </c>
      <c r="U13" s="9">
        <v>1805579275</v>
      </c>
      <c r="V13" s="9">
        <v>2067336971</v>
      </c>
      <c r="W13" s="9">
        <v>2326057934</v>
      </c>
      <c r="X13" s="9">
        <v>2561548214</v>
      </c>
      <c r="Y13" s="9">
        <v>2536421721</v>
      </c>
      <c r="Z13" s="9" t="s">
        <v>65</v>
      </c>
      <c r="AB13" s="9">
        <v>3566748925</v>
      </c>
      <c r="AC13" s="10">
        <v>11450432343</v>
      </c>
      <c r="AD13" s="9">
        <v>10760016417</v>
      </c>
      <c r="AE13" s="10">
        <v>925869630</v>
      </c>
      <c r="AF13" s="9">
        <v>5175774031</v>
      </c>
      <c r="AG13" s="10">
        <v>1609315060</v>
      </c>
      <c r="AH13" s="9">
        <v>21793371470</v>
      </c>
      <c r="AI13" s="10">
        <v>1050392413</v>
      </c>
      <c r="AJ13" s="9">
        <v>203717871</v>
      </c>
      <c r="AK13" s="10">
        <v>94981548</v>
      </c>
    </row>
    <row r="14" spans="1:37" ht="14.5" x14ac:dyDescent="0.35">
      <c r="A14" s="7" t="s">
        <v>66</v>
      </c>
      <c r="B14" s="10">
        <v>11450432343</v>
      </c>
      <c r="C14" s="10">
        <v>13042102456</v>
      </c>
      <c r="D14" s="10">
        <v>16452120131</v>
      </c>
      <c r="E14" s="10">
        <v>16171932512</v>
      </c>
      <c r="F14" s="10">
        <v>17406090839</v>
      </c>
      <c r="G14" s="10">
        <v>13509578480</v>
      </c>
      <c r="H14" s="10">
        <v>11357148127</v>
      </c>
      <c r="I14" s="10">
        <v>9650349496</v>
      </c>
      <c r="J14" s="10">
        <v>10487039309</v>
      </c>
      <c r="K14" s="10">
        <v>10059567157</v>
      </c>
      <c r="L14" s="10">
        <v>9804670867</v>
      </c>
      <c r="M14" s="10">
        <v>9496742984</v>
      </c>
      <c r="N14" s="10">
        <v>11139925153</v>
      </c>
      <c r="O14" s="10">
        <v>13141494101</v>
      </c>
      <c r="P14" s="10">
        <v>12991825477</v>
      </c>
      <c r="Q14" s="10">
        <v>16011151774</v>
      </c>
      <c r="R14" s="10">
        <v>17643141437</v>
      </c>
      <c r="S14" s="10">
        <v>16856161693</v>
      </c>
      <c r="T14" s="10">
        <v>15642394202</v>
      </c>
      <c r="U14" s="10">
        <v>18440287700</v>
      </c>
      <c r="V14" s="10">
        <v>17550326843</v>
      </c>
      <c r="W14" s="10">
        <v>15532093778</v>
      </c>
      <c r="X14" s="10">
        <v>15806988735</v>
      </c>
      <c r="Y14" s="10">
        <v>17385415814</v>
      </c>
      <c r="Z14" s="10" t="s">
        <v>65</v>
      </c>
      <c r="AB14" s="9">
        <v>3763267702</v>
      </c>
      <c r="AC14" s="10">
        <v>13042102456</v>
      </c>
      <c r="AD14" s="9">
        <v>9958379315</v>
      </c>
      <c r="AE14" s="10">
        <v>907574813</v>
      </c>
      <c r="AF14" s="9">
        <v>4534392671</v>
      </c>
      <c r="AG14" s="10">
        <v>1402154932</v>
      </c>
      <c r="AH14" s="9">
        <v>20828817992</v>
      </c>
      <c r="AI14" s="10">
        <v>1057292411</v>
      </c>
      <c r="AJ14" s="9">
        <v>255343889</v>
      </c>
      <c r="AK14" s="10">
        <v>82416549</v>
      </c>
    </row>
    <row r="15" spans="1:37" ht="14.5" x14ac:dyDescent="0.35">
      <c r="A15" s="7" t="s">
        <v>67</v>
      </c>
      <c r="B15" s="9">
        <v>10760016417</v>
      </c>
      <c r="C15" s="9">
        <v>9958379315</v>
      </c>
      <c r="D15" s="9">
        <v>9476578267</v>
      </c>
      <c r="E15" s="9">
        <v>9913028462</v>
      </c>
      <c r="F15" s="9">
        <v>9832409661</v>
      </c>
      <c r="G15" s="9">
        <v>8664908892</v>
      </c>
      <c r="H15" s="9">
        <v>5930592286</v>
      </c>
      <c r="I15" s="9">
        <v>3438862946</v>
      </c>
      <c r="J15" s="9">
        <v>2156350935</v>
      </c>
      <c r="K15" s="9">
        <v>1728132782</v>
      </c>
      <c r="L15" s="9">
        <v>1691333667</v>
      </c>
      <c r="M15" s="9">
        <v>2068707408</v>
      </c>
      <c r="N15" s="9">
        <v>2068571316</v>
      </c>
      <c r="O15" s="9">
        <v>2389983018</v>
      </c>
      <c r="P15" s="9">
        <v>2077859978</v>
      </c>
      <c r="Q15" s="9">
        <v>2049725604</v>
      </c>
      <c r="R15" s="9">
        <v>2668366305</v>
      </c>
      <c r="S15" s="9">
        <v>2836747798</v>
      </c>
      <c r="T15" s="9">
        <v>1945487101</v>
      </c>
      <c r="U15" s="9">
        <v>2404933306</v>
      </c>
      <c r="V15" s="9">
        <v>2852859169</v>
      </c>
      <c r="W15" s="9">
        <v>2514212359</v>
      </c>
      <c r="X15" s="9">
        <v>2648736899</v>
      </c>
      <c r="Y15" s="9">
        <v>4182466490</v>
      </c>
      <c r="Z15" s="9" t="s">
        <v>65</v>
      </c>
      <c r="AB15" s="9">
        <v>3901363053</v>
      </c>
      <c r="AC15" s="10">
        <v>16452120131</v>
      </c>
      <c r="AD15" s="9">
        <v>9476578267</v>
      </c>
      <c r="AE15" s="10">
        <v>944543579</v>
      </c>
      <c r="AF15" s="9">
        <v>4373516773</v>
      </c>
      <c r="AG15" s="10">
        <v>1329192926</v>
      </c>
      <c r="AH15" s="9">
        <v>24008709466</v>
      </c>
      <c r="AI15" s="10">
        <v>1381763681</v>
      </c>
      <c r="AJ15" s="9">
        <v>241620233</v>
      </c>
      <c r="AK15" s="10">
        <v>185919451</v>
      </c>
    </row>
    <row r="16" spans="1:37" ht="14.5" x14ac:dyDescent="0.35">
      <c r="A16" s="7" t="s">
        <v>68</v>
      </c>
      <c r="B16" s="10">
        <v>925869630</v>
      </c>
      <c r="C16" s="10">
        <v>907574813</v>
      </c>
      <c r="D16" s="10">
        <v>944543579</v>
      </c>
      <c r="E16" s="10">
        <v>904001553</v>
      </c>
      <c r="F16" s="10">
        <v>774563093</v>
      </c>
      <c r="G16" s="10">
        <v>637801732</v>
      </c>
      <c r="H16" s="10">
        <v>489510557</v>
      </c>
      <c r="I16" s="10">
        <v>554892384</v>
      </c>
      <c r="J16" s="10">
        <v>573011544</v>
      </c>
      <c r="K16" s="10">
        <v>583558056</v>
      </c>
      <c r="L16" s="10">
        <v>523966868</v>
      </c>
      <c r="M16" s="10">
        <v>544566023</v>
      </c>
      <c r="N16" s="10">
        <v>493504510</v>
      </c>
      <c r="O16" s="10">
        <v>585651648</v>
      </c>
      <c r="P16" s="10">
        <v>605963090</v>
      </c>
      <c r="Q16" s="10">
        <v>860832848</v>
      </c>
      <c r="R16" s="10">
        <v>777628704</v>
      </c>
      <c r="S16" s="10">
        <v>896647290</v>
      </c>
      <c r="T16" s="10">
        <v>894637078</v>
      </c>
      <c r="U16" s="10">
        <v>1057123323</v>
      </c>
      <c r="V16" s="10">
        <v>975739026</v>
      </c>
      <c r="W16" s="10">
        <v>995486710</v>
      </c>
      <c r="X16" s="10">
        <v>1058307592</v>
      </c>
      <c r="Y16" s="10">
        <v>1152041600</v>
      </c>
      <c r="Z16" s="10" t="s">
        <v>65</v>
      </c>
      <c r="AB16" s="9">
        <v>3767692271</v>
      </c>
      <c r="AC16" s="10">
        <v>16171932512</v>
      </c>
      <c r="AD16" s="9">
        <v>9913028462</v>
      </c>
      <c r="AE16" s="10">
        <v>904001553</v>
      </c>
      <c r="AF16" s="9">
        <v>3809169461</v>
      </c>
      <c r="AG16" s="10">
        <v>1405923829</v>
      </c>
      <c r="AH16" s="9">
        <v>29435643798</v>
      </c>
      <c r="AI16" s="10">
        <v>1060017068</v>
      </c>
      <c r="AJ16" s="9">
        <v>325143461</v>
      </c>
      <c r="AK16" s="10">
        <v>243283123</v>
      </c>
    </row>
    <row r="17" spans="1:37" ht="14.5" x14ac:dyDescent="0.35">
      <c r="A17" s="7" t="s">
        <v>69</v>
      </c>
      <c r="B17" s="9">
        <v>5175774031</v>
      </c>
      <c r="C17" s="9">
        <v>4534392671</v>
      </c>
      <c r="D17" s="9">
        <v>4373516773</v>
      </c>
      <c r="E17" s="9">
        <v>3809169461</v>
      </c>
      <c r="F17" s="9">
        <v>4292504574</v>
      </c>
      <c r="G17" s="9">
        <v>3763282347</v>
      </c>
      <c r="H17" s="9">
        <v>3503019268</v>
      </c>
      <c r="I17" s="9">
        <v>2241182702</v>
      </c>
      <c r="J17" s="9">
        <v>2252582006</v>
      </c>
      <c r="K17" s="9">
        <v>1974411487</v>
      </c>
      <c r="L17" s="9">
        <v>1830698279</v>
      </c>
      <c r="M17" s="9">
        <v>1828175678</v>
      </c>
      <c r="N17" s="9">
        <v>1835716764</v>
      </c>
      <c r="O17" s="9">
        <v>1714831893</v>
      </c>
      <c r="P17" s="9">
        <v>1696200557</v>
      </c>
      <c r="Q17" s="9">
        <v>1998333186</v>
      </c>
      <c r="R17" s="9">
        <v>2314276585</v>
      </c>
      <c r="S17" s="9">
        <v>2153352181</v>
      </c>
      <c r="T17" s="9">
        <v>1992181229</v>
      </c>
      <c r="U17" s="9">
        <v>2322907771</v>
      </c>
      <c r="V17" s="9">
        <v>2578457997</v>
      </c>
      <c r="W17" s="9">
        <v>2260850826</v>
      </c>
      <c r="X17" s="9">
        <v>2617639393</v>
      </c>
      <c r="Y17" s="9">
        <v>2990286504</v>
      </c>
      <c r="Z17" s="9" t="s">
        <v>65</v>
      </c>
      <c r="AB17" s="9">
        <v>3367378483</v>
      </c>
      <c r="AC17" s="10">
        <v>17406090839</v>
      </c>
      <c r="AD17" s="9">
        <v>9832409661</v>
      </c>
      <c r="AE17" s="10">
        <v>774563093</v>
      </c>
      <c r="AF17" s="9">
        <v>4292504574</v>
      </c>
      <c r="AG17" s="10">
        <v>1074229915</v>
      </c>
      <c r="AH17" s="9">
        <v>32973616274</v>
      </c>
      <c r="AI17" s="10">
        <v>1031691758</v>
      </c>
      <c r="AJ17" s="9">
        <v>273674762</v>
      </c>
      <c r="AK17" s="10">
        <v>281491935</v>
      </c>
    </row>
    <row r="18" spans="1:37" ht="14.5" x14ac:dyDescent="0.35">
      <c r="A18" s="7" t="s">
        <v>70</v>
      </c>
      <c r="B18" s="10">
        <v>1609315060</v>
      </c>
      <c r="C18" s="10">
        <v>1402154932</v>
      </c>
      <c r="D18" s="10">
        <v>1329192926</v>
      </c>
      <c r="E18" s="10">
        <v>1405923829</v>
      </c>
      <c r="F18" s="10">
        <v>1074229915</v>
      </c>
      <c r="G18" s="10">
        <v>899745755</v>
      </c>
      <c r="H18" s="10">
        <v>799948757</v>
      </c>
      <c r="I18" s="10">
        <v>804469247</v>
      </c>
      <c r="J18" s="10">
        <v>920734849</v>
      </c>
      <c r="K18" s="10">
        <v>1307333329</v>
      </c>
      <c r="L18" s="10">
        <v>1370145955</v>
      </c>
      <c r="M18" s="10">
        <v>1254504026</v>
      </c>
      <c r="N18" s="10">
        <v>1215471756</v>
      </c>
      <c r="O18" s="10">
        <v>1274661313</v>
      </c>
      <c r="P18" s="10">
        <v>1342415319</v>
      </c>
      <c r="Q18" s="10">
        <v>1536692479</v>
      </c>
      <c r="R18" s="10">
        <v>1497304404</v>
      </c>
      <c r="S18" s="10">
        <v>1548151784</v>
      </c>
      <c r="T18" s="10">
        <v>1462751144</v>
      </c>
      <c r="U18" s="10">
        <v>1636760618</v>
      </c>
      <c r="V18" s="10">
        <v>1686289892</v>
      </c>
      <c r="W18" s="10">
        <v>1497250344</v>
      </c>
      <c r="X18" s="10">
        <v>1653918907</v>
      </c>
      <c r="Y18" s="10">
        <v>1878121582</v>
      </c>
      <c r="Z18" s="10" t="s">
        <v>65</v>
      </c>
      <c r="AB18" s="9">
        <v>2168802076</v>
      </c>
      <c r="AC18" s="10">
        <v>13509578480</v>
      </c>
      <c r="AD18" s="9">
        <v>8664908892</v>
      </c>
      <c r="AE18" s="10">
        <v>637801732</v>
      </c>
      <c r="AF18" s="9">
        <v>3763282347</v>
      </c>
      <c r="AG18" s="10">
        <v>899745755</v>
      </c>
      <c r="AH18" s="9">
        <v>24776421087</v>
      </c>
      <c r="AI18" s="10">
        <v>1030841586</v>
      </c>
      <c r="AJ18" s="9">
        <v>83933560</v>
      </c>
      <c r="AK18" s="10">
        <v>190081304</v>
      </c>
    </row>
    <row r="19" spans="1:37" ht="14.5" x14ac:dyDescent="0.35">
      <c r="A19" s="7" t="s">
        <v>71</v>
      </c>
      <c r="B19" s="9">
        <v>21793371470</v>
      </c>
      <c r="C19" s="9">
        <v>20828817992</v>
      </c>
      <c r="D19" s="9">
        <v>24008709466</v>
      </c>
      <c r="E19" s="9">
        <v>29435643798</v>
      </c>
      <c r="F19" s="9">
        <v>32973616274</v>
      </c>
      <c r="G19" s="9">
        <v>24776421087</v>
      </c>
      <c r="H19" s="9">
        <v>23128811329</v>
      </c>
      <c r="I19" s="9">
        <v>22304903408</v>
      </c>
      <c r="J19" s="9">
        <v>26201832797</v>
      </c>
      <c r="K19" s="9">
        <v>26444562862</v>
      </c>
      <c r="L19" s="9">
        <v>28055368299</v>
      </c>
      <c r="M19" s="9">
        <v>26890129356</v>
      </c>
      <c r="N19" s="9">
        <v>28113555895</v>
      </c>
      <c r="O19" s="9">
        <v>28253535503</v>
      </c>
      <c r="P19" s="9">
        <v>29836891486</v>
      </c>
      <c r="Q19" s="9">
        <v>28695052758</v>
      </c>
      <c r="R19" s="9">
        <v>30519084681</v>
      </c>
      <c r="S19" s="9">
        <v>30625378521</v>
      </c>
      <c r="T19" s="9">
        <v>30832793027</v>
      </c>
      <c r="U19" s="9">
        <v>35829825081</v>
      </c>
      <c r="V19" s="9">
        <v>38353576454</v>
      </c>
      <c r="W19" s="9">
        <v>33685927135</v>
      </c>
      <c r="X19" s="9">
        <v>38581043094</v>
      </c>
      <c r="Y19" s="9">
        <v>43036584124</v>
      </c>
      <c r="Z19" s="9" t="s">
        <v>65</v>
      </c>
      <c r="AB19" s="9">
        <v>2154519026</v>
      </c>
      <c r="AC19" s="10">
        <v>11357148127</v>
      </c>
      <c r="AD19" s="9">
        <v>5930592286</v>
      </c>
      <c r="AE19" s="10">
        <v>489510557</v>
      </c>
      <c r="AF19" s="9">
        <v>3503019268</v>
      </c>
      <c r="AG19" s="10">
        <v>799948757</v>
      </c>
      <c r="AH19" s="9">
        <v>23128811329</v>
      </c>
      <c r="AI19" s="10">
        <v>1122316434</v>
      </c>
      <c r="AJ19" s="9">
        <v>47667681</v>
      </c>
      <c r="AK19" s="10">
        <v>167464829</v>
      </c>
    </row>
    <row r="20" spans="1:37" ht="14.5" x14ac:dyDescent="0.35">
      <c r="A20" s="7" t="s">
        <v>72</v>
      </c>
      <c r="B20" s="10">
        <v>1050392413</v>
      </c>
      <c r="C20" s="10">
        <v>1057292411</v>
      </c>
      <c r="D20" s="10">
        <v>1381763681</v>
      </c>
      <c r="E20" s="10">
        <v>1060017068</v>
      </c>
      <c r="F20" s="10">
        <v>1031691758</v>
      </c>
      <c r="G20" s="10">
        <v>1030841586</v>
      </c>
      <c r="H20" s="10">
        <v>1122316434</v>
      </c>
      <c r="I20" s="10">
        <v>929892110</v>
      </c>
      <c r="J20" s="10">
        <v>1068219526</v>
      </c>
      <c r="K20" s="10">
        <v>779369155</v>
      </c>
      <c r="L20" s="10">
        <v>789811574</v>
      </c>
      <c r="M20" s="10">
        <v>1149708436</v>
      </c>
      <c r="N20" s="10">
        <v>1312988244</v>
      </c>
      <c r="O20" s="10">
        <v>945051995</v>
      </c>
      <c r="P20" s="10">
        <v>1178583602</v>
      </c>
      <c r="Q20" s="10">
        <v>1304036405</v>
      </c>
      <c r="R20" s="10">
        <v>1437580873</v>
      </c>
      <c r="S20" s="10">
        <v>1391741539</v>
      </c>
      <c r="T20" s="10">
        <v>1325214280</v>
      </c>
      <c r="U20" s="10">
        <v>1450579436</v>
      </c>
      <c r="V20" s="10">
        <v>1495991964</v>
      </c>
      <c r="W20" s="10">
        <v>1441673168</v>
      </c>
      <c r="X20" s="10">
        <v>1555818188</v>
      </c>
      <c r="Y20" s="10">
        <v>1339257092</v>
      </c>
      <c r="Z20" s="10" t="s">
        <v>65</v>
      </c>
      <c r="AB20" s="9">
        <v>1798935869</v>
      </c>
      <c r="AC20" s="10">
        <v>9650349496</v>
      </c>
      <c r="AD20" s="9">
        <v>3438862946</v>
      </c>
      <c r="AE20" s="10">
        <v>554892384</v>
      </c>
      <c r="AF20" s="9">
        <v>2241182702</v>
      </c>
      <c r="AG20" s="10">
        <v>804469247</v>
      </c>
      <c r="AH20" s="9">
        <v>22304903408</v>
      </c>
      <c r="AI20" s="10">
        <v>929892110</v>
      </c>
      <c r="AJ20" s="9">
        <v>53894251</v>
      </c>
      <c r="AK20" s="10">
        <v>132543120</v>
      </c>
    </row>
    <row r="21" spans="1:37" ht="14.5" x14ac:dyDescent="0.35">
      <c r="A21" s="7" t="s">
        <v>73</v>
      </c>
      <c r="B21" s="9">
        <v>203717871</v>
      </c>
      <c r="C21" s="9">
        <v>255343889</v>
      </c>
      <c r="D21" s="9">
        <v>241620233</v>
      </c>
      <c r="E21" s="9">
        <v>325143461</v>
      </c>
      <c r="F21" s="9">
        <v>273674762</v>
      </c>
      <c r="G21" s="9">
        <v>83933560</v>
      </c>
      <c r="H21" s="9">
        <v>47667681</v>
      </c>
      <c r="I21" s="9">
        <v>53894251</v>
      </c>
      <c r="J21" s="9">
        <v>56943675</v>
      </c>
      <c r="K21" s="9">
        <v>43585487</v>
      </c>
      <c r="L21" s="9">
        <v>70539075</v>
      </c>
      <c r="M21" s="9">
        <v>41271861</v>
      </c>
      <c r="N21" s="9">
        <v>42774689</v>
      </c>
      <c r="O21" s="9">
        <v>56158558</v>
      </c>
      <c r="P21" s="9">
        <v>65222274</v>
      </c>
      <c r="Q21" s="9">
        <v>77591640</v>
      </c>
      <c r="R21" s="9">
        <v>65783327</v>
      </c>
      <c r="S21" s="9">
        <v>103229320</v>
      </c>
      <c r="T21" s="9">
        <v>118277319</v>
      </c>
      <c r="U21" s="9">
        <v>136683859</v>
      </c>
      <c r="V21" s="9">
        <v>149209232</v>
      </c>
      <c r="W21" s="9">
        <v>154468375</v>
      </c>
      <c r="X21" s="9">
        <v>129515389</v>
      </c>
      <c r="Y21" s="9">
        <v>147241712</v>
      </c>
      <c r="Z21" s="9" t="s">
        <v>65</v>
      </c>
      <c r="AB21" s="9">
        <v>1776445643</v>
      </c>
      <c r="AC21" s="10">
        <v>10487039309</v>
      </c>
      <c r="AD21" s="9">
        <v>2156350935</v>
      </c>
      <c r="AE21" s="10">
        <v>573011544</v>
      </c>
      <c r="AF21" s="9">
        <v>2252582006</v>
      </c>
      <c r="AG21" s="10">
        <v>920734849</v>
      </c>
      <c r="AH21" s="9">
        <v>26201832797</v>
      </c>
      <c r="AI21" s="10">
        <v>1068219526</v>
      </c>
      <c r="AJ21" s="9">
        <v>56943675</v>
      </c>
      <c r="AK21" s="10">
        <v>115405509</v>
      </c>
    </row>
    <row r="22" spans="1:37" ht="14.5" x14ac:dyDescent="0.35">
      <c r="A22" s="7" t="s">
        <v>74</v>
      </c>
      <c r="B22" s="10">
        <v>94981548</v>
      </c>
      <c r="C22" s="10">
        <v>82416549</v>
      </c>
      <c r="D22" s="10">
        <v>185919451</v>
      </c>
      <c r="E22" s="10">
        <v>243283123</v>
      </c>
      <c r="F22" s="10">
        <v>281491935</v>
      </c>
      <c r="G22" s="10">
        <v>190081304</v>
      </c>
      <c r="H22" s="10">
        <v>167464829</v>
      </c>
      <c r="I22" s="10">
        <v>132543120</v>
      </c>
      <c r="J22" s="10">
        <v>115405509</v>
      </c>
      <c r="K22" s="10">
        <v>123170544</v>
      </c>
      <c r="L22" s="10">
        <v>139009532</v>
      </c>
      <c r="M22" s="10">
        <v>137041951</v>
      </c>
      <c r="N22" s="10">
        <v>145076785</v>
      </c>
      <c r="O22" s="10">
        <v>139604586</v>
      </c>
      <c r="P22" s="10">
        <v>169122300</v>
      </c>
      <c r="Q22" s="10">
        <v>160195092</v>
      </c>
      <c r="R22" s="10">
        <v>159599187</v>
      </c>
      <c r="S22" s="10">
        <v>202882116</v>
      </c>
      <c r="T22" s="10">
        <v>163344139</v>
      </c>
      <c r="U22" s="10">
        <v>197260405</v>
      </c>
      <c r="V22" s="10">
        <v>257540930</v>
      </c>
      <c r="W22" s="10">
        <v>276125877</v>
      </c>
      <c r="X22" s="10">
        <v>205150021</v>
      </c>
      <c r="Y22" s="10">
        <v>225684117</v>
      </c>
      <c r="Z22" s="10" t="s">
        <v>65</v>
      </c>
      <c r="AB22" s="9">
        <v>2282215760</v>
      </c>
      <c r="AC22" s="10">
        <v>10059567157</v>
      </c>
      <c r="AD22" s="9">
        <v>1728132782</v>
      </c>
      <c r="AE22" s="10">
        <v>583558056</v>
      </c>
      <c r="AF22" s="9">
        <v>1974411487</v>
      </c>
      <c r="AG22" s="10">
        <v>1307333329</v>
      </c>
      <c r="AH22" s="9">
        <v>26444562862</v>
      </c>
      <c r="AI22" s="10">
        <v>779369155</v>
      </c>
      <c r="AJ22" s="9">
        <v>43585487</v>
      </c>
      <c r="AK22" s="10">
        <v>123170544</v>
      </c>
    </row>
    <row r="23" spans="1:37" ht="11.4" customHeight="1" x14ac:dyDescent="0.35">
      <c r="AB23" s="9">
        <v>2315711787</v>
      </c>
      <c r="AC23" s="10">
        <v>9804670867</v>
      </c>
      <c r="AD23" s="9">
        <v>1691333667</v>
      </c>
      <c r="AE23" s="10">
        <v>523966868</v>
      </c>
      <c r="AF23" s="9">
        <v>1830698279</v>
      </c>
      <c r="AG23" s="10">
        <v>1370145955</v>
      </c>
      <c r="AH23" s="9">
        <v>28055368299</v>
      </c>
      <c r="AI23" s="10">
        <v>789811574</v>
      </c>
      <c r="AJ23" s="9">
        <v>70539075</v>
      </c>
      <c r="AK23" s="10">
        <v>139009532</v>
      </c>
    </row>
    <row r="24" spans="1:37" ht="14.5" x14ac:dyDescent="0.35">
      <c r="A24" s="1" t="s">
        <v>75</v>
      </c>
      <c r="AB24" s="9">
        <v>2128746120</v>
      </c>
      <c r="AC24" s="10">
        <v>9496742984</v>
      </c>
      <c r="AD24" s="9">
        <v>2068707408</v>
      </c>
      <c r="AE24" s="10">
        <v>544566023</v>
      </c>
      <c r="AF24" s="9">
        <v>1828175678</v>
      </c>
      <c r="AG24" s="10">
        <v>1254504026</v>
      </c>
      <c r="AH24" s="9">
        <v>26890129356</v>
      </c>
      <c r="AI24" s="10">
        <v>1149708436</v>
      </c>
      <c r="AJ24" s="9">
        <v>41271861</v>
      </c>
      <c r="AK24" s="10">
        <v>137041951</v>
      </c>
    </row>
    <row r="25" spans="1:37" ht="14.5" x14ac:dyDescent="0.35">
      <c r="A25" s="1" t="s">
        <v>65</v>
      </c>
      <c r="B25" s="2" t="s">
        <v>76</v>
      </c>
      <c r="AB25" s="9">
        <v>1923301526</v>
      </c>
      <c r="AC25" s="10">
        <v>11139925153</v>
      </c>
      <c r="AD25" s="9">
        <v>2068571316</v>
      </c>
      <c r="AE25" s="10">
        <v>493504510</v>
      </c>
      <c r="AF25" s="9">
        <v>1835716764</v>
      </c>
      <c r="AG25" s="10">
        <v>1215471756</v>
      </c>
      <c r="AH25" s="9">
        <v>28113555895</v>
      </c>
      <c r="AI25" s="10">
        <v>1312988244</v>
      </c>
      <c r="AJ25" s="9">
        <v>42774689</v>
      </c>
      <c r="AK25" s="10">
        <v>145076785</v>
      </c>
    </row>
    <row r="26" spans="1:37" ht="11.4" customHeight="1" x14ac:dyDescent="0.35">
      <c r="AB26" s="9">
        <v>2326036813</v>
      </c>
      <c r="AC26" s="10">
        <v>13141494101</v>
      </c>
      <c r="AD26" s="9">
        <v>2389983018</v>
      </c>
      <c r="AE26" s="10">
        <v>585651648</v>
      </c>
      <c r="AF26" s="9">
        <v>1714831893</v>
      </c>
      <c r="AG26" s="10">
        <v>1274661313</v>
      </c>
      <c r="AH26" s="9">
        <v>28253535503</v>
      </c>
      <c r="AI26" s="10">
        <v>945051995</v>
      </c>
      <c r="AJ26" s="9">
        <v>56158558</v>
      </c>
      <c r="AK26" s="10">
        <v>139604586</v>
      </c>
    </row>
    <row r="27" spans="1:37" ht="11.4" customHeight="1" x14ac:dyDescent="0.35">
      <c r="AB27" s="9">
        <v>2083267282</v>
      </c>
      <c r="AC27" s="10">
        <v>12991825477</v>
      </c>
      <c r="AD27" s="9">
        <v>2077859978</v>
      </c>
      <c r="AE27" s="10">
        <v>605963090</v>
      </c>
      <c r="AF27" s="9">
        <v>1696200557</v>
      </c>
      <c r="AG27" s="10">
        <v>1342415319</v>
      </c>
      <c r="AH27" s="9">
        <v>29836891486</v>
      </c>
      <c r="AI27" s="10">
        <v>1178583602</v>
      </c>
      <c r="AJ27" s="9">
        <v>65222274</v>
      </c>
      <c r="AK27" s="10">
        <v>169122300</v>
      </c>
    </row>
    <row r="28" spans="1:37" ht="11.4" customHeight="1" x14ac:dyDescent="0.35">
      <c r="AB28" s="9">
        <v>2083629976</v>
      </c>
      <c r="AC28" s="10">
        <v>16011151774</v>
      </c>
      <c r="AD28" s="9">
        <v>2049725604</v>
      </c>
      <c r="AE28" s="10">
        <v>860832848</v>
      </c>
      <c r="AF28" s="9">
        <v>1998333186</v>
      </c>
      <c r="AG28" s="10">
        <v>1536692479</v>
      </c>
      <c r="AH28" s="9">
        <v>28695052758</v>
      </c>
      <c r="AI28" s="10">
        <v>1304036405</v>
      </c>
      <c r="AJ28" s="9">
        <v>77591640</v>
      </c>
      <c r="AK28" s="10">
        <v>160195092</v>
      </c>
    </row>
    <row r="29" spans="1:37" ht="11.4" customHeight="1" x14ac:dyDescent="0.35">
      <c r="AB29" s="9">
        <v>1876954417</v>
      </c>
      <c r="AC29" s="10">
        <v>17643141437</v>
      </c>
      <c r="AD29" s="9">
        <v>2668366305</v>
      </c>
      <c r="AE29" s="10">
        <v>777628704</v>
      </c>
      <c r="AF29" s="9">
        <v>2314276585</v>
      </c>
      <c r="AG29" s="10">
        <v>1497304404</v>
      </c>
      <c r="AH29" s="9">
        <v>30519084681</v>
      </c>
      <c r="AI29" s="10">
        <v>1437580873</v>
      </c>
      <c r="AJ29" s="9">
        <v>65783327</v>
      </c>
      <c r="AK29" s="10">
        <v>159599187</v>
      </c>
    </row>
    <row r="30" spans="1:37" ht="11.4" customHeight="1" x14ac:dyDescent="0.35">
      <c r="AB30" s="9">
        <v>1982565319</v>
      </c>
      <c r="AC30" s="10">
        <v>16856161693</v>
      </c>
      <c r="AD30" s="9">
        <v>2836747798</v>
      </c>
      <c r="AE30" s="10">
        <v>896647290</v>
      </c>
      <c r="AF30" s="9">
        <v>2153352181</v>
      </c>
      <c r="AG30" s="10">
        <v>1548151784</v>
      </c>
      <c r="AH30" s="9">
        <v>30625378521</v>
      </c>
      <c r="AI30" s="10">
        <v>1391741539</v>
      </c>
      <c r="AJ30" s="9">
        <v>103229320</v>
      </c>
      <c r="AK30" s="10">
        <v>202882116</v>
      </c>
    </row>
    <row r="31" spans="1:37" ht="11.4" customHeight="1" x14ac:dyDescent="0.35">
      <c r="AB31" s="9">
        <v>1691532355</v>
      </c>
      <c r="AC31" s="10">
        <v>15642394202</v>
      </c>
      <c r="AD31" s="9">
        <v>1945487101</v>
      </c>
      <c r="AE31" s="10">
        <v>894637078</v>
      </c>
      <c r="AF31" s="9">
        <v>1992181229</v>
      </c>
      <c r="AG31" s="10">
        <v>1462751144</v>
      </c>
      <c r="AH31" s="9">
        <v>30832793027</v>
      </c>
      <c r="AI31" s="10">
        <v>1325214280</v>
      </c>
      <c r="AJ31" s="9">
        <v>118277319</v>
      </c>
      <c r="AK31" s="10">
        <v>163344139</v>
      </c>
    </row>
    <row r="32" spans="1:37" ht="11.4" customHeight="1" x14ac:dyDescent="0.35">
      <c r="AB32" s="9">
        <v>1805579275</v>
      </c>
      <c r="AC32" s="10">
        <v>18440287700</v>
      </c>
      <c r="AD32" s="9">
        <v>2404933306</v>
      </c>
      <c r="AE32" s="10">
        <v>1057123323</v>
      </c>
      <c r="AF32" s="9">
        <v>2322907771</v>
      </c>
      <c r="AG32" s="10">
        <v>1636760618</v>
      </c>
      <c r="AH32" s="9">
        <v>35829825081</v>
      </c>
      <c r="AI32" s="10">
        <v>1450579436</v>
      </c>
      <c r="AJ32" s="9">
        <v>136683859</v>
      </c>
      <c r="AK32" s="10">
        <v>197260405</v>
      </c>
    </row>
    <row r="33" spans="28:37" ht="11.4" customHeight="1" x14ac:dyDescent="0.35">
      <c r="AB33" s="9">
        <v>2067336971</v>
      </c>
      <c r="AC33" s="10">
        <v>17550326843</v>
      </c>
      <c r="AD33" s="9">
        <v>2852859169</v>
      </c>
      <c r="AE33" s="10">
        <v>975739026</v>
      </c>
      <c r="AF33" s="9">
        <v>2578457997</v>
      </c>
      <c r="AG33" s="10">
        <v>1686289892</v>
      </c>
      <c r="AH33" s="9">
        <v>38353576454</v>
      </c>
      <c r="AI33" s="10">
        <v>1495991964</v>
      </c>
      <c r="AJ33" s="9">
        <v>149209232</v>
      </c>
      <c r="AK33" s="10">
        <v>257540930</v>
      </c>
    </row>
    <row r="34" spans="28:37" ht="11.4" customHeight="1" x14ac:dyDescent="0.35">
      <c r="AB34" s="9">
        <v>2326057934</v>
      </c>
      <c r="AC34" s="10">
        <v>15532093778</v>
      </c>
      <c r="AD34" s="9">
        <v>2514212359</v>
      </c>
      <c r="AE34" s="10">
        <v>995486710</v>
      </c>
      <c r="AF34" s="9">
        <v>2260850826</v>
      </c>
      <c r="AG34" s="10">
        <v>1497250344</v>
      </c>
      <c r="AH34" s="9">
        <v>33685927135</v>
      </c>
      <c r="AI34" s="10">
        <v>1441673168</v>
      </c>
      <c r="AJ34" s="9">
        <v>154468375</v>
      </c>
      <c r="AK34" s="10">
        <v>276125877</v>
      </c>
    </row>
    <row r="35" spans="28:37" ht="11.4" customHeight="1" x14ac:dyDescent="0.35">
      <c r="AB35" s="9">
        <v>2561548214</v>
      </c>
      <c r="AC35" s="10">
        <v>15806988735</v>
      </c>
      <c r="AD35" s="9">
        <v>2648736899</v>
      </c>
      <c r="AE35" s="10">
        <v>1058307592</v>
      </c>
      <c r="AF35" s="9">
        <v>2617639393</v>
      </c>
      <c r="AG35" s="10">
        <v>1653918907</v>
      </c>
      <c r="AH35" s="9">
        <v>38581043094</v>
      </c>
      <c r="AI35" s="10">
        <v>1555818188</v>
      </c>
      <c r="AJ35" s="9">
        <v>129515389</v>
      </c>
      <c r="AK35" s="10">
        <v>205150021</v>
      </c>
    </row>
    <row r="36" spans="28:37" ht="11.4" customHeight="1" x14ac:dyDescent="0.35">
      <c r="AB36" s="9">
        <v>2536421721</v>
      </c>
      <c r="AC36" s="10">
        <v>17385415814</v>
      </c>
      <c r="AD36" s="9">
        <v>4182466490</v>
      </c>
      <c r="AE36" s="10">
        <v>1152041600</v>
      </c>
      <c r="AF36" s="9">
        <v>2990286504</v>
      </c>
      <c r="AG36" s="10">
        <v>1878121582</v>
      </c>
      <c r="AH36" s="9">
        <v>43036584124</v>
      </c>
      <c r="AI36" s="10">
        <v>1339257092</v>
      </c>
      <c r="AJ36" s="9">
        <v>147241712</v>
      </c>
      <c r="AK36" s="10">
        <v>225684117</v>
      </c>
    </row>
  </sheetData>
  <pageMargins left="0.7" right="0.7" top="0.75" bottom="0.75" header="0.3" footer="0.3"/>
  <headerFooter>
    <oddHeader>&amp;L&amp;"Aptos"&amp;10&amp;K7FAA39 | DNB PUBLIC |&amp;1#_x000D_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K36"/>
  <sheetViews>
    <sheetView workbookViewId="0">
      <pane xSplit="1" ySplit="12" topLeftCell="B13" activePane="bottomRight" state="frozen"/>
      <selection pane="topRight"/>
      <selection pane="bottomLeft"/>
      <selection pane="bottomRight" activeCell="B13" sqref="B13"/>
    </sheetView>
  </sheetViews>
  <sheetFormatPr defaultRowHeight="11.4" customHeight="1" x14ac:dyDescent="0.35"/>
  <cols>
    <col min="1" max="1" width="29.90625" customWidth="1"/>
    <col min="2" max="26" width="10" customWidth="1"/>
  </cols>
  <sheetData>
    <row r="1" spans="1:37" ht="14.5" x14ac:dyDescent="0.35">
      <c r="A1" s="2" t="s">
        <v>77</v>
      </c>
    </row>
    <row r="2" spans="1:37" ht="14.5" x14ac:dyDescent="0.35">
      <c r="A2" s="2" t="s">
        <v>32</v>
      </c>
      <c r="B2" s="1" t="s">
        <v>0</v>
      </c>
    </row>
    <row r="3" spans="1:37" ht="14.5" x14ac:dyDescent="0.35">
      <c r="A3" s="2" t="s">
        <v>33</v>
      </c>
      <c r="B3" s="2" t="s">
        <v>6</v>
      </c>
    </row>
    <row r="4" spans="1:37" ht="14.5" x14ac:dyDescent="0.35"/>
    <row r="5" spans="1:37" ht="14.5" x14ac:dyDescent="0.35">
      <c r="A5" s="1" t="s">
        <v>11</v>
      </c>
      <c r="C5" s="2" t="s">
        <v>27</v>
      </c>
    </row>
    <row r="6" spans="1:37" ht="14.5" x14ac:dyDescent="0.35">
      <c r="A6" s="1" t="s">
        <v>12</v>
      </c>
      <c r="C6" s="2" t="s">
        <v>25</v>
      </c>
    </row>
    <row r="7" spans="1:37" ht="14.5" x14ac:dyDescent="0.35">
      <c r="A7" s="1" t="s">
        <v>13</v>
      </c>
      <c r="C7" s="2" t="s">
        <v>18</v>
      </c>
    </row>
    <row r="8" spans="1:37" ht="14.5" x14ac:dyDescent="0.35">
      <c r="A8" s="1" t="s">
        <v>14</v>
      </c>
      <c r="C8" s="2" t="s">
        <v>19</v>
      </c>
    </row>
    <row r="9" spans="1:37" ht="14.5" x14ac:dyDescent="0.35"/>
    <row r="10" spans="1:37" ht="14.5" x14ac:dyDescent="0.35">
      <c r="A10" s="5" t="s">
        <v>34</v>
      </c>
      <c r="B10" s="4" t="s">
        <v>35</v>
      </c>
      <c r="C10" s="4" t="s">
        <v>36</v>
      </c>
      <c r="D10" s="4" t="s">
        <v>37</v>
      </c>
      <c r="E10" s="4" t="s">
        <v>38</v>
      </c>
      <c r="F10" s="4" t="s">
        <v>39</v>
      </c>
      <c r="G10" s="4" t="s">
        <v>40</v>
      </c>
      <c r="H10" s="4" t="s">
        <v>41</v>
      </c>
      <c r="I10" s="4" t="s">
        <v>42</v>
      </c>
      <c r="J10" s="4" t="s">
        <v>43</v>
      </c>
      <c r="K10" s="4" t="s">
        <v>44</v>
      </c>
      <c r="L10" s="4" t="s">
        <v>45</v>
      </c>
      <c r="M10" s="4" t="s">
        <v>46</v>
      </c>
      <c r="N10" s="4" t="s">
        <v>47</v>
      </c>
      <c r="O10" s="4" t="s">
        <v>48</v>
      </c>
      <c r="P10" s="4" t="s">
        <v>49</v>
      </c>
      <c r="Q10" s="4" t="s">
        <v>50</v>
      </c>
      <c r="R10" s="4" t="s">
        <v>51</v>
      </c>
      <c r="S10" s="4" t="s">
        <v>52</v>
      </c>
      <c r="T10" s="4" t="s">
        <v>53</v>
      </c>
      <c r="U10" s="4" t="s">
        <v>54</v>
      </c>
      <c r="V10" s="4" t="s">
        <v>55</v>
      </c>
      <c r="W10" s="4" t="s">
        <v>56</v>
      </c>
      <c r="X10" s="4" t="s">
        <v>57</v>
      </c>
      <c r="Y10" s="4" t="s">
        <v>58</v>
      </c>
      <c r="Z10" s="4" t="s">
        <v>59</v>
      </c>
    </row>
    <row r="11" spans="1:37" ht="14.5" x14ac:dyDescent="0.35">
      <c r="A11" s="5" t="s">
        <v>60</v>
      </c>
      <c r="B11" s="3" t="s">
        <v>61</v>
      </c>
      <c r="C11" s="3" t="s">
        <v>61</v>
      </c>
      <c r="D11" s="3" t="s">
        <v>61</v>
      </c>
      <c r="E11" s="3" t="s">
        <v>61</v>
      </c>
      <c r="F11" s="3" t="s">
        <v>61</v>
      </c>
      <c r="G11" s="3" t="s">
        <v>61</v>
      </c>
      <c r="H11" s="3" t="s">
        <v>61</v>
      </c>
      <c r="I11" s="3" t="s">
        <v>61</v>
      </c>
      <c r="J11" s="3" t="s">
        <v>61</v>
      </c>
      <c r="K11" s="3" t="s">
        <v>61</v>
      </c>
      <c r="L11" s="3" t="s">
        <v>61</v>
      </c>
      <c r="M11" s="3" t="s">
        <v>61</v>
      </c>
      <c r="N11" s="3" t="s">
        <v>61</v>
      </c>
      <c r="O11" s="3" t="s">
        <v>61</v>
      </c>
      <c r="P11" s="3" t="s">
        <v>61</v>
      </c>
      <c r="Q11" s="3" t="s">
        <v>61</v>
      </c>
      <c r="R11" s="3" t="s">
        <v>61</v>
      </c>
      <c r="S11" s="3" t="s">
        <v>61</v>
      </c>
      <c r="T11" s="3" t="s">
        <v>61</v>
      </c>
      <c r="U11" s="3" t="s">
        <v>61</v>
      </c>
      <c r="V11" s="3" t="s">
        <v>61</v>
      </c>
      <c r="W11" s="3" t="s">
        <v>61</v>
      </c>
      <c r="X11" s="3" t="s">
        <v>61</v>
      </c>
      <c r="Y11" s="3" t="s">
        <v>61</v>
      </c>
      <c r="Z11" s="3" t="s">
        <v>61</v>
      </c>
    </row>
    <row r="12" spans="1:37" ht="14.5" x14ac:dyDescent="0.35">
      <c r="A12" s="6" t="s">
        <v>62</v>
      </c>
      <c r="B12" s="8" t="s">
        <v>63</v>
      </c>
      <c r="C12" s="8" t="s">
        <v>63</v>
      </c>
      <c r="D12" s="8" t="s">
        <v>63</v>
      </c>
      <c r="E12" s="8" t="s">
        <v>63</v>
      </c>
      <c r="F12" s="8" t="s">
        <v>63</v>
      </c>
      <c r="G12" s="8" t="s">
        <v>63</v>
      </c>
      <c r="H12" s="8" t="s">
        <v>63</v>
      </c>
      <c r="I12" s="8" t="s">
        <v>63</v>
      </c>
      <c r="J12" s="8" t="s">
        <v>63</v>
      </c>
      <c r="K12" s="8" t="s">
        <v>63</v>
      </c>
      <c r="L12" s="8" t="s">
        <v>63</v>
      </c>
      <c r="M12" s="8" t="s">
        <v>63</v>
      </c>
      <c r="N12" s="8" t="s">
        <v>63</v>
      </c>
      <c r="O12" s="8" t="s">
        <v>63</v>
      </c>
      <c r="P12" s="8" t="s">
        <v>63</v>
      </c>
      <c r="Q12" s="8" t="s">
        <v>63</v>
      </c>
      <c r="R12" s="8" t="s">
        <v>63</v>
      </c>
      <c r="S12" s="8" t="s">
        <v>63</v>
      </c>
      <c r="T12" s="8" t="s">
        <v>63</v>
      </c>
      <c r="U12" s="8" t="s">
        <v>63</v>
      </c>
      <c r="V12" s="8" t="s">
        <v>63</v>
      </c>
      <c r="W12" s="8" t="s">
        <v>63</v>
      </c>
      <c r="X12" s="8" t="s">
        <v>63</v>
      </c>
      <c r="Y12" s="8" t="s">
        <v>63</v>
      </c>
      <c r="Z12" s="8" t="s">
        <v>63</v>
      </c>
      <c r="AB12" t="s">
        <v>83</v>
      </c>
      <c r="AC12" t="s">
        <v>84</v>
      </c>
      <c r="AD12" t="s">
        <v>88</v>
      </c>
      <c r="AE12" t="s">
        <v>85</v>
      </c>
      <c r="AF12" t="s">
        <v>87</v>
      </c>
      <c r="AG12" t="s">
        <v>89</v>
      </c>
      <c r="AH12" t="s">
        <v>90</v>
      </c>
      <c r="AI12" t="s">
        <v>82</v>
      </c>
      <c r="AJ12" t="s">
        <v>91</v>
      </c>
      <c r="AK12" t="s">
        <v>86</v>
      </c>
    </row>
    <row r="13" spans="1:37" ht="14.5" x14ac:dyDescent="0.35">
      <c r="A13" s="7" t="s">
        <v>64</v>
      </c>
      <c r="B13" s="9">
        <v>402978709</v>
      </c>
      <c r="C13" s="9">
        <v>360398902</v>
      </c>
      <c r="D13" s="9">
        <v>328298242</v>
      </c>
      <c r="E13" s="9">
        <v>307028827</v>
      </c>
      <c r="F13" s="9">
        <v>260189638</v>
      </c>
      <c r="G13" s="9">
        <v>437991432</v>
      </c>
      <c r="H13" s="9">
        <v>523651144</v>
      </c>
      <c r="I13" s="9">
        <v>357386660</v>
      </c>
      <c r="J13" s="9">
        <v>397276675</v>
      </c>
      <c r="K13" s="9">
        <v>469153927</v>
      </c>
      <c r="L13" s="9">
        <v>565608912</v>
      </c>
      <c r="M13" s="9">
        <v>656863947</v>
      </c>
      <c r="N13" s="9">
        <v>720909517</v>
      </c>
      <c r="O13" s="9">
        <v>657679567</v>
      </c>
      <c r="P13" s="9">
        <v>653031229</v>
      </c>
      <c r="Q13" s="9">
        <v>704207997</v>
      </c>
      <c r="R13" s="9">
        <v>738305834</v>
      </c>
      <c r="S13" s="9">
        <v>791395369</v>
      </c>
      <c r="T13" s="9">
        <v>880067966</v>
      </c>
      <c r="U13" s="9">
        <v>1181993452</v>
      </c>
      <c r="V13" s="9">
        <v>1044164328</v>
      </c>
      <c r="W13" s="9">
        <v>800117410</v>
      </c>
      <c r="X13" s="9">
        <v>810921626</v>
      </c>
      <c r="Y13" s="9">
        <v>1015660876</v>
      </c>
      <c r="Z13" s="9" t="s">
        <v>65</v>
      </c>
      <c r="AB13" s="9">
        <v>402978709</v>
      </c>
      <c r="AC13" s="10">
        <v>3091540718</v>
      </c>
      <c r="AD13" s="9">
        <v>17986379</v>
      </c>
      <c r="AE13" s="10">
        <v>149514392</v>
      </c>
      <c r="AF13" s="9">
        <v>526697821</v>
      </c>
      <c r="AG13" s="10">
        <v>943207411</v>
      </c>
      <c r="AH13" s="9">
        <v>552614924</v>
      </c>
      <c r="AI13" s="10">
        <v>272694726</v>
      </c>
      <c r="AJ13" s="9">
        <v>29879826</v>
      </c>
      <c r="AK13" s="10">
        <v>116070156</v>
      </c>
    </row>
    <row r="14" spans="1:37" ht="14.5" x14ac:dyDescent="0.35">
      <c r="A14" s="7" t="s">
        <v>66</v>
      </c>
      <c r="B14" s="10">
        <v>3091540718</v>
      </c>
      <c r="C14" s="10">
        <v>2806494013</v>
      </c>
      <c r="D14" s="10">
        <v>3135689462</v>
      </c>
      <c r="E14" s="10">
        <v>3995907496</v>
      </c>
      <c r="F14" s="10">
        <v>3430606606</v>
      </c>
      <c r="G14" s="10">
        <v>6969785832</v>
      </c>
      <c r="H14" s="10">
        <v>6638996093</v>
      </c>
      <c r="I14" s="10">
        <v>4577639306</v>
      </c>
      <c r="J14" s="10">
        <v>4863379101</v>
      </c>
      <c r="K14" s="10">
        <v>5312124898</v>
      </c>
      <c r="L14" s="10">
        <v>5286921905</v>
      </c>
      <c r="M14" s="10">
        <v>5299195209</v>
      </c>
      <c r="N14" s="10">
        <v>5466000359</v>
      </c>
      <c r="O14" s="10">
        <v>6214620374</v>
      </c>
      <c r="P14" s="10">
        <v>6573791366</v>
      </c>
      <c r="Q14" s="10">
        <v>7522339531</v>
      </c>
      <c r="R14" s="10">
        <v>8156305002</v>
      </c>
      <c r="S14" s="10">
        <v>8691002357</v>
      </c>
      <c r="T14" s="10">
        <v>7108929094</v>
      </c>
      <c r="U14" s="10">
        <v>7888326983</v>
      </c>
      <c r="V14" s="10">
        <v>8552867513</v>
      </c>
      <c r="W14" s="10">
        <v>9478822941</v>
      </c>
      <c r="X14" s="10">
        <v>9457332718</v>
      </c>
      <c r="Y14" s="10">
        <v>9477825418</v>
      </c>
      <c r="Z14" s="10" t="s">
        <v>65</v>
      </c>
      <c r="AB14" s="9">
        <v>360398902</v>
      </c>
      <c r="AC14" s="10">
        <v>2806494013</v>
      </c>
      <c r="AD14" s="9">
        <v>11771881</v>
      </c>
      <c r="AE14" s="10">
        <v>147227938</v>
      </c>
      <c r="AF14" s="9">
        <v>512739267</v>
      </c>
      <c r="AG14" s="10">
        <v>952042094</v>
      </c>
      <c r="AH14" s="9">
        <v>618296990</v>
      </c>
      <c r="AI14" s="10">
        <v>289045216</v>
      </c>
      <c r="AJ14" s="9">
        <v>26457358</v>
      </c>
      <c r="AK14" s="10">
        <v>100896839</v>
      </c>
    </row>
    <row r="15" spans="1:37" ht="14.5" x14ac:dyDescent="0.35">
      <c r="A15" s="7" t="s">
        <v>67</v>
      </c>
      <c r="B15" s="9">
        <v>17986379</v>
      </c>
      <c r="C15" s="9">
        <v>11771881</v>
      </c>
      <c r="D15" s="9">
        <v>19687864</v>
      </c>
      <c r="E15" s="9">
        <v>22840942</v>
      </c>
      <c r="F15" s="9">
        <v>17026341</v>
      </c>
      <c r="G15" s="9">
        <v>57899393</v>
      </c>
      <c r="H15" s="9">
        <v>35406187</v>
      </c>
      <c r="I15" s="9">
        <v>41260627</v>
      </c>
      <c r="J15" s="9">
        <v>61012410</v>
      </c>
      <c r="K15" s="9">
        <v>97643527</v>
      </c>
      <c r="L15" s="9">
        <v>89625403</v>
      </c>
      <c r="M15" s="9">
        <v>97964000</v>
      </c>
      <c r="N15" s="9">
        <v>112705045</v>
      </c>
      <c r="O15" s="9">
        <v>139629037</v>
      </c>
      <c r="P15" s="9">
        <v>148291407</v>
      </c>
      <c r="Q15" s="9">
        <v>153243273</v>
      </c>
      <c r="R15" s="9">
        <v>215776171</v>
      </c>
      <c r="S15" s="9">
        <v>146458562</v>
      </c>
      <c r="T15" s="9">
        <v>97106590</v>
      </c>
      <c r="U15" s="9">
        <v>87553995</v>
      </c>
      <c r="V15" s="9">
        <v>129853608</v>
      </c>
      <c r="W15" s="9">
        <v>209255272</v>
      </c>
      <c r="X15" s="9">
        <v>231744680</v>
      </c>
      <c r="Y15" s="9">
        <v>168005563</v>
      </c>
      <c r="Z15" s="9" t="s">
        <v>65</v>
      </c>
      <c r="AB15" s="9">
        <v>328298242</v>
      </c>
      <c r="AC15" s="10">
        <v>3135689462</v>
      </c>
      <c r="AD15" s="9">
        <v>19687864</v>
      </c>
      <c r="AE15" s="10">
        <v>160154813</v>
      </c>
      <c r="AF15" s="9">
        <v>570540922</v>
      </c>
      <c r="AG15" s="10">
        <v>961357926</v>
      </c>
      <c r="AH15" s="9">
        <v>576355668</v>
      </c>
      <c r="AI15" s="10">
        <v>390540891</v>
      </c>
      <c r="AJ15" s="9">
        <v>29053451</v>
      </c>
      <c r="AK15" s="10">
        <v>113310859</v>
      </c>
    </row>
    <row r="16" spans="1:37" ht="14.5" x14ac:dyDescent="0.35">
      <c r="A16" s="7" t="s">
        <v>68</v>
      </c>
      <c r="B16" s="10">
        <v>149514392</v>
      </c>
      <c r="C16" s="10">
        <v>147227938</v>
      </c>
      <c r="D16" s="10">
        <v>160154813</v>
      </c>
      <c r="E16" s="10">
        <v>182153760</v>
      </c>
      <c r="F16" s="10">
        <v>144360723</v>
      </c>
      <c r="G16" s="10">
        <v>266586378</v>
      </c>
      <c r="H16" s="10">
        <v>281161266</v>
      </c>
      <c r="I16" s="10">
        <v>289323888</v>
      </c>
      <c r="J16" s="10">
        <v>255479794</v>
      </c>
      <c r="K16" s="10">
        <v>286145626</v>
      </c>
      <c r="L16" s="10">
        <v>284221809</v>
      </c>
      <c r="M16" s="10">
        <v>410891633</v>
      </c>
      <c r="N16" s="10">
        <v>357434971</v>
      </c>
      <c r="O16" s="10">
        <v>351207893</v>
      </c>
      <c r="P16" s="10">
        <v>341510470</v>
      </c>
      <c r="Q16" s="10">
        <v>347125187</v>
      </c>
      <c r="R16" s="10">
        <v>420618840</v>
      </c>
      <c r="S16" s="10">
        <v>454632051</v>
      </c>
      <c r="T16" s="10">
        <v>387760386</v>
      </c>
      <c r="U16" s="10">
        <v>428891103</v>
      </c>
      <c r="V16" s="10">
        <v>493949239</v>
      </c>
      <c r="W16" s="10">
        <v>556049590</v>
      </c>
      <c r="X16" s="10">
        <v>552863130</v>
      </c>
      <c r="Y16" s="10">
        <v>608530107</v>
      </c>
      <c r="Z16" s="10" t="s">
        <v>65</v>
      </c>
      <c r="AB16" s="9">
        <v>307028827</v>
      </c>
      <c r="AC16" s="10">
        <v>3995907496</v>
      </c>
      <c r="AD16" s="9">
        <v>22840942</v>
      </c>
      <c r="AE16" s="10">
        <v>182153760</v>
      </c>
      <c r="AF16" s="9">
        <v>603784644</v>
      </c>
      <c r="AG16" s="10">
        <v>1185462118</v>
      </c>
      <c r="AH16" s="9">
        <v>703926407</v>
      </c>
      <c r="AI16" s="10">
        <v>470708917</v>
      </c>
      <c r="AJ16" s="9">
        <v>41418582</v>
      </c>
      <c r="AK16" s="10">
        <v>115754460</v>
      </c>
    </row>
    <row r="17" spans="1:37" ht="14.5" x14ac:dyDescent="0.35">
      <c r="A17" s="7" t="s">
        <v>69</v>
      </c>
      <c r="B17" s="9">
        <v>526697821</v>
      </c>
      <c r="C17" s="9">
        <v>512739267</v>
      </c>
      <c r="D17" s="9">
        <v>570540922</v>
      </c>
      <c r="E17" s="9">
        <v>603784644</v>
      </c>
      <c r="F17" s="9">
        <v>642884239</v>
      </c>
      <c r="G17" s="9">
        <v>790619813</v>
      </c>
      <c r="H17" s="9">
        <v>730544012</v>
      </c>
      <c r="I17" s="9">
        <v>560324908</v>
      </c>
      <c r="J17" s="9">
        <v>551188747</v>
      </c>
      <c r="K17" s="9">
        <v>645428034</v>
      </c>
      <c r="L17" s="9">
        <v>608883375</v>
      </c>
      <c r="M17" s="9">
        <v>527222048</v>
      </c>
      <c r="N17" s="9">
        <v>624415505</v>
      </c>
      <c r="O17" s="9">
        <v>619828515</v>
      </c>
      <c r="P17" s="9">
        <v>717022768</v>
      </c>
      <c r="Q17" s="9">
        <v>750938478</v>
      </c>
      <c r="R17" s="9">
        <v>811676593</v>
      </c>
      <c r="S17" s="9">
        <v>809297424</v>
      </c>
      <c r="T17" s="9">
        <v>644172967</v>
      </c>
      <c r="U17" s="9">
        <v>791335447</v>
      </c>
      <c r="V17" s="9">
        <v>1117299989</v>
      </c>
      <c r="W17" s="9">
        <v>1114066636</v>
      </c>
      <c r="X17" s="9">
        <v>979259844</v>
      </c>
      <c r="Y17" s="9">
        <v>1092360383</v>
      </c>
      <c r="Z17" s="9" t="s">
        <v>65</v>
      </c>
      <c r="AB17" s="9">
        <v>260189638</v>
      </c>
      <c r="AC17" s="10">
        <v>3430606606</v>
      </c>
      <c r="AD17" s="9">
        <v>17026341</v>
      </c>
      <c r="AE17" s="10">
        <v>144360723</v>
      </c>
      <c r="AF17" s="9">
        <v>642884239</v>
      </c>
      <c r="AG17" s="10">
        <v>1004808429</v>
      </c>
      <c r="AH17" s="9">
        <v>688923191</v>
      </c>
      <c r="AI17" s="10">
        <v>441936541</v>
      </c>
      <c r="AJ17" s="9">
        <v>37158853</v>
      </c>
      <c r="AK17" s="10">
        <v>78831878</v>
      </c>
    </row>
    <row r="18" spans="1:37" ht="14.5" x14ac:dyDescent="0.35">
      <c r="A18" s="7" t="s">
        <v>70</v>
      </c>
      <c r="B18" s="10">
        <v>943207411</v>
      </c>
      <c r="C18" s="10">
        <v>952042094</v>
      </c>
      <c r="D18" s="10">
        <v>961357926</v>
      </c>
      <c r="E18" s="10">
        <v>1185462118</v>
      </c>
      <c r="F18" s="10">
        <v>1004808429</v>
      </c>
      <c r="G18" s="10">
        <v>2160656316</v>
      </c>
      <c r="H18" s="10">
        <v>1932677015</v>
      </c>
      <c r="I18" s="10">
        <v>1365292636</v>
      </c>
      <c r="J18" s="10">
        <v>1500661433</v>
      </c>
      <c r="K18" s="10">
        <v>1698170965</v>
      </c>
      <c r="L18" s="10">
        <v>1745956053</v>
      </c>
      <c r="M18" s="10">
        <v>1691131533</v>
      </c>
      <c r="N18" s="10">
        <v>1922994891</v>
      </c>
      <c r="O18" s="10">
        <v>2157790455</v>
      </c>
      <c r="P18" s="10">
        <v>2358081138</v>
      </c>
      <c r="Q18" s="10">
        <v>2477231148</v>
      </c>
      <c r="R18" s="10">
        <v>2558418777</v>
      </c>
      <c r="S18" s="10">
        <v>2575386404</v>
      </c>
      <c r="T18" s="10">
        <v>2039088044</v>
      </c>
      <c r="U18" s="10">
        <v>2422024050</v>
      </c>
      <c r="V18" s="10">
        <v>2584546266</v>
      </c>
      <c r="W18" s="10">
        <v>2791516762</v>
      </c>
      <c r="X18" s="10">
        <v>2763739374</v>
      </c>
      <c r="Y18" s="10">
        <v>2787403138</v>
      </c>
      <c r="Z18" s="10" t="s">
        <v>65</v>
      </c>
      <c r="AB18" s="9">
        <v>437991432</v>
      </c>
      <c r="AC18" s="10">
        <v>6969785832</v>
      </c>
      <c r="AD18" s="9">
        <v>57899393</v>
      </c>
      <c r="AE18" s="10">
        <v>266586378</v>
      </c>
      <c r="AF18" s="9">
        <v>790619813</v>
      </c>
      <c r="AG18" s="10">
        <v>2160656316</v>
      </c>
      <c r="AH18" s="9">
        <v>1469663224</v>
      </c>
      <c r="AI18" s="10">
        <v>893944983</v>
      </c>
      <c r="AJ18" s="9">
        <v>71793162</v>
      </c>
      <c r="AK18" s="10">
        <v>244646018</v>
      </c>
    </row>
    <row r="19" spans="1:37" ht="14.5" x14ac:dyDescent="0.35">
      <c r="A19" s="7" t="s">
        <v>71</v>
      </c>
      <c r="B19" s="9">
        <v>552614924</v>
      </c>
      <c r="C19" s="9">
        <v>618296990</v>
      </c>
      <c r="D19" s="9">
        <v>576355668</v>
      </c>
      <c r="E19" s="9">
        <v>703926407</v>
      </c>
      <c r="F19" s="9">
        <v>688923191</v>
      </c>
      <c r="G19" s="9">
        <v>1469663224</v>
      </c>
      <c r="H19" s="9">
        <v>1432158628</v>
      </c>
      <c r="I19" s="9">
        <v>1023027150</v>
      </c>
      <c r="J19" s="9">
        <v>1068969559</v>
      </c>
      <c r="K19" s="9">
        <v>1346855708</v>
      </c>
      <c r="L19" s="9">
        <v>965470841</v>
      </c>
      <c r="M19" s="9">
        <v>995316677</v>
      </c>
      <c r="N19" s="9">
        <v>982978848</v>
      </c>
      <c r="O19" s="9">
        <v>1059960853</v>
      </c>
      <c r="P19" s="9">
        <v>1366513995</v>
      </c>
      <c r="Q19" s="9">
        <v>1479678949</v>
      </c>
      <c r="R19" s="9">
        <v>1588887613</v>
      </c>
      <c r="S19" s="9">
        <v>1709885544</v>
      </c>
      <c r="T19" s="9">
        <v>1432532840</v>
      </c>
      <c r="U19" s="9">
        <v>1656100951</v>
      </c>
      <c r="V19" s="9">
        <v>2277676406</v>
      </c>
      <c r="W19" s="9">
        <v>3361420694</v>
      </c>
      <c r="X19" s="9">
        <v>2876774973</v>
      </c>
      <c r="Y19" s="9">
        <v>2245939265</v>
      </c>
      <c r="Z19" s="9" t="s">
        <v>65</v>
      </c>
      <c r="AB19" s="9">
        <v>523651144</v>
      </c>
      <c r="AC19" s="10">
        <v>6638996093</v>
      </c>
      <c r="AD19" s="9">
        <v>35406187</v>
      </c>
      <c r="AE19" s="10">
        <v>281161266</v>
      </c>
      <c r="AF19" s="9">
        <v>730544012</v>
      </c>
      <c r="AG19" s="10">
        <v>1932677015</v>
      </c>
      <c r="AH19" s="9">
        <v>1432158628</v>
      </c>
      <c r="AI19" s="10">
        <v>897230750</v>
      </c>
      <c r="AJ19" s="9">
        <v>78266958</v>
      </c>
      <c r="AK19" s="10">
        <v>287619635</v>
      </c>
    </row>
    <row r="20" spans="1:37" ht="14.5" x14ac:dyDescent="0.35">
      <c r="A20" s="7" t="s">
        <v>72</v>
      </c>
      <c r="B20" s="10">
        <v>272694726</v>
      </c>
      <c r="C20" s="10">
        <v>289045216</v>
      </c>
      <c r="D20" s="10">
        <v>390540891</v>
      </c>
      <c r="E20" s="10">
        <v>470708917</v>
      </c>
      <c r="F20" s="10">
        <v>441936541</v>
      </c>
      <c r="G20" s="10">
        <v>893944983</v>
      </c>
      <c r="H20" s="10">
        <v>897230750</v>
      </c>
      <c r="I20" s="10">
        <v>663087502</v>
      </c>
      <c r="J20" s="10">
        <v>741447612</v>
      </c>
      <c r="K20" s="10">
        <v>864481109</v>
      </c>
      <c r="L20" s="10">
        <v>768345370</v>
      </c>
      <c r="M20" s="10">
        <v>760434903</v>
      </c>
      <c r="N20" s="10">
        <v>781721982</v>
      </c>
      <c r="O20" s="10">
        <v>832012116</v>
      </c>
      <c r="P20" s="10">
        <v>815914179</v>
      </c>
      <c r="Q20" s="10">
        <v>1022424936</v>
      </c>
      <c r="R20" s="10">
        <v>948274768</v>
      </c>
      <c r="S20" s="10">
        <v>989951712</v>
      </c>
      <c r="T20" s="10">
        <v>898047723</v>
      </c>
      <c r="U20" s="10">
        <v>1057285815</v>
      </c>
      <c r="V20" s="10">
        <v>1096114799</v>
      </c>
      <c r="W20" s="10">
        <v>1241424499</v>
      </c>
      <c r="X20" s="10">
        <v>1120578742</v>
      </c>
      <c r="Y20" s="10">
        <v>1241069947</v>
      </c>
      <c r="Z20" s="10" t="s">
        <v>65</v>
      </c>
      <c r="AB20" s="9">
        <v>357386660</v>
      </c>
      <c r="AC20" s="10">
        <v>4577639306</v>
      </c>
      <c r="AD20" s="9">
        <v>41260627</v>
      </c>
      <c r="AE20" s="10">
        <v>289323888</v>
      </c>
      <c r="AF20" s="9">
        <v>560324908</v>
      </c>
      <c r="AG20" s="10">
        <v>1365292636</v>
      </c>
      <c r="AH20" s="9">
        <v>1023027150</v>
      </c>
      <c r="AI20" s="10">
        <v>663087502</v>
      </c>
      <c r="AJ20" s="9">
        <v>44681228</v>
      </c>
      <c r="AK20" s="10">
        <v>210035561</v>
      </c>
    </row>
    <row r="21" spans="1:37" ht="14.5" x14ac:dyDescent="0.35">
      <c r="A21" s="7" t="s">
        <v>73</v>
      </c>
      <c r="B21" s="9">
        <v>29879826</v>
      </c>
      <c r="C21" s="9">
        <v>26457358</v>
      </c>
      <c r="D21" s="9">
        <v>29053451</v>
      </c>
      <c r="E21" s="9">
        <v>41418582</v>
      </c>
      <c r="F21" s="9">
        <v>37158853</v>
      </c>
      <c r="G21" s="9">
        <v>71793162</v>
      </c>
      <c r="H21" s="9">
        <v>78266958</v>
      </c>
      <c r="I21" s="9">
        <v>44681228</v>
      </c>
      <c r="J21" s="9">
        <v>54155643</v>
      </c>
      <c r="K21" s="9">
        <v>65507127</v>
      </c>
      <c r="L21" s="9">
        <v>71527672</v>
      </c>
      <c r="M21" s="9">
        <v>67425986</v>
      </c>
      <c r="N21" s="9">
        <v>83495362</v>
      </c>
      <c r="O21" s="9">
        <v>80864917</v>
      </c>
      <c r="P21" s="9">
        <v>118699393</v>
      </c>
      <c r="Q21" s="9">
        <v>134445412</v>
      </c>
      <c r="R21" s="9">
        <v>153727951</v>
      </c>
      <c r="S21" s="9">
        <v>164921668</v>
      </c>
      <c r="T21" s="9">
        <v>138390312</v>
      </c>
      <c r="U21" s="9">
        <v>125786776</v>
      </c>
      <c r="V21" s="9">
        <v>129727053</v>
      </c>
      <c r="W21" s="9">
        <v>144605769</v>
      </c>
      <c r="X21" s="9">
        <v>147810973</v>
      </c>
      <c r="Y21" s="9">
        <v>137576409</v>
      </c>
      <c r="Z21" s="9" t="s">
        <v>65</v>
      </c>
      <c r="AB21" s="9">
        <v>397276675</v>
      </c>
      <c r="AC21" s="10">
        <v>4863379101</v>
      </c>
      <c r="AD21" s="9">
        <v>61012410</v>
      </c>
      <c r="AE21" s="10">
        <v>255479794</v>
      </c>
      <c r="AF21" s="9">
        <v>551188747</v>
      </c>
      <c r="AG21" s="10">
        <v>1500661433</v>
      </c>
      <c r="AH21" s="9">
        <v>1068969559</v>
      </c>
      <c r="AI21" s="10">
        <v>741447612</v>
      </c>
      <c r="AJ21" s="9">
        <v>54155643</v>
      </c>
      <c r="AK21" s="10">
        <v>155248235</v>
      </c>
    </row>
    <row r="22" spans="1:37" ht="14.5" x14ac:dyDescent="0.35">
      <c r="A22" s="7" t="s">
        <v>74</v>
      </c>
      <c r="B22" s="10">
        <v>116070156</v>
      </c>
      <c r="C22" s="10">
        <v>100896839</v>
      </c>
      <c r="D22" s="10">
        <v>113310859</v>
      </c>
      <c r="E22" s="10">
        <v>115754460</v>
      </c>
      <c r="F22" s="10">
        <v>78831878</v>
      </c>
      <c r="G22" s="10">
        <v>244646018</v>
      </c>
      <c r="H22" s="10">
        <v>287619635</v>
      </c>
      <c r="I22" s="10">
        <v>210035561</v>
      </c>
      <c r="J22" s="10">
        <v>155248235</v>
      </c>
      <c r="K22" s="10">
        <v>156395743</v>
      </c>
      <c r="L22" s="10">
        <v>176126903</v>
      </c>
      <c r="M22" s="10">
        <v>183323420</v>
      </c>
      <c r="N22" s="10">
        <v>200353916</v>
      </c>
      <c r="O22" s="10">
        <v>225068988</v>
      </c>
      <c r="P22" s="10">
        <v>279620900</v>
      </c>
      <c r="Q22" s="10">
        <v>224102772</v>
      </c>
      <c r="R22" s="10">
        <v>273733800</v>
      </c>
      <c r="S22" s="10">
        <v>306308091</v>
      </c>
      <c r="T22" s="10">
        <v>306898472</v>
      </c>
      <c r="U22" s="10">
        <v>298718749</v>
      </c>
      <c r="V22" s="10">
        <v>400201657</v>
      </c>
      <c r="W22" s="10">
        <v>408554969</v>
      </c>
      <c r="X22" s="10">
        <v>459450601</v>
      </c>
      <c r="Y22" s="10">
        <v>507586580</v>
      </c>
      <c r="Z22" s="10" t="s">
        <v>65</v>
      </c>
      <c r="AB22" s="9">
        <v>469153927</v>
      </c>
      <c r="AC22" s="10">
        <v>5312124898</v>
      </c>
      <c r="AD22" s="9">
        <v>97643527</v>
      </c>
      <c r="AE22" s="10">
        <v>286145626</v>
      </c>
      <c r="AF22" s="9">
        <v>645428034</v>
      </c>
      <c r="AG22" s="10">
        <v>1698170965</v>
      </c>
      <c r="AH22" s="9">
        <v>1346855708</v>
      </c>
      <c r="AI22" s="10">
        <v>864481109</v>
      </c>
      <c r="AJ22" s="9">
        <v>65507127</v>
      </c>
      <c r="AK22" s="10">
        <v>156395743</v>
      </c>
    </row>
    <row r="23" spans="1:37" ht="11.4" customHeight="1" x14ac:dyDescent="0.35">
      <c r="AB23" s="9">
        <v>565608912</v>
      </c>
      <c r="AC23" s="10">
        <v>5286921905</v>
      </c>
      <c r="AD23" s="9">
        <v>89625403</v>
      </c>
      <c r="AE23" s="10">
        <v>284221809</v>
      </c>
      <c r="AF23" s="9">
        <v>608883375</v>
      </c>
      <c r="AG23" s="10">
        <v>1745956053</v>
      </c>
      <c r="AH23" s="9">
        <v>965470841</v>
      </c>
      <c r="AI23" s="10">
        <v>768345370</v>
      </c>
      <c r="AJ23" s="9">
        <v>71527672</v>
      </c>
      <c r="AK23" s="10">
        <v>176126903</v>
      </c>
    </row>
    <row r="24" spans="1:37" ht="14.5" x14ac:dyDescent="0.35">
      <c r="A24" s="1" t="s">
        <v>75</v>
      </c>
      <c r="AB24" s="9">
        <v>656863947</v>
      </c>
      <c r="AC24" s="10">
        <v>5299195209</v>
      </c>
      <c r="AD24" s="9">
        <v>97964000</v>
      </c>
      <c r="AE24" s="10">
        <v>410891633</v>
      </c>
      <c r="AF24" s="9">
        <v>527222048</v>
      </c>
      <c r="AG24" s="10">
        <v>1691131533</v>
      </c>
      <c r="AH24" s="9">
        <v>995316677</v>
      </c>
      <c r="AI24" s="10">
        <v>760434903</v>
      </c>
      <c r="AJ24" s="9">
        <v>67425986</v>
      </c>
      <c r="AK24" s="10">
        <v>183323420</v>
      </c>
    </row>
    <row r="25" spans="1:37" ht="14.5" x14ac:dyDescent="0.35">
      <c r="A25" s="1" t="s">
        <v>65</v>
      </c>
      <c r="B25" s="2" t="s">
        <v>76</v>
      </c>
      <c r="AB25" s="9">
        <v>720909517</v>
      </c>
      <c r="AC25" s="10">
        <v>5466000359</v>
      </c>
      <c r="AD25" s="9">
        <v>112705045</v>
      </c>
      <c r="AE25" s="10">
        <v>357434971</v>
      </c>
      <c r="AF25" s="9">
        <v>624415505</v>
      </c>
      <c r="AG25" s="10">
        <v>1922994891</v>
      </c>
      <c r="AH25" s="9">
        <v>982978848</v>
      </c>
      <c r="AI25" s="10">
        <v>781721982</v>
      </c>
      <c r="AJ25" s="9">
        <v>83495362</v>
      </c>
      <c r="AK25" s="10">
        <v>200353916</v>
      </c>
    </row>
    <row r="26" spans="1:37" ht="11.4" customHeight="1" x14ac:dyDescent="0.35">
      <c r="AB26" s="9">
        <v>657679567</v>
      </c>
      <c r="AC26" s="10">
        <v>6214620374</v>
      </c>
      <c r="AD26" s="9">
        <v>139629037</v>
      </c>
      <c r="AE26" s="10">
        <v>351207893</v>
      </c>
      <c r="AF26" s="9">
        <v>619828515</v>
      </c>
      <c r="AG26" s="10">
        <v>2157790455</v>
      </c>
      <c r="AH26" s="9">
        <v>1059960853</v>
      </c>
      <c r="AI26" s="10">
        <v>832012116</v>
      </c>
      <c r="AJ26" s="9">
        <v>80864917</v>
      </c>
      <c r="AK26" s="10">
        <v>225068988</v>
      </c>
    </row>
    <row r="27" spans="1:37" ht="11.4" customHeight="1" x14ac:dyDescent="0.35">
      <c r="AB27" s="9">
        <v>653031229</v>
      </c>
      <c r="AC27" s="10">
        <v>6573791366</v>
      </c>
      <c r="AD27" s="9">
        <v>148291407</v>
      </c>
      <c r="AE27" s="10">
        <v>341510470</v>
      </c>
      <c r="AF27" s="9">
        <v>717022768</v>
      </c>
      <c r="AG27" s="10">
        <v>2358081138</v>
      </c>
      <c r="AH27" s="9">
        <v>1366513995</v>
      </c>
      <c r="AI27" s="10">
        <v>815914179</v>
      </c>
      <c r="AJ27" s="9">
        <v>118699393</v>
      </c>
      <c r="AK27" s="10">
        <v>279620900</v>
      </c>
    </row>
    <row r="28" spans="1:37" ht="11.4" customHeight="1" x14ac:dyDescent="0.35">
      <c r="AB28" s="9">
        <v>704207997</v>
      </c>
      <c r="AC28" s="10">
        <v>7522339531</v>
      </c>
      <c r="AD28" s="9">
        <v>153243273</v>
      </c>
      <c r="AE28" s="10">
        <v>347125187</v>
      </c>
      <c r="AF28" s="9">
        <v>750938478</v>
      </c>
      <c r="AG28" s="10">
        <v>2477231148</v>
      </c>
      <c r="AH28" s="9">
        <v>1479678949</v>
      </c>
      <c r="AI28" s="10">
        <v>1022424936</v>
      </c>
      <c r="AJ28" s="9">
        <v>134445412</v>
      </c>
      <c r="AK28" s="10">
        <v>224102772</v>
      </c>
    </row>
    <row r="29" spans="1:37" ht="11.4" customHeight="1" x14ac:dyDescent="0.35">
      <c r="AB29" s="9">
        <v>738305834</v>
      </c>
      <c r="AC29" s="10">
        <v>8156305002</v>
      </c>
      <c r="AD29" s="9">
        <v>215776171</v>
      </c>
      <c r="AE29" s="10">
        <v>420618840</v>
      </c>
      <c r="AF29" s="9">
        <v>811676593</v>
      </c>
      <c r="AG29" s="10">
        <v>2558418777</v>
      </c>
      <c r="AH29" s="9">
        <v>1588887613</v>
      </c>
      <c r="AI29" s="10">
        <v>948274768</v>
      </c>
      <c r="AJ29" s="9">
        <v>153727951</v>
      </c>
      <c r="AK29" s="10">
        <v>273733800</v>
      </c>
    </row>
    <row r="30" spans="1:37" ht="11.4" customHeight="1" x14ac:dyDescent="0.35">
      <c r="AB30" s="9">
        <v>791395369</v>
      </c>
      <c r="AC30" s="10">
        <v>8691002357</v>
      </c>
      <c r="AD30" s="9">
        <v>146458562</v>
      </c>
      <c r="AE30" s="10">
        <v>454632051</v>
      </c>
      <c r="AF30" s="9">
        <v>809297424</v>
      </c>
      <c r="AG30" s="10">
        <v>2575386404</v>
      </c>
      <c r="AH30" s="9">
        <v>1709885544</v>
      </c>
      <c r="AI30" s="10">
        <v>989951712</v>
      </c>
      <c r="AJ30" s="9">
        <v>164921668</v>
      </c>
      <c r="AK30" s="10">
        <v>306308091</v>
      </c>
    </row>
    <row r="31" spans="1:37" ht="11.4" customHeight="1" x14ac:dyDescent="0.35">
      <c r="AB31" s="9">
        <v>880067966</v>
      </c>
      <c r="AC31" s="10">
        <v>7108929094</v>
      </c>
      <c r="AD31" s="9">
        <v>97106590</v>
      </c>
      <c r="AE31" s="10">
        <v>387760386</v>
      </c>
      <c r="AF31" s="9">
        <v>644172967</v>
      </c>
      <c r="AG31" s="10">
        <v>2039088044</v>
      </c>
      <c r="AH31" s="9">
        <v>1432532840</v>
      </c>
      <c r="AI31" s="10">
        <v>898047723</v>
      </c>
      <c r="AJ31" s="9">
        <v>138390312</v>
      </c>
      <c r="AK31" s="10">
        <v>306898472</v>
      </c>
    </row>
    <row r="32" spans="1:37" ht="11.4" customHeight="1" x14ac:dyDescent="0.35">
      <c r="AB32" s="9">
        <v>1181993452</v>
      </c>
      <c r="AC32" s="10">
        <v>7888326983</v>
      </c>
      <c r="AD32" s="9">
        <v>87553995</v>
      </c>
      <c r="AE32" s="10">
        <v>428891103</v>
      </c>
      <c r="AF32" s="9">
        <v>791335447</v>
      </c>
      <c r="AG32" s="10">
        <v>2422024050</v>
      </c>
      <c r="AH32" s="9">
        <v>1656100951</v>
      </c>
      <c r="AI32" s="10">
        <v>1057285815</v>
      </c>
      <c r="AJ32" s="9">
        <v>125786776</v>
      </c>
      <c r="AK32" s="10">
        <v>298718749</v>
      </c>
    </row>
    <row r="33" spans="28:37" ht="11.4" customHeight="1" x14ac:dyDescent="0.35">
      <c r="AB33" s="9">
        <v>1044164328</v>
      </c>
      <c r="AC33" s="10">
        <v>8552867513</v>
      </c>
      <c r="AD33" s="9">
        <v>129853608</v>
      </c>
      <c r="AE33" s="10">
        <v>493949239</v>
      </c>
      <c r="AF33" s="9">
        <v>1117299989</v>
      </c>
      <c r="AG33" s="10">
        <v>2584546266</v>
      </c>
      <c r="AH33" s="9">
        <v>2277676406</v>
      </c>
      <c r="AI33" s="10">
        <v>1096114799</v>
      </c>
      <c r="AJ33" s="9">
        <v>129727053</v>
      </c>
      <c r="AK33" s="10">
        <v>400201657</v>
      </c>
    </row>
    <row r="34" spans="28:37" ht="11.4" customHeight="1" x14ac:dyDescent="0.35">
      <c r="AB34" s="9">
        <v>800117410</v>
      </c>
      <c r="AC34" s="10">
        <v>9478822941</v>
      </c>
      <c r="AD34" s="9">
        <v>209255272</v>
      </c>
      <c r="AE34" s="10">
        <v>556049590</v>
      </c>
      <c r="AF34" s="9">
        <v>1114066636</v>
      </c>
      <c r="AG34" s="10">
        <v>2791516762</v>
      </c>
      <c r="AH34" s="9">
        <v>3361420694</v>
      </c>
      <c r="AI34" s="10">
        <v>1241424499</v>
      </c>
      <c r="AJ34" s="9">
        <v>144605769</v>
      </c>
      <c r="AK34" s="10">
        <v>408554969</v>
      </c>
    </row>
    <row r="35" spans="28:37" ht="11.4" customHeight="1" x14ac:dyDescent="0.35">
      <c r="AB35" s="9">
        <v>810921626</v>
      </c>
      <c r="AC35" s="10">
        <v>9457332718</v>
      </c>
      <c r="AD35" s="9">
        <v>231744680</v>
      </c>
      <c r="AE35" s="10">
        <v>552863130</v>
      </c>
      <c r="AF35" s="9">
        <v>979259844</v>
      </c>
      <c r="AG35" s="10">
        <v>2763739374</v>
      </c>
      <c r="AH35" s="9">
        <v>2876774973</v>
      </c>
      <c r="AI35" s="10">
        <v>1120578742</v>
      </c>
      <c r="AJ35" s="9">
        <v>147810973</v>
      </c>
      <c r="AK35" s="10">
        <v>459450601</v>
      </c>
    </row>
    <row r="36" spans="28:37" ht="11.4" customHeight="1" x14ac:dyDescent="0.35">
      <c r="AB36" s="9">
        <v>1015660876</v>
      </c>
      <c r="AC36" s="10">
        <v>9477825418</v>
      </c>
      <c r="AD36" s="9">
        <v>168005563</v>
      </c>
      <c r="AE36" s="10">
        <v>608530107</v>
      </c>
      <c r="AF36" s="9">
        <v>1092360383</v>
      </c>
      <c r="AG36" s="10">
        <v>2787403138</v>
      </c>
      <c r="AH36" s="9">
        <v>2245939265</v>
      </c>
      <c r="AI36" s="10">
        <v>1241069947</v>
      </c>
      <c r="AJ36" s="9">
        <v>137576409</v>
      </c>
      <c r="AK36" s="10">
        <v>507586580</v>
      </c>
    </row>
  </sheetData>
  <pageMargins left="0.7" right="0.7" top="0.75" bottom="0.75" header="0.3" footer="0.3"/>
  <headerFooter>
    <oddHeader>&amp;L&amp;"Aptos"&amp;10&amp;K7FAA39 | DNB PUBLIC |&amp;1#_x000D_</oddHeader>
  </headerFooter>
</worksheet>
</file>

<file path=docMetadata/LabelInfo.xml><?xml version="1.0" encoding="utf-8"?>
<clbl:labelList xmlns:clbl="http://schemas.microsoft.com/office/2020/mipLabelMetadata">
  <clbl:label id="{1ddf9560-f40a-4faa-b693-65e98d55b544}" enabled="1" method="Privileged" siteId="{9ecbd628-0072-405d-8567-32c6750b0d3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data</vt:lpstr>
      <vt:lpstr>Sheet 1</vt:lpstr>
      <vt:lpstr>Sheet 4</vt:lpstr>
      <vt:lpstr>Sheet 7</vt:lpstr>
      <vt:lpstr>Sheet 10</vt:lpstr>
      <vt:lpstr>Sheet 13</vt:lpstr>
      <vt:lpstr>Sheet 16</vt:lpstr>
      <vt:lpstr>Sheet 19</vt:lpstr>
      <vt:lpstr>Sheet 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Jan Willem van den End (EBO_CMA)</cp:lastModifiedBy>
  <dcterms:created xsi:type="dcterms:W3CDTF">2026-09-19T08:16:28Z</dcterms:created>
  <dcterms:modified xsi:type="dcterms:W3CDTF">2026-09-19T12:18:42Z</dcterms:modified>
</cp:coreProperties>
</file>